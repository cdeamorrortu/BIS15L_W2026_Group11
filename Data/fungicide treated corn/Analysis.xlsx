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atamorr/Desktop/BIS15L_W2026_Group11/Data/fungicide treated corn/"/>
    </mc:Choice>
  </mc:AlternateContent>
  <xr:revisionPtr revIDLastSave="0" documentId="13_ncr:1_{8DEB4CE4-8A3A-924E-9EB7-B5ABDC2403FC}" xr6:coauthVersionLast="47" xr6:coauthVersionMax="47" xr10:uidLastSave="{00000000-0000-0000-0000-000000000000}"/>
  <bookViews>
    <workbookView xWindow="12800" yWindow="4400" windowWidth="27640" windowHeight="16940" activeTab="1" xr2:uid="{43021A3A-A9BA-4A46-845F-B5BBB92E5D57}"/>
  </bookViews>
  <sheets>
    <sheet name="Raw Data" sheetId="2" r:id="rId1"/>
    <sheet name="Notes" sheetId="3" r:id="rId2"/>
    <sheet name="Effect Size Raw Data k=436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2" l="1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J162" i="2"/>
  <c r="M162" i="2"/>
  <c r="P162" i="2" s="1"/>
  <c r="Q162" i="2" s="1"/>
  <c r="O162" i="2"/>
  <c r="G163" i="2"/>
  <c r="J163" i="2"/>
  <c r="P163" i="2" s="1"/>
  <c r="Q163" i="2" s="1"/>
  <c r="M163" i="2"/>
  <c r="N163" i="2"/>
  <c r="O163" i="2"/>
  <c r="G164" i="2"/>
  <c r="J164" i="2"/>
  <c r="M164" i="2"/>
  <c r="P164" i="2" s="1"/>
  <c r="Q164" i="2" s="1"/>
  <c r="N164" i="2"/>
  <c r="O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J177" i="2"/>
  <c r="M177" i="2"/>
  <c r="P177" i="2" s="1"/>
  <c r="Q177" i="2" s="1"/>
  <c r="N177" i="2"/>
  <c r="O177" i="2"/>
  <c r="G178" i="2"/>
  <c r="J178" i="2"/>
  <c r="M178" i="2"/>
  <c r="O178" i="2"/>
  <c r="P178" i="2"/>
  <c r="Q178" i="2" s="1"/>
  <c r="G179" i="2"/>
  <c r="J179" i="2"/>
  <c r="M179" i="2"/>
  <c r="P179" i="2" s="1"/>
  <c r="Q179" i="2" s="1"/>
  <c r="N179" i="2"/>
  <c r="O179" i="2"/>
  <c r="G180" i="2"/>
  <c r="J180" i="2"/>
  <c r="M180" i="2"/>
  <c r="N180" i="2"/>
  <c r="O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J193" i="2"/>
  <c r="M193" i="2"/>
  <c r="N193" i="2"/>
  <c r="O193" i="2"/>
  <c r="P193" i="2"/>
  <c r="Q193" i="2" s="1"/>
  <c r="G194" i="2"/>
  <c r="J194" i="2"/>
  <c r="M194" i="2"/>
  <c r="O194" i="2"/>
  <c r="G195" i="2"/>
  <c r="J195" i="2"/>
  <c r="M195" i="2"/>
  <c r="P195" i="2" s="1"/>
  <c r="Q195" i="2" s="1"/>
  <c r="N195" i="2"/>
  <c r="O195" i="2"/>
  <c r="G196" i="2"/>
  <c r="J196" i="2"/>
  <c r="M196" i="2"/>
  <c r="N196" i="2"/>
  <c r="O196" i="2"/>
  <c r="P196" i="2"/>
  <c r="Q196" i="2" s="1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J209" i="2"/>
  <c r="M209" i="2"/>
  <c r="N209" i="2"/>
  <c r="O209" i="2"/>
  <c r="P209" i="2"/>
  <c r="Q209" i="2" s="1"/>
  <c r="G210" i="2"/>
  <c r="J210" i="2"/>
  <c r="M210" i="2"/>
  <c r="O210" i="2"/>
  <c r="G211" i="2"/>
  <c r="J211" i="2"/>
  <c r="P211" i="2" s="1"/>
  <c r="Q211" i="2" s="1"/>
  <c r="M211" i="2"/>
  <c r="N211" i="2"/>
  <c r="O211" i="2"/>
  <c r="G212" i="2"/>
  <c r="J212" i="2"/>
  <c r="M212" i="2"/>
  <c r="N212" i="2"/>
  <c r="O212" i="2"/>
  <c r="P212" i="2"/>
  <c r="Q212" i="2" s="1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J225" i="2"/>
  <c r="M225" i="2"/>
  <c r="N225" i="2"/>
  <c r="O225" i="2"/>
  <c r="G226" i="2"/>
  <c r="J226" i="2"/>
  <c r="M226" i="2"/>
  <c r="O226" i="2"/>
  <c r="G227" i="2"/>
  <c r="J227" i="2"/>
  <c r="P227" i="2" s="1"/>
  <c r="Q227" i="2" s="1"/>
  <c r="M227" i="2"/>
  <c r="N227" i="2"/>
  <c r="O227" i="2"/>
  <c r="G228" i="2"/>
  <c r="J228" i="2"/>
  <c r="M228" i="2"/>
  <c r="P228" i="2" s="1"/>
  <c r="Q228" i="2" s="1"/>
  <c r="N228" i="2"/>
  <c r="O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J241" i="2"/>
  <c r="M241" i="2"/>
  <c r="P241" i="2" s="1"/>
  <c r="Q241" i="2" s="1"/>
  <c r="N241" i="2"/>
  <c r="O241" i="2"/>
  <c r="G242" i="2"/>
  <c r="J242" i="2"/>
  <c r="M242" i="2"/>
  <c r="O242" i="2"/>
  <c r="P242" i="2"/>
  <c r="Q242" i="2" s="1"/>
  <c r="G243" i="2"/>
  <c r="J243" i="2"/>
  <c r="M243" i="2"/>
  <c r="P243" i="2" s="1"/>
  <c r="Q243" i="2" s="1"/>
  <c r="N243" i="2"/>
  <c r="O243" i="2"/>
  <c r="G244" i="2"/>
  <c r="J244" i="2"/>
  <c r="M244" i="2"/>
  <c r="P244" i="2" s="1"/>
  <c r="Q244" i="2" s="1"/>
  <c r="N244" i="2"/>
  <c r="O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J257" i="2"/>
  <c r="M257" i="2"/>
  <c r="N257" i="2"/>
  <c r="O257" i="2"/>
  <c r="P257" i="2"/>
  <c r="Q257" i="2" s="1"/>
  <c r="G258" i="2"/>
  <c r="J258" i="2"/>
  <c r="M258" i="2"/>
  <c r="O258" i="2"/>
  <c r="G259" i="2"/>
  <c r="J259" i="2"/>
  <c r="M259" i="2"/>
  <c r="P259" i="2" s="1"/>
  <c r="Q259" i="2" s="1"/>
  <c r="N259" i="2"/>
  <c r="O259" i="2"/>
  <c r="G260" i="2"/>
  <c r="J260" i="2"/>
  <c r="M260" i="2"/>
  <c r="N260" i="2"/>
  <c r="O260" i="2"/>
  <c r="P260" i="2"/>
  <c r="Q260" i="2" s="1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J273" i="2"/>
  <c r="M273" i="2"/>
  <c r="N273" i="2"/>
  <c r="O273" i="2"/>
  <c r="P273" i="2"/>
  <c r="Q273" i="2" s="1"/>
  <c r="G274" i="2"/>
  <c r="J274" i="2"/>
  <c r="M274" i="2"/>
  <c r="O274" i="2"/>
  <c r="G275" i="2"/>
  <c r="J275" i="2"/>
  <c r="P275" i="2" s="1"/>
  <c r="Q275" i="2" s="1"/>
  <c r="M275" i="2"/>
  <c r="N275" i="2"/>
  <c r="O275" i="2"/>
  <c r="G276" i="2"/>
  <c r="J276" i="2"/>
  <c r="M276" i="2"/>
  <c r="N276" i="2"/>
  <c r="O276" i="2"/>
  <c r="P276" i="2"/>
  <c r="Q276" i="2" s="1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J289" i="2"/>
  <c r="M289" i="2"/>
  <c r="P289" i="2" s="1"/>
  <c r="Q289" i="2" s="1"/>
  <c r="N289" i="2"/>
  <c r="O289" i="2"/>
  <c r="G290" i="2"/>
  <c r="J290" i="2"/>
  <c r="M290" i="2"/>
  <c r="O290" i="2"/>
  <c r="G291" i="2"/>
  <c r="J291" i="2"/>
  <c r="M291" i="2"/>
  <c r="N291" i="2"/>
  <c r="O291" i="2"/>
  <c r="P291" i="2"/>
  <c r="Q291" i="2" s="1"/>
  <c r="G292" i="2"/>
  <c r="J292" i="2"/>
  <c r="M292" i="2"/>
  <c r="P292" i="2" s="1"/>
  <c r="Q292" i="2" s="1"/>
  <c r="N292" i="2"/>
  <c r="O292" i="2"/>
  <c r="G293" i="2"/>
  <c r="G294" i="2"/>
  <c r="G295" i="2"/>
  <c r="G296" i="2"/>
  <c r="G297" i="2"/>
  <c r="G298" i="2"/>
  <c r="G299" i="2"/>
  <c r="G300" i="2"/>
  <c r="G301" i="2"/>
  <c r="G302" i="2"/>
  <c r="G303" i="2"/>
  <c r="G304" i="2"/>
  <c r="G305" i="2"/>
  <c r="G306" i="2"/>
  <c r="G307" i="2"/>
  <c r="G308" i="2"/>
  <c r="G309" i="2"/>
  <c r="J309" i="2"/>
  <c r="M309" i="2"/>
  <c r="P309" i="2" s="1"/>
  <c r="Q309" i="2" s="1"/>
  <c r="N309" i="2"/>
  <c r="O309" i="2"/>
  <c r="G310" i="2"/>
  <c r="J310" i="2"/>
  <c r="P310" i="2" s="1"/>
  <c r="Q310" i="2" s="1"/>
  <c r="M310" i="2"/>
  <c r="O310" i="2"/>
  <c r="G311" i="2"/>
  <c r="J311" i="2"/>
  <c r="M311" i="2"/>
  <c r="P311" i="2" s="1"/>
  <c r="Q311" i="2" s="1"/>
  <c r="N311" i="2"/>
  <c r="O311" i="2"/>
  <c r="G312" i="2"/>
  <c r="J312" i="2"/>
  <c r="M312" i="2"/>
  <c r="P312" i="2" s="1"/>
  <c r="Q312" i="2" s="1"/>
  <c r="N312" i="2"/>
  <c r="O312" i="2"/>
  <c r="G313" i="2"/>
  <c r="G314" i="2"/>
  <c r="G315" i="2"/>
  <c r="G316" i="2"/>
  <c r="G317" i="2"/>
  <c r="G318" i="2"/>
  <c r="G319" i="2"/>
  <c r="G320" i="2"/>
  <c r="G321" i="2"/>
  <c r="G322" i="2"/>
  <c r="G323" i="2"/>
  <c r="G324" i="2"/>
  <c r="G325" i="2"/>
  <c r="J325" i="2"/>
  <c r="M325" i="2"/>
  <c r="N325" i="2"/>
  <c r="O325" i="2"/>
  <c r="P325" i="2"/>
  <c r="Q325" i="2" s="1"/>
  <c r="G326" i="2"/>
  <c r="J326" i="2"/>
  <c r="M326" i="2"/>
  <c r="O326" i="2"/>
  <c r="G327" i="2"/>
  <c r="J327" i="2"/>
  <c r="M327" i="2"/>
  <c r="N327" i="2"/>
  <c r="O327" i="2"/>
  <c r="G328" i="2"/>
  <c r="J328" i="2"/>
  <c r="P328" i="2" s="1"/>
  <c r="Q328" i="2" s="1"/>
  <c r="M328" i="2"/>
  <c r="N328" i="2"/>
  <c r="O328" i="2"/>
  <c r="G329" i="2"/>
  <c r="G330" i="2"/>
  <c r="G331" i="2"/>
  <c r="G332" i="2"/>
  <c r="G333" i="2"/>
  <c r="G334" i="2"/>
  <c r="G335" i="2"/>
  <c r="G336" i="2"/>
  <c r="G337" i="2"/>
  <c r="G338" i="2"/>
  <c r="G339" i="2"/>
  <c r="G340" i="2"/>
  <c r="G341" i="2"/>
  <c r="J341" i="2"/>
  <c r="M341" i="2"/>
  <c r="N341" i="2"/>
  <c r="O341" i="2"/>
  <c r="P341" i="2"/>
  <c r="Q341" i="2" s="1"/>
  <c r="G342" i="2"/>
  <c r="J342" i="2"/>
  <c r="M342" i="2"/>
  <c r="O342" i="2"/>
  <c r="G343" i="2"/>
  <c r="J343" i="2"/>
  <c r="M343" i="2"/>
  <c r="P343" i="2" s="1"/>
  <c r="Q343" i="2" s="1"/>
  <c r="N343" i="2"/>
  <c r="O343" i="2"/>
  <c r="G344" i="2"/>
  <c r="J344" i="2"/>
  <c r="M344" i="2"/>
  <c r="N344" i="2"/>
  <c r="O344" i="2"/>
  <c r="P344" i="2"/>
  <c r="Q344" i="2" s="1"/>
  <c r="G345" i="2"/>
  <c r="G346" i="2"/>
  <c r="G347" i="2"/>
  <c r="G348" i="2"/>
  <c r="G349" i="2"/>
  <c r="G350" i="2"/>
  <c r="G351" i="2"/>
  <c r="G352" i="2"/>
  <c r="G353" i="2"/>
  <c r="G354" i="2"/>
  <c r="G355" i="2"/>
  <c r="G356" i="2"/>
  <c r="G357" i="2"/>
  <c r="J357" i="2"/>
  <c r="M357" i="2"/>
  <c r="P357" i="2" s="1"/>
  <c r="Q357" i="2" s="1"/>
  <c r="N357" i="2"/>
  <c r="O357" i="2"/>
  <c r="G358" i="2"/>
  <c r="J358" i="2"/>
  <c r="M358" i="2"/>
  <c r="P358" i="2" s="1"/>
  <c r="Q358" i="2" s="1"/>
  <c r="O358" i="2"/>
  <c r="G359" i="2"/>
  <c r="J359" i="2"/>
  <c r="P359" i="2" s="1"/>
  <c r="Q359" i="2" s="1"/>
  <c r="M359" i="2"/>
  <c r="N359" i="2"/>
  <c r="O359" i="2"/>
  <c r="G360" i="2"/>
  <c r="J360" i="2"/>
  <c r="M360" i="2"/>
  <c r="N360" i="2"/>
  <c r="O360" i="2"/>
  <c r="G361" i="2"/>
  <c r="G362" i="2"/>
  <c r="G363" i="2"/>
  <c r="G364" i="2"/>
  <c r="G365" i="2"/>
  <c r="J365" i="2"/>
  <c r="M365" i="2"/>
  <c r="P365" i="2" s="1"/>
  <c r="Q365" i="2" s="1"/>
  <c r="N365" i="2"/>
  <c r="O365" i="2"/>
  <c r="G366" i="2"/>
  <c r="G367" i="2"/>
  <c r="G368" i="2"/>
  <c r="G369" i="2"/>
  <c r="G370" i="2"/>
  <c r="G371" i="2"/>
  <c r="G372" i="2"/>
  <c r="G373" i="2"/>
  <c r="G374" i="2"/>
  <c r="G375" i="2"/>
  <c r="G376" i="2"/>
  <c r="G377" i="2"/>
  <c r="G378" i="2"/>
  <c r="G379" i="2"/>
  <c r="G380" i="2"/>
  <c r="G381" i="2"/>
  <c r="G382" i="2"/>
  <c r="G383" i="2"/>
  <c r="G384" i="2"/>
  <c r="G385" i="2"/>
  <c r="G386" i="2"/>
  <c r="G387" i="2"/>
  <c r="G388" i="2"/>
  <c r="G389" i="2"/>
  <c r="G390" i="2"/>
  <c r="G391" i="2"/>
  <c r="G392" i="2"/>
  <c r="G393" i="2"/>
  <c r="G394" i="2"/>
  <c r="G395" i="2"/>
  <c r="G396" i="2"/>
  <c r="G397" i="2"/>
  <c r="G398" i="2"/>
  <c r="G399" i="2"/>
  <c r="G400" i="2"/>
  <c r="G401" i="2"/>
  <c r="G402" i="2"/>
  <c r="G403" i="2"/>
  <c r="G404" i="2"/>
  <c r="G405" i="2"/>
  <c r="G406" i="2"/>
  <c r="G407" i="2"/>
  <c r="G408" i="2"/>
  <c r="G409" i="2"/>
  <c r="G410" i="2"/>
  <c r="G411" i="2"/>
  <c r="G412" i="2"/>
  <c r="G413" i="2"/>
  <c r="G414" i="2"/>
  <c r="G415" i="2"/>
  <c r="G416" i="2"/>
  <c r="G417" i="2"/>
  <c r="G418" i="2"/>
  <c r="G419" i="2"/>
  <c r="G420" i="2"/>
  <c r="G421" i="2"/>
  <c r="G422" i="2"/>
  <c r="G423" i="2"/>
  <c r="G424" i="2"/>
  <c r="G425" i="2"/>
  <c r="G426" i="2"/>
  <c r="G427" i="2"/>
  <c r="G428" i="2"/>
  <c r="G429" i="2"/>
  <c r="G430" i="2"/>
  <c r="G431" i="2"/>
  <c r="G432" i="2"/>
  <c r="G433" i="2"/>
  <c r="G434" i="2"/>
  <c r="G435" i="2"/>
  <c r="G436" i="2"/>
  <c r="G437" i="2"/>
  <c r="G438" i="2"/>
  <c r="G439" i="2"/>
  <c r="G440" i="2"/>
  <c r="G441" i="2"/>
  <c r="G442" i="2"/>
  <c r="G443" i="2"/>
  <c r="G444" i="2"/>
  <c r="G445" i="2"/>
  <c r="G446" i="2"/>
  <c r="G447" i="2"/>
  <c r="G448" i="2"/>
  <c r="G449" i="2"/>
  <c r="G450" i="2"/>
  <c r="G451" i="2"/>
  <c r="G452" i="2"/>
  <c r="G453" i="2"/>
  <c r="G454" i="2"/>
  <c r="G455" i="2"/>
  <c r="G456" i="2"/>
  <c r="G457" i="2"/>
  <c r="G458" i="2"/>
  <c r="G459" i="2"/>
  <c r="G460" i="2"/>
  <c r="G461" i="2"/>
  <c r="G462" i="2"/>
  <c r="G463" i="2"/>
  <c r="G464" i="2"/>
  <c r="G465" i="2"/>
  <c r="G466" i="2"/>
  <c r="G467" i="2"/>
  <c r="G468" i="2"/>
  <c r="G469" i="2"/>
  <c r="G470" i="2"/>
  <c r="G471" i="2"/>
  <c r="G472" i="2"/>
  <c r="G473" i="2"/>
  <c r="G474" i="2"/>
  <c r="G475" i="2"/>
  <c r="G476" i="2"/>
  <c r="G477" i="2"/>
  <c r="G478" i="2"/>
  <c r="G479" i="2"/>
  <c r="G480" i="2"/>
  <c r="G481" i="2"/>
  <c r="G482" i="2"/>
  <c r="G483" i="2"/>
  <c r="G484" i="2"/>
  <c r="G485" i="2"/>
  <c r="G486" i="2"/>
  <c r="G487" i="2"/>
  <c r="G488" i="2"/>
  <c r="G489" i="2"/>
  <c r="G490" i="2"/>
  <c r="G491" i="2"/>
  <c r="G492" i="2"/>
  <c r="G493" i="2"/>
  <c r="G494" i="2"/>
  <c r="G495" i="2"/>
  <c r="G496" i="2"/>
  <c r="G497" i="2"/>
  <c r="G498" i="2"/>
  <c r="G499" i="2"/>
  <c r="G500" i="2"/>
  <c r="G501" i="2"/>
  <c r="G502" i="2"/>
  <c r="G503" i="2"/>
  <c r="G504" i="2"/>
  <c r="G505" i="2"/>
  <c r="G506" i="2"/>
  <c r="G507" i="2"/>
  <c r="G508" i="2"/>
  <c r="G509" i="2"/>
  <c r="G510" i="2"/>
  <c r="G511" i="2"/>
  <c r="G512" i="2"/>
  <c r="G513" i="2"/>
  <c r="G514" i="2"/>
  <c r="G515" i="2"/>
  <c r="G516" i="2"/>
  <c r="G517" i="2"/>
  <c r="G518" i="2"/>
  <c r="G519" i="2"/>
  <c r="G520" i="2"/>
  <c r="G521" i="2"/>
  <c r="G522" i="2"/>
  <c r="G523" i="2"/>
  <c r="G524" i="2"/>
  <c r="G525" i="2"/>
  <c r="G526" i="2"/>
  <c r="G527" i="2"/>
  <c r="G528" i="2"/>
  <c r="G529" i="2"/>
  <c r="G530" i="2"/>
  <c r="G531" i="2"/>
  <c r="G532" i="2"/>
  <c r="G533" i="2"/>
  <c r="G534" i="2"/>
  <c r="G535" i="2"/>
  <c r="G536" i="2"/>
  <c r="G537" i="2"/>
  <c r="G538" i="2"/>
  <c r="G539" i="2"/>
  <c r="G540" i="2"/>
  <c r="G541" i="2"/>
  <c r="G542" i="2"/>
  <c r="G543" i="2"/>
  <c r="G544" i="2"/>
  <c r="G545" i="2"/>
  <c r="G546" i="2"/>
  <c r="G547" i="2"/>
  <c r="G548" i="2"/>
  <c r="G549" i="2"/>
  <c r="G550" i="2"/>
  <c r="G551" i="2"/>
  <c r="G552" i="2"/>
  <c r="G553" i="2"/>
  <c r="G554" i="2"/>
  <c r="G555" i="2"/>
  <c r="G556" i="2"/>
  <c r="G557" i="2"/>
  <c r="G558" i="2"/>
  <c r="G559" i="2"/>
  <c r="G560" i="2"/>
  <c r="G561" i="2"/>
  <c r="G562" i="2"/>
  <c r="G563" i="2"/>
  <c r="G564" i="2"/>
  <c r="G565" i="2"/>
  <c r="G566" i="2"/>
  <c r="G567" i="2"/>
  <c r="G568" i="2"/>
  <c r="G569" i="2"/>
  <c r="G570" i="2"/>
  <c r="G571" i="2"/>
  <c r="G572" i="2"/>
  <c r="G573" i="2"/>
  <c r="G574" i="2"/>
  <c r="G575" i="2"/>
  <c r="G576" i="2"/>
  <c r="G577" i="2"/>
  <c r="G578" i="2"/>
  <c r="G579" i="2"/>
  <c r="G580" i="2"/>
  <c r="G581" i="2"/>
  <c r="G582" i="2"/>
  <c r="G583" i="2"/>
  <c r="G584" i="2"/>
  <c r="G585" i="2"/>
  <c r="G586" i="2"/>
  <c r="G587" i="2"/>
  <c r="G588" i="2"/>
  <c r="G589" i="2"/>
  <c r="G590" i="2"/>
  <c r="G591" i="2"/>
  <c r="G592" i="2"/>
  <c r="G593" i="2"/>
  <c r="G594" i="2"/>
  <c r="G595" i="2"/>
  <c r="G596" i="2"/>
  <c r="G597" i="2"/>
  <c r="G598" i="2"/>
  <c r="G599" i="2"/>
  <c r="G600" i="2"/>
  <c r="G601" i="2"/>
  <c r="G602" i="2"/>
  <c r="G603" i="2"/>
  <c r="G604" i="2"/>
  <c r="G605" i="2"/>
  <c r="G606" i="2"/>
  <c r="G607" i="2"/>
  <c r="G608" i="2"/>
  <c r="G609" i="2"/>
  <c r="G610" i="2"/>
  <c r="G611" i="2"/>
  <c r="G612" i="2"/>
  <c r="G613" i="2"/>
  <c r="G614" i="2"/>
  <c r="G615" i="2"/>
  <c r="G616" i="2"/>
  <c r="G617" i="2"/>
  <c r="G618" i="2"/>
  <c r="G619" i="2"/>
  <c r="G620" i="2"/>
  <c r="G621" i="2"/>
  <c r="G622" i="2"/>
  <c r="G623" i="2"/>
  <c r="G624" i="2"/>
  <c r="G625" i="2"/>
  <c r="G626" i="2"/>
  <c r="G627" i="2"/>
  <c r="G628" i="2"/>
  <c r="G629" i="2"/>
  <c r="G630" i="2"/>
  <c r="G631" i="2"/>
  <c r="G632" i="2"/>
  <c r="G633" i="2"/>
  <c r="G634" i="2"/>
  <c r="G635" i="2"/>
  <c r="G636" i="2"/>
  <c r="G637" i="2"/>
  <c r="G638" i="2"/>
  <c r="G639" i="2"/>
  <c r="G640" i="2"/>
  <c r="G641" i="2"/>
  <c r="G642" i="2"/>
  <c r="G643" i="2"/>
  <c r="G644" i="2"/>
  <c r="G645" i="2"/>
  <c r="G646" i="2"/>
  <c r="G647" i="2"/>
  <c r="G648" i="2"/>
  <c r="G649" i="2"/>
  <c r="G650" i="2"/>
  <c r="G651" i="2"/>
  <c r="G652" i="2"/>
  <c r="G653" i="2"/>
  <c r="G654" i="2"/>
  <c r="G655" i="2"/>
  <c r="G656" i="2"/>
  <c r="G657" i="2"/>
  <c r="G658" i="2"/>
  <c r="G659" i="2"/>
  <c r="G660" i="2"/>
  <c r="G661" i="2"/>
  <c r="G662" i="2"/>
  <c r="G663" i="2"/>
  <c r="G664" i="2"/>
  <c r="G665" i="2"/>
  <c r="G666" i="2"/>
  <c r="G667" i="2"/>
  <c r="G668" i="2"/>
  <c r="G669" i="2"/>
  <c r="G670" i="2"/>
  <c r="G671" i="2"/>
  <c r="G672" i="2"/>
  <c r="G673" i="2"/>
  <c r="G674" i="2"/>
  <c r="G675" i="2"/>
  <c r="G676" i="2"/>
  <c r="G677" i="2"/>
  <c r="G678" i="2"/>
  <c r="G679" i="2"/>
  <c r="G680" i="2"/>
  <c r="G681" i="2"/>
  <c r="G682" i="2"/>
  <c r="G683" i="2"/>
  <c r="G684" i="2"/>
  <c r="G685" i="2"/>
  <c r="G686" i="2"/>
  <c r="G687" i="2"/>
  <c r="G688" i="2"/>
  <c r="G689" i="2"/>
  <c r="G690" i="2"/>
  <c r="G691" i="2"/>
  <c r="G692" i="2"/>
  <c r="G693" i="2"/>
  <c r="G694" i="2"/>
  <c r="G695" i="2"/>
  <c r="G696" i="2"/>
  <c r="G697" i="2"/>
  <c r="G698" i="2"/>
  <c r="G699" i="2"/>
  <c r="G700" i="2"/>
  <c r="G701" i="2"/>
  <c r="G702" i="2"/>
  <c r="G703" i="2"/>
  <c r="G704" i="2"/>
  <c r="G705" i="2"/>
  <c r="G706" i="2"/>
  <c r="G707" i="2"/>
  <c r="G708" i="2"/>
  <c r="G709" i="2"/>
  <c r="G710" i="2"/>
  <c r="G711" i="2"/>
  <c r="G712" i="2"/>
  <c r="G713" i="2"/>
  <c r="G714" i="2"/>
  <c r="G715" i="2"/>
  <c r="G716" i="2"/>
  <c r="G717" i="2"/>
  <c r="G718" i="2"/>
  <c r="G719" i="2"/>
  <c r="G720" i="2"/>
  <c r="G721" i="2"/>
  <c r="G722" i="2"/>
  <c r="G723" i="2"/>
  <c r="G724" i="2"/>
  <c r="G725" i="2"/>
  <c r="G726" i="2"/>
  <c r="G727" i="2"/>
  <c r="G728" i="2"/>
  <c r="G729" i="2"/>
  <c r="G730" i="2"/>
  <c r="G731" i="2"/>
  <c r="G732" i="2"/>
  <c r="G733" i="2"/>
  <c r="G734" i="2"/>
  <c r="G735" i="2"/>
  <c r="G736" i="2"/>
  <c r="G737" i="2"/>
  <c r="G738" i="2"/>
  <c r="G739" i="2"/>
  <c r="G740" i="2"/>
  <c r="G741" i="2"/>
  <c r="G742" i="2"/>
  <c r="G743" i="2"/>
  <c r="G744" i="2"/>
  <c r="G745" i="2"/>
  <c r="G746" i="2"/>
  <c r="G747" i="2"/>
  <c r="G748" i="2"/>
  <c r="G749" i="2"/>
  <c r="G750" i="2"/>
  <c r="G751" i="2"/>
  <c r="G752" i="2"/>
  <c r="G753" i="2"/>
  <c r="G754" i="2"/>
  <c r="G755" i="2"/>
  <c r="G756" i="2"/>
  <c r="G757" i="2"/>
  <c r="G758" i="2"/>
  <c r="G759" i="2"/>
  <c r="G760" i="2"/>
  <c r="G761" i="2"/>
  <c r="G762" i="2"/>
  <c r="G763" i="2"/>
  <c r="G764" i="2"/>
  <c r="G765" i="2"/>
  <c r="G766" i="2"/>
  <c r="G767" i="2"/>
  <c r="G768" i="2"/>
  <c r="G769" i="2"/>
  <c r="G770" i="2"/>
  <c r="G771" i="2"/>
  <c r="G772" i="2"/>
  <c r="G773" i="2"/>
  <c r="G774" i="2"/>
  <c r="G775" i="2"/>
  <c r="G776" i="2"/>
  <c r="G777" i="2"/>
  <c r="G778" i="2"/>
  <c r="G779" i="2"/>
  <c r="G780" i="2"/>
  <c r="G781" i="2"/>
  <c r="G782" i="2"/>
  <c r="G783" i="2"/>
  <c r="G784" i="2"/>
  <c r="G785" i="2"/>
  <c r="G786" i="2"/>
  <c r="G787" i="2"/>
  <c r="G788" i="2"/>
  <c r="G789" i="2"/>
  <c r="G790" i="2"/>
  <c r="G791" i="2"/>
  <c r="G792" i="2"/>
  <c r="G793" i="2"/>
  <c r="G794" i="2"/>
  <c r="G795" i="2"/>
  <c r="G796" i="2"/>
  <c r="G797" i="2"/>
  <c r="G798" i="2"/>
  <c r="G799" i="2"/>
  <c r="G800" i="2"/>
  <c r="G801" i="2"/>
  <c r="G802" i="2"/>
  <c r="G803" i="2"/>
  <c r="G804" i="2"/>
  <c r="G805" i="2"/>
  <c r="G806" i="2"/>
  <c r="G807" i="2"/>
  <c r="G808" i="2"/>
  <c r="G809" i="2"/>
  <c r="G810" i="2"/>
  <c r="G811" i="2"/>
  <c r="G812" i="2"/>
  <c r="G813" i="2"/>
  <c r="G814" i="2"/>
  <c r="G815" i="2"/>
  <c r="G816" i="2"/>
  <c r="G817" i="2"/>
  <c r="G818" i="2"/>
  <c r="G819" i="2"/>
  <c r="G820" i="2"/>
  <c r="G821" i="2"/>
  <c r="G822" i="2"/>
  <c r="G823" i="2"/>
  <c r="G824" i="2"/>
  <c r="G825" i="2"/>
  <c r="G826" i="2"/>
  <c r="G827" i="2"/>
  <c r="G828" i="2"/>
  <c r="G829" i="2"/>
  <c r="G830" i="2"/>
  <c r="G831" i="2"/>
  <c r="G832" i="2"/>
  <c r="G833" i="2"/>
  <c r="G834" i="2"/>
  <c r="G835" i="2"/>
  <c r="G836" i="2"/>
  <c r="G837" i="2"/>
  <c r="G838" i="2"/>
  <c r="G839" i="2"/>
  <c r="G840" i="2"/>
  <c r="G841" i="2"/>
  <c r="G842" i="2"/>
  <c r="G843" i="2"/>
  <c r="G844" i="2"/>
  <c r="G845" i="2"/>
  <c r="G846" i="2"/>
  <c r="G847" i="2"/>
  <c r="G848" i="2"/>
  <c r="G849" i="2"/>
  <c r="G850" i="2"/>
  <c r="G851" i="2"/>
  <c r="G852" i="2"/>
  <c r="G853" i="2"/>
  <c r="G854" i="2"/>
  <c r="G855" i="2"/>
  <c r="G856" i="2"/>
  <c r="G857" i="2"/>
  <c r="G858" i="2"/>
  <c r="G859" i="2"/>
  <c r="G860" i="2"/>
  <c r="G861" i="2"/>
  <c r="G862" i="2"/>
  <c r="G863" i="2"/>
  <c r="G864" i="2"/>
  <c r="G865" i="2"/>
  <c r="G866" i="2"/>
  <c r="G867" i="2"/>
  <c r="G868" i="2"/>
  <c r="G869" i="2"/>
  <c r="G870" i="2"/>
  <c r="G871" i="2"/>
  <c r="G872" i="2"/>
  <c r="G873" i="2"/>
  <c r="G874" i="2"/>
  <c r="G875" i="2"/>
  <c r="G876" i="2"/>
  <c r="G877" i="2"/>
  <c r="G878" i="2"/>
  <c r="G879" i="2"/>
  <c r="G880" i="2"/>
  <c r="G881" i="2"/>
  <c r="G882" i="2"/>
  <c r="G883" i="2"/>
  <c r="G884" i="2"/>
  <c r="G885" i="2"/>
  <c r="G886" i="2"/>
  <c r="G887" i="2"/>
  <c r="G888" i="2"/>
  <c r="G889" i="2"/>
  <c r="G890" i="2"/>
  <c r="G891" i="2"/>
  <c r="G892" i="2"/>
  <c r="G893" i="2"/>
  <c r="G894" i="2"/>
  <c r="G895" i="2"/>
  <c r="G896" i="2"/>
  <c r="G897" i="2"/>
  <c r="G898" i="2"/>
  <c r="G899" i="2"/>
  <c r="G900" i="2"/>
  <c r="G901" i="2"/>
  <c r="G902" i="2"/>
  <c r="G903" i="2"/>
  <c r="G904" i="2"/>
  <c r="G905" i="2"/>
  <c r="G906" i="2"/>
  <c r="G907" i="2"/>
  <c r="G908" i="2"/>
  <c r="G909" i="2"/>
  <c r="G910" i="2"/>
  <c r="G911" i="2"/>
  <c r="G912" i="2"/>
  <c r="G913" i="2"/>
  <c r="G914" i="2"/>
  <c r="G915" i="2"/>
  <c r="G916" i="2"/>
  <c r="G917" i="2"/>
  <c r="G918" i="2"/>
  <c r="G919" i="2"/>
  <c r="G920" i="2"/>
  <c r="G921" i="2"/>
  <c r="G922" i="2"/>
  <c r="G923" i="2"/>
  <c r="G924" i="2"/>
  <c r="G925" i="2"/>
  <c r="G926" i="2"/>
  <c r="G927" i="2"/>
  <c r="G928" i="2"/>
  <c r="G929" i="2"/>
  <c r="G930" i="2"/>
  <c r="G931" i="2"/>
  <c r="G932" i="2"/>
  <c r="G933" i="2"/>
  <c r="G934" i="2"/>
  <c r="G935" i="2"/>
  <c r="G936" i="2"/>
  <c r="G937" i="2"/>
  <c r="G938" i="2"/>
  <c r="G939" i="2"/>
  <c r="G940" i="2"/>
  <c r="G941" i="2"/>
  <c r="G942" i="2"/>
  <c r="G943" i="2"/>
  <c r="G944" i="2"/>
  <c r="G945" i="2"/>
  <c r="G946" i="2"/>
  <c r="G947" i="2"/>
  <c r="G948" i="2"/>
  <c r="G949" i="2"/>
  <c r="G950" i="2"/>
  <c r="G951" i="2"/>
  <c r="G952" i="2"/>
  <c r="G953" i="2"/>
  <c r="G954" i="2"/>
  <c r="G955" i="2"/>
  <c r="G956" i="2"/>
  <c r="G957" i="2"/>
  <c r="G958" i="2"/>
  <c r="G959" i="2"/>
  <c r="G960" i="2"/>
  <c r="G961" i="2"/>
  <c r="G962" i="2"/>
  <c r="G963" i="2"/>
  <c r="G964" i="2"/>
  <c r="G965" i="2"/>
  <c r="G966" i="2"/>
  <c r="G967" i="2"/>
  <c r="G968" i="2"/>
  <c r="G969" i="2"/>
  <c r="G970" i="2"/>
  <c r="G971" i="2"/>
  <c r="G972" i="2"/>
  <c r="G973" i="2"/>
  <c r="G974" i="2"/>
  <c r="G975" i="2"/>
  <c r="G976" i="2"/>
  <c r="G977" i="2"/>
  <c r="G978" i="2"/>
  <c r="G979" i="2"/>
  <c r="G980" i="2"/>
  <c r="G981" i="2"/>
  <c r="G982" i="2"/>
  <c r="G983" i="2"/>
  <c r="G984" i="2"/>
  <c r="G985" i="2"/>
  <c r="G986" i="2"/>
  <c r="G987" i="2"/>
  <c r="G988" i="2"/>
  <c r="G989" i="2"/>
  <c r="G990" i="2"/>
  <c r="G991" i="2"/>
  <c r="G992" i="2"/>
  <c r="G993" i="2"/>
  <c r="G994" i="2"/>
  <c r="J994" i="2"/>
  <c r="M994" i="2"/>
  <c r="P994" i="2" s="1"/>
  <c r="Q994" i="2" s="1"/>
  <c r="N994" i="2"/>
  <c r="O994" i="2"/>
  <c r="G995" i="2"/>
  <c r="J995" i="2"/>
  <c r="M995" i="2"/>
  <c r="N995" i="2"/>
  <c r="O995" i="2"/>
  <c r="P995" i="2"/>
  <c r="Q995" i="2" s="1"/>
  <c r="G996" i="2"/>
  <c r="J996" i="2"/>
  <c r="M996" i="2"/>
  <c r="N996" i="2"/>
  <c r="O996" i="2"/>
  <c r="G997" i="2"/>
  <c r="J997" i="2"/>
  <c r="M997" i="2"/>
  <c r="P997" i="2" s="1"/>
  <c r="Q997" i="2" s="1"/>
  <c r="N997" i="2"/>
  <c r="O997" i="2"/>
  <c r="G998" i="2"/>
  <c r="J998" i="2"/>
  <c r="M998" i="2"/>
  <c r="P998" i="2" s="1"/>
  <c r="Q998" i="2" s="1"/>
  <c r="N998" i="2"/>
  <c r="O998" i="2"/>
  <c r="G999" i="2"/>
  <c r="J999" i="2"/>
  <c r="M999" i="2"/>
  <c r="N999" i="2"/>
  <c r="O999" i="2"/>
  <c r="P999" i="2"/>
  <c r="Q999" i="2" s="1"/>
  <c r="G1000" i="2"/>
  <c r="J1000" i="2"/>
  <c r="M1000" i="2"/>
  <c r="P1000" i="2" s="1"/>
  <c r="Q1000" i="2" s="1"/>
  <c r="N1000" i="2"/>
  <c r="O1000" i="2"/>
  <c r="G1001" i="2"/>
  <c r="J1001" i="2"/>
  <c r="M1001" i="2"/>
  <c r="N1001" i="2"/>
  <c r="O1001" i="2"/>
  <c r="G1002" i="2"/>
  <c r="J1002" i="2"/>
  <c r="M1002" i="2"/>
  <c r="N1002" i="2"/>
  <c r="O1002" i="2"/>
  <c r="G1003" i="2"/>
  <c r="J1003" i="2"/>
  <c r="M1003" i="2"/>
  <c r="N1003" i="2"/>
  <c r="O1003" i="2"/>
  <c r="G1004" i="2"/>
  <c r="J1004" i="2"/>
  <c r="M1004" i="2"/>
  <c r="N1004" i="2"/>
  <c r="O1004" i="2"/>
  <c r="G1005" i="2"/>
  <c r="J1005" i="2"/>
  <c r="M1005" i="2"/>
  <c r="P1005" i="2" s="1"/>
  <c r="Q1005" i="2" s="1"/>
  <c r="N1005" i="2"/>
  <c r="O1005" i="2"/>
  <c r="G1006" i="2"/>
  <c r="J1006" i="2"/>
  <c r="M1006" i="2"/>
  <c r="N1006" i="2"/>
  <c r="O1006" i="2"/>
  <c r="G1007" i="2"/>
  <c r="J1007" i="2"/>
  <c r="M1007" i="2"/>
  <c r="N1007" i="2"/>
  <c r="O1007" i="2"/>
  <c r="G1008" i="2"/>
  <c r="J1008" i="2"/>
  <c r="M1008" i="2"/>
  <c r="N1008" i="2"/>
  <c r="O1008" i="2"/>
  <c r="G1009" i="2"/>
  <c r="J1009" i="2"/>
  <c r="M1009" i="2"/>
  <c r="N1009" i="2"/>
  <c r="O1009" i="2"/>
  <c r="G1010" i="2"/>
  <c r="J1010" i="2"/>
  <c r="M1010" i="2"/>
  <c r="P1010" i="2" s="1"/>
  <c r="Q1010" i="2" s="1"/>
  <c r="N1010" i="2"/>
  <c r="O1010" i="2"/>
  <c r="G1011" i="2"/>
  <c r="J1011" i="2"/>
  <c r="M1011" i="2"/>
  <c r="N1011" i="2"/>
  <c r="O1011" i="2"/>
  <c r="G1012" i="2"/>
  <c r="J1012" i="2"/>
  <c r="M1012" i="2"/>
  <c r="P1012" i="2" s="1"/>
  <c r="Q1012" i="2" s="1"/>
  <c r="N1012" i="2"/>
  <c r="O1012" i="2"/>
  <c r="G1013" i="2"/>
  <c r="J1013" i="2"/>
  <c r="M1013" i="2"/>
  <c r="N1013" i="2"/>
  <c r="O1013" i="2"/>
  <c r="G1014" i="2"/>
  <c r="J1014" i="2"/>
  <c r="M1014" i="2"/>
  <c r="N1014" i="2"/>
  <c r="O1014" i="2"/>
  <c r="G1015" i="2"/>
  <c r="J1015" i="2"/>
  <c r="M1015" i="2"/>
  <c r="N1015" i="2"/>
  <c r="O1015" i="2"/>
  <c r="G1016" i="2"/>
  <c r="J1016" i="2"/>
  <c r="M1016" i="2"/>
  <c r="P1016" i="2" s="1"/>
  <c r="Q1016" i="2" s="1"/>
  <c r="N1016" i="2"/>
  <c r="O1016" i="2"/>
  <c r="G1017" i="2"/>
  <c r="J1017" i="2"/>
  <c r="M1017" i="2"/>
  <c r="P1017" i="2" s="1"/>
  <c r="Q1017" i="2" s="1"/>
  <c r="N1017" i="2"/>
  <c r="O1017" i="2"/>
  <c r="G1018" i="2"/>
  <c r="J1018" i="2"/>
  <c r="M1018" i="2"/>
  <c r="N1018" i="2"/>
  <c r="O1018" i="2"/>
  <c r="G1019" i="2"/>
  <c r="J1019" i="2"/>
  <c r="M1019" i="2"/>
  <c r="N1019" i="2"/>
  <c r="O1019" i="2"/>
  <c r="G1020" i="2"/>
  <c r="J1020" i="2"/>
  <c r="M1020" i="2"/>
  <c r="P1020" i="2" s="1"/>
  <c r="Q1020" i="2" s="1"/>
  <c r="N1020" i="2"/>
  <c r="O1020" i="2"/>
  <c r="G1021" i="2"/>
  <c r="J1021" i="2"/>
  <c r="M1021" i="2"/>
  <c r="N1021" i="2"/>
  <c r="O1021" i="2"/>
  <c r="G1022" i="2"/>
  <c r="J1022" i="2"/>
  <c r="M1022" i="2"/>
  <c r="P1022" i="2" s="1"/>
  <c r="Q1022" i="2" s="1"/>
  <c r="N1022" i="2"/>
  <c r="O1022" i="2"/>
  <c r="G1023" i="2"/>
  <c r="J1023" i="2"/>
  <c r="M1023" i="2"/>
  <c r="N1023" i="2"/>
  <c r="O1023" i="2"/>
  <c r="G1024" i="2"/>
  <c r="J1024" i="2"/>
  <c r="M1024" i="2"/>
  <c r="P1024" i="2" s="1"/>
  <c r="Q1024" i="2" s="1"/>
  <c r="N1024" i="2"/>
  <c r="O1024" i="2"/>
  <c r="G1025" i="2"/>
  <c r="J1025" i="2"/>
  <c r="M1025" i="2"/>
  <c r="N1025" i="2"/>
  <c r="O1025" i="2"/>
  <c r="G1026" i="2"/>
  <c r="J1026" i="2"/>
  <c r="M1026" i="2"/>
  <c r="N1026" i="2"/>
  <c r="O1026" i="2"/>
  <c r="G1027" i="2"/>
  <c r="J1027" i="2"/>
  <c r="P1027" i="2" s="1"/>
  <c r="Q1027" i="2" s="1"/>
  <c r="M1027" i="2"/>
  <c r="N1027" i="2"/>
  <c r="O1027" i="2"/>
  <c r="G1028" i="2"/>
  <c r="J1028" i="2"/>
  <c r="P1028" i="2" s="1"/>
  <c r="Q1028" i="2" s="1"/>
  <c r="M1028" i="2"/>
  <c r="N1028" i="2"/>
  <c r="O1028" i="2"/>
  <c r="G1029" i="2"/>
  <c r="J1029" i="2"/>
  <c r="M1029" i="2"/>
  <c r="P1029" i="2" s="1"/>
  <c r="Q1029" i="2" s="1"/>
  <c r="N1029" i="2"/>
  <c r="O1029" i="2"/>
  <c r="G1030" i="2"/>
  <c r="J1030" i="2"/>
  <c r="M1030" i="2"/>
  <c r="P1030" i="2" s="1"/>
  <c r="Q1030" i="2" s="1"/>
  <c r="N1030" i="2"/>
  <c r="O1030" i="2"/>
  <c r="G1031" i="2"/>
  <c r="J1031" i="2"/>
  <c r="M1031" i="2"/>
  <c r="N1031" i="2"/>
  <c r="O1031" i="2"/>
  <c r="P1031" i="2"/>
  <c r="Q1031" i="2" s="1"/>
  <c r="G1032" i="2"/>
  <c r="J1032" i="2"/>
  <c r="M1032" i="2"/>
  <c r="N1032" i="2"/>
  <c r="O1032" i="2"/>
  <c r="G1033" i="2"/>
  <c r="J1033" i="2"/>
  <c r="M1033" i="2"/>
  <c r="P1033" i="2" s="1"/>
  <c r="Q1033" i="2" s="1"/>
  <c r="N1033" i="2"/>
  <c r="O1033" i="2"/>
  <c r="G1034" i="2"/>
  <c r="J1034" i="2"/>
  <c r="M1034" i="2"/>
  <c r="P1034" i="2" s="1"/>
  <c r="Q1034" i="2" s="1"/>
  <c r="N1034" i="2"/>
  <c r="O1034" i="2"/>
  <c r="G1035" i="2"/>
  <c r="J1035" i="2"/>
  <c r="M1035" i="2"/>
  <c r="N1035" i="2"/>
  <c r="O1035" i="2"/>
  <c r="P1035" i="2"/>
  <c r="Q1035" i="2" s="1"/>
  <c r="G1036" i="2"/>
  <c r="J1036" i="2"/>
  <c r="M1036" i="2"/>
  <c r="P1036" i="2" s="1"/>
  <c r="Q1036" i="2" s="1"/>
  <c r="N1036" i="2"/>
  <c r="O1036" i="2"/>
  <c r="G1037" i="2"/>
  <c r="J1037" i="2"/>
  <c r="M1037" i="2"/>
  <c r="P1037" i="2" s="1"/>
  <c r="Q1037" i="2" s="1"/>
  <c r="N1037" i="2"/>
  <c r="O1037" i="2"/>
  <c r="G1038" i="2"/>
  <c r="J1038" i="2"/>
  <c r="M1038" i="2"/>
  <c r="P1038" i="2" s="1"/>
  <c r="Q1038" i="2" s="1"/>
  <c r="N1038" i="2"/>
  <c r="O1038" i="2"/>
  <c r="G1039" i="2"/>
  <c r="J1039" i="2"/>
  <c r="M1039" i="2"/>
  <c r="N1039" i="2"/>
  <c r="O1039" i="2"/>
  <c r="P1039" i="2"/>
  <c r="Q1039" i="2" s="1"/>
  <c r="G1040" i="2"/>
  <c r="J1040" i="2"/>
  <c r="M1040" i="2"/>
  <c r="N1040" i="2"/>
  <c r="O1040" i="2"/>
  <c r="G1041" i="2"/>
  <c r="J1041" i="2"/>
  <c r="M1041" i="2"/>
  <c r="N1041" i="2"/>
  <c r="O1041" i="2"/>
  <c r="G1042" i="2"/>
  <c r="J1042" i="2"/>
  <c r="M1042" i="2"/>
  <c r="N1042" i="2"/>
  <c r="O1042" i="2"/>
  <c r="G1043" i="2"/>
  <c r="J1043" i="2"/>
  <c r="P1043" i="2" s="1"/>
  <c r="Q1043" i="2" s="1"/>
  <c r="M1043" i="2"/>
  <c r="N1043" i="2"/>
  <c r="O1043" i="2"/>
  <c r="G1044" i="2"/>
  <c r="J1044" i="2"/>
  <c r="M1044" i="2"/>
  <c r="N1044" i="2"/>
  <c r="O1044" i="2"/>
  <c r="G1045" i="2"/>
  <c r="J1045" i="2"/>
  <c r="M1045" i="2"/>
  <c r="P1045" i="2" s="1"/>
  <c r="Q1045" i="2" s="1"/>
  <c r="N1045" i="2"/>
  <c r="O1045" i="2"/>
  <c r="G1046" i="2"/>
  <c r="J1046" i="2"/>
  <c r="M1046" i="2"/>
  <c r="P1046" i="2" s="1"/>
  <c r="Q1046" i="2" s="1"/>
  <c r="N1046" i="2"/>
  <c r="O1046" i="2"/>
  <c r="G1047" i="2"/>
  <c r="J1047" i="2"/>
  <c r="M1047" i="2"/>
  <c r="N1047" i="2"/>
  <c r="O1047" i="2"/>
  <c r="P1047" i="2"/>
  <c r="Q1047" i="2" s="1"/>
  <c r="G1048" i="2"/>
  <c r="J1048" i="2"/>
  <c r="M1048" i="2"/>
  <c r="N1048" i="2"/>
  <c r="O1048" i="2"/>
  <c r="G1049" i="2"/>
  <c r="J1049" i="2"/>
  <c r="M1049" i="2"/>
  <c r="P1049" i="2" s="1"/>
  <c r="Q1049" i="2" s="1"/>
  <c r="N1049" i="2"/>
  <c r="O1049" i="2"/>
  <c r="G1050" i="2"/>
  <c r="J1050" i="2"/>
  <c r="M1050" i="2"/>
  <c r="P1050" i="2" s="1"/>
  <c r="Q1050" i="2" s="1"/>
  <c r="N1050" i="2"/>
  <c r="O1050" i="2"/>
  <c r="G1051" i="2"/>
  <c r="J1051" i="2"/>
  <c r="M1051" i="2"/>
  <c r="N1051" i="2"/>
  <c r="O1051" i="2"/>
  <c r="P1051" i="2"/>
  <c r="Q1051" i="2" s="1"/>
  <c r="G1052" i="2"/>
  <c r="J1052" i="2"/>
  <c r="M1052" i="2"/>
  <c r="P1052" i="2" s="1"/>
  <c r="Q1052" i="2" s="1"/>
  <c r="N1052" i="2"/>
  <c r="O1052" i="2"/>
  <c r="G1053" i="2"/>
  <c r="J1053" i="2"/>
  <c r="M1053" i="2"/>
  <c r="P1053" i="2" s="1"/>
  <c r="Q1053" i="2" s="1"/>
  <c r="N1053" i="2"/>
  <c r="O1053" i="2"/>
  <c r="G1054" i="2"/>
  <c r="J1054" i="2"/>
  <c r="M1054" i="2"/>
  <c r="P1054" i="2" s="1"/>
  <c r="Q1054" i="2" s="1"/>
  <c r="N1054" i="2"/>
  <c r="O1054" i="2"/>
  <c r="G1055" i="2"/>
  <c r="J1055" i="2"/>
  <c r="M1055" i="2"/>
  <c r="N1055" i="2"/>
  <c r="O1055" i="2"/>
  <c r="P1055" i="2"/>
  <c r="Q1055" i="2" s="1"/>
  <c r="G1056" i="2"/>
  <c r="J1056" i="2"/>
  <c r="M1056" i="2"/>
  <c r="P1056" i="2" s="1"/>
  <c r="Q1056" i="2" s="1"/>
  <c r="N1056" i="2"/>
  <c r="O1056" i="2"/>
  <c r="G1057" i="2"/>
  <c r="J1057" i="2"/>
  <c r="M1057" i="2"/>
  <c r="N1057" i="2"/>
  <c r="O1057" i="2"/>
  <c r="G1058" i="2"/>
  <c r="J1058" i="2"/>
  <c r="M1058" i="2"/>
  <c r="N1058" i="2"/>
  <c r="O1058" i="2"/>
  <c r="G1059" i="2"/>
  <c r="J1059" i="2"/>
  <c r="M1059" i="2"/>
  <c r="N1059" i="2"/>
  <c r="O1059" i="2"/>
  <c r="G1060" i="2"/>
  <c r="J1060" i="2"/>
  <c r="M1060" i="2"/>
  <c r="N1060" i="2"/>
  <c r="O1060" i="2"/>
  <c r="G1061" i="2"/>
  <c r="J1061" i="2"/>
  <c r="M1061" i="2"/>
  <c r="P1061" i="2" s="1"/>
  <c r="Q1061" i="2" s="1"/>
  <c r="N1061" i="2"/>
  <c r="O1061" i="2"/>
  <c r="G1062" i="2"/>
  <c r="J1062" i="2"/>
  <c r="M1062" i="2"/>
  <c r="N1062" i="2"/>
  <c r="O1062" i="2"/>
  <c r="G1063" i="2"/>
  <c r="J1063" i="2"/>
  <c r="M1063" i="2"/>
  <c r="N1063" i="2"/>
  <c r="O1063" i="2"/>
  <c r="P1063" i="2"/>
  <c r="Q1063" i="2" s="1"/>
  <c r="G1064" i="2"/>
  <c r="J1064" i="2"/>
  <c r="M1064" i="2"/>
  <c r="N1064" i="2"/>
  <c r="O1064" i="2"/>
  <c r="G1065" i="2"/>
  <c r="J1065" i="2"/>
  <c r="M1065" i="2"/>
  <c r="N1065" i="2"/>
  <c r="O1065" i="2"/>
  <c r="G1066" i="2"/>
  <c r="J1066" i="2"/>
  <c r="M1066" i="2"/>
  <c r="P1066" i="2" s="1"/>
  <c r="Q1066" i="2" s="1"/>
  <c r="N1066" i="2"/>
  <c r="O1066" i="2"/>
  <c r="G1067" i="2"/>
  <c r="J1067" i="2"/>
  <c r="M1067" i="2"/>
  <c r="N1067" i="2"/>
  <c r="O1067" i="2"/>
  <c r="G1068" i="2"/>
  <c r="J1068" i="2"/>
  <c r="M1068" i="2"/>
  <c r="N1068" i="2"/>
  <c r="O1068" i="2"/>
  <c r="G1069" i="2"/>
  <c r="J1069" i="2"/>
  <c r="M1069" i="2"/>
  <c r="N1069" i="2"/>
  <c r="O1069" i="2"/>
  <c r="G1070" i="2"/>
  <c r="G1071" i="2"/>
  <c r="G1072" i="2"/>
  <c r="G1073" i="2"/>
  <c r="G1074" i="2"/>
  <c r="G1075" i="2"/>
  <c r="G1076" i="2"/>
  <c r="G1077" i="2"/>
  <c r="G1078" i="2"/>
  <c r="G1079" i="2"/>
  <c r="G1080" i="2"/>
  <c r="G1081" i="2"/>
  <c r="G1082" i="2"/>
  <c r="G1083" i="2"/>
  <c r="G1084" i="2"/>
  <c r="G1085" i="2"/>
  <c r="G1086" i="2"/>
  <c r="G1087" i="2"/>
  <c r="G1088" i="2"/>
  <c r="G1089" i="2"/>
  <c r="G1090" i="2"/>
  <c r="G1091" i="2"/>
  <c r="G1092" i="2"/>
  <c r="G1093" i="2"/>
  <c r="G1094" i="2"/>
  <c r="G1095" i="2"/>
  <c r="G1096" i="2"/>
  <c r="G1097" i="2"/>
  <c r="G1098" i="2"/>
  <c r="G1099" i="2"/>
  <c r="G1100" i="2"/>
  <c r="G1101" i="2"/>
  <c r="G1102" i="2"/>
  <c r="G1103" i="2"/>
  <c r="G1104" i="2"/>
  <c r="G1105" i="2"/>
  <c r="G1106" i="2"/>
  <c r="G1107" i="2"/>
  <c r="G1108" i="2"/>
  <c r="G1109" i="2"/>
  <c r="G1110" i="2"/>
  <c r="G1111" i="2"/>
  <c r="G1112" i="2"/>
  <c r="G1113" i="2"/>
  <c r="G1114" i="2"/>
  <c r="G1115" i="2"/>
  <c r="G1116" i="2"/>
  <c r="G1117" i="2"/>
  <c r="G1118" i="2"/>
  <c r="G1119" i="2"/>
  <c r="G1120" i="2"/>
  <c r="G1121" i="2"/>
  <c r="G1122" i="2"/>
  <c r="G1123" i="2"/>
  <c r="G1124" i="2"/>
  <c r="G1125" i="2"/>
  <c r="G1126" i="2"/>
  <c r="G1127" i="2"/>
  <c r="G1128" i="2"/>
  <c r="G1129" i="2"/>
  <c r="G1130" i="2"/>
  <c r="G1131" i="2"/>
  <c r="G1132" i="2"/>
  <c r="G1133" i="2"/>
  <c r="G1134" i="2"/>
  <c r="G1135" i="2"/>
  <c r="G1136" i="2"/>
  <c r="G1137" i="2"/>
  <c r="G1138" i="2"/>
  <c r="G1139" i="2"/>
  <c r="G1140" i="2"/>
  <c r="G1141" i="2"/>
  <c r="G1142" i="2"/>
  <c r="G1143" i="2"/>
  <c r="G1144" i="2"/>
  <c r="G1145" i="2"/>
  <c r="G1146" i="2"/>
  <c r="G1147" i="2"/>
  <c r="G1148" i="2"/>
  <c r="G1149" i="2"/>
  <c r="G1150" i="2"/>
  <c r="G1151" i="2"/>
  <c r="G1152" i="2"/>
  <c r="G1153" i="2"/>
  <c r="G1154" i="2"/>
  <c r="G1155" i="2"/>
  <c r="G1156" i="2"/>
  <c r="G1157" i="2"/>
  <c r="G1158" i="2"/>
  <c r="G1159" i="2"/>
  <c r="G1160" i="2"/>
  <c r="G1161" i="2"/>
  <c r="G1162" i="2"/>
  <c r="G1163" i="2"/>
  <c r="G1164" i="2"/>
  <c r="G1165" i="2"/>
  <c r="G1166" i="2"/>
  <c r="G1167" i="2"/>
  <c r="G1168" i="2"/>
  <c r="G1169" i="2"/>
  <c r="G1170" i="2"/>
  <c r="G1171" i="2"/>
  <c r="G1172" i="2"/>
  <c r="G1173" i="2"/>
  <c r="G1174" i="2"/>
  <c r="G1175" i="2"/>
  <c r="G1176" i="2"/>
  <c r="G1177" i="2"/>
  <c r="G1178" i="2"/>
  <c r="G1179" i="2"/>
  <c r="G1180" i="2"/>
  <c r="G1181" i="2"/>
  <c r="G1182" i="2"/>
  <c r="G1183" i="2"/>
  <c r="G1184" i="2"/>
  <c r="G1185" i="2"/>
  <c r="G1186" i="2"/>
  <c r="G1187" i="2"/>
  <c r="G1188" i="2"/>
  <c r="G1189" i="2"/>
  <c r="G1190" i="2"/>
  <c r="G1191" i="2"/>
  <c r="G1192" i="2"/>
  <c r="G1193" i="2"/>
  <c r="G1194" i="2"/>
  <c r="G1195" i="2"/>
  <c r="G1196" i="2"/>
  <c r="G1197" i="2"/>
  <c r="G1198" i="2"/>
  <c r="G1199" i="2"/>
  <c r="G1200" i="2"/>
  <c r="G1201" i="2"/>
  <c r="G1202" i="2"/>
  <c r="G1203" i="2"/>
  <c r="G1204" i="2"/>
  <c r="G1205" i="2"/>
  <c r="G1206" i="2"/>
  <c r="G1207" i="2"/>
  <c r="G1208" i="2"/>
  <c r="G1209" i="2"/>
  <c r="G1210" i="2"/>
  <c r="G1211" i="2"/>
  <c r="G1212" i="2"/>
  <c r="G1213" i="2"/>
  <c r="G1214" i="2"/>
  <c r="G1215" i="2"/>
  <c r="G1216" i="2"/>
  <c r="G1217" i="2"/>
  <c r="G1218" i="2"/>
  <c r="G1219" i="2"/>
  <c r="G1220" i="2"/>
  <c r="G1221" i="2"/>
  <c r="G1222" i="2"/>
  <c r="G1223" i="2"/>
  <c r="G1224" i="2"/>
  <c r="G1225" i="2"/>
  <c r="G1226" i="2"/>
  <c r="G1227" i="2"/>
  <c r="G1228" i="2"/>
  <c r="G1229" i="2"/>
  <c r="G1230" i="2"/>
  <c r="G1231" i="2"/>
  <c r="G1232" i="2"/>
  <c r="G1233" i="2"/>
  <c r="G1234" i="2"/>
  <c r="G1235" i="2"/>
  <c r="G1236" i="2"/>
  <c r="G1237" i="2"/>
  <c r="G1238" i="2"/>
  <c r="G1239" i="2"/>
  <c r="G1240" i="2"/>
  <c r="G1241" i="2"/>
  <c r="G1242" i="2"/>
  <c r="G1243" i="2"/>
  <c r="G1244" i="2"/>
  <c r="G1245" i="2"/>
  <c r="G1246" i="2"/>
  <c r="G1247" i="2"/>
  <c r="G1248" i="2"/>
  <c r="G1249" i="2"/>
  <c r="G1250" i="2"/>
  <c r="G1251" i="2"/>
  <c r="G1252" i="2"/>
  <c r="G1253" i="2"/>
  <c r="G1254" i="2"/>
  <c r="G1255" i="2"/>
  <c r="G1256" i="2"/>
  <c r="G1257" i="2"/>
  <c r="G1258" i="2"/>
  <c r="G1259" i="2"/>
  <c r="G1260" i="2"/>
  <c r="G1261" i="2"/>
  <c r="G1262" i="2"/>
  <c r="G1263" i="2"/>
  <c r="G1264" i="2"/>
  <c r="G1265" i="2"/>
  <c r="G1266" i="2"/>
  <c r="G1267" i="2"/>
  <c r="G1268" i="2"/>
  <c r="G1269" i="2"/>
  <c r="G1270" i="2"/>
  <c r="G1271" i="2"/>
  <c r="G1272" i="2"/>
  <c r="G1273" i="2"/>
  <c r="G1274" i="2"/>
  <c r="G1275" i="2"/>
  <c r="G1276" i="2"/>
  <c r="G1277" i="2"/>
  <c r="G1278" i="2"/>
  <c r="G1279" i="2"/>
  <c r="G1280" i="2"/>
  <c r="G1281" i="2"/>
  <c r="G1282" i="2"/>
  <c r="G1283" i="2"/>
  <c r="G1284" i="2"/>
  <c r="G1285" i="2"/>
  <c r="G1286" i="2"/>
  <c r="G1287" i="2"/>
  <c r="G1288" i="2"/>
  <c r="G1289" i="2"/>
  <c r="G1290" i="2"/>
  <c r="G1291" i="2"/>
  <c r="G1292" i="2"/>
  <c r="G1293" i="2"/>
  <c r="G1294" i="2"/>
  <c r="G1295" i="2"/>
  <c r="G1296" i="2"/>
  <c r="G1297" i="2"/>
  <c r="G1298" i="2"/>
  <c r="G1299" i="2"/>
  <c r="G1300" i="2"/>
  <c r="G1301" i="2"/>
  <c r="G1302" i="2"/>
  <c r="G1303" i="2"/>
  <c r="G1304" i="2"/>
  <c r="G1305" i="2"/>
  <c r="G1306" i="2"/>
  <c r="G1307" i="2"/>
  <c r="G1308" i="2"/>
  <c r="G1309" i="2"/>
  <c r="G1310" i="2"/>
  <c r="G1311" i="2"/>
  <c r="G1312" i="2"/>
  <c r="G1313" i="2"/>
  <c r="G1314" i="2"/>
  <c r="G1315" i="2"/>
  <c r="G1316" i="2"/>
  <c r="G1317" i="2"/>
  <c r="G1318" i="2"/>
  <c r="G1319" i="2"/>
  <c r="G1320" i="2"/>
  <c r="G1321" i="2"/>
  <c r="G1322" i="2"/>
  <c r="G1323" i="2"/>
  <c r="G1324" i="2"/>
  <c r="G1325" i="2"/>
  <c r="G1326" i="2"/>
  <c r="G1327" i="2"/>
  <c r="G1328" i="2"/>
  <c r="G1329" i="2"/>
  <c r="G1330" i="2"/>
  <c r="G1331" i="2"/>
  <c r="G1332" i="2"/>
  <c r="G1333" i="2"/>
  <c r="G1334" i="2"/>
  <c r="G1335" i="2"/>
  <c r="G1336" i="2"/>
  <c r="G1337" i="2"/>
  <c r="G1338" i="2"/>
  <c r="G1339" i="2"/>
  <c r="G1340" i="2"/>
  <c r="G1341" i="2"/>
  <c r="G1342" i="2"/>
  <c r="G1343" i="2"/>
  <c r="G1344" i="2"/>
  <c r="G1345" i="2"/>
  <c r="G1346" i="2"/>
  <c r="G1347" i="2"/>
  <c r="G1348" i="2"/>
  <c r="G1349" i="2"/>
  <c r="G1350" i="2"/>
  <c r="G1351" i="2"/>
  <c r="G1352" i="2"/>
  <c r="G1353" i="2"/>
  <c r="G1354" i="2"/>
  <c r="G1355" i="2"/>
  <c r="G1356" i="2"/>
  <c r="G1357" i="2"/>
  <c r="G1358" i="2"/>
  <c r="G1359" i="2"/>
  <c r="G1360" i="2"/>
  <c r="G1361" i="2"/>
  <c r="G1362" i="2"/>
  <c r="G1363" i="2"/>
  <c r="G1364" i="2"/>
  <c r="G1365" i="2"/>
  <c r="G1366" i="2"/>
  <c r="G1367" i="2"/>
  <c r="G1368" i="2"/>
  <c r="G1369" i="2"/>
  <c r="G1370" i="2"/>
  <c r="G1371" i="2"/>
  <c r="G1372" i="2"/>
  <c r="G1373" i="2"/>
  <c r="G1374" i="2"/>
  <c r="G1375" i="2"/>
  <c r="G1376" i="2"/>
  <c r="G1377" i="2"/>
  <c r="G1378" i="2"/>
  <c r="G1379" i="2"/>
  <c r="G1380" i="2"/>
  <c r="G1381" i="2"/>
  <c r="G1382" i="2"/>
  <c r="G1383" i="2"/>
  <c r="G1384" i="2"/>
  <c r="G1385" i="2"/>
  <c r="G1386" i="2"/>
  <c r="G1387" i="2"/>
  <c r="G1388" i="2"/>
  <c r="G1389" i="2"/>
  <c r="G1390" i="2"/>
  <c r="G1391" i="2"/>
  <c r="G1392" i="2"/>
  <c r="G1393" i="2"/>
  <c r="G1394" i="2"/>
  <c r="G1395" i="2"/>
  <c r="G1396" i="2"/>
  <c r="G1397" i="2"/>
  <c r="G1398" i="2"/>
  <c r="G1399" i="2"/>
  <c r="G1400" i="2"/>
  <c r="G1401" i="2"/>
  <c r="G1402" i="2"/>
  <c r="G1403" i="2"/>
  <c r="G1404" i="2"/>
  <c r="G1405" i="2"/>
  <c r="G1406" i="2"/>
  <c r="G1407" i="2"/>
  <c r="G1408" i="2"/>
  <c r="G1409" i="2"/>
  <c r="G1410" i="2"/>
  <c r="G1411" i="2"/>
  <c r="G1412" i="2"/>
  <c r="G1413" i="2"/>
  <c r="G1414" i="2"/>
  <c r="G1415" i="2"/>
  <c r="G1416" i="2"/>
  <c r="G1417" i="2"/>
  <c r="G1418" i="2"/>
  <c r="G1419" i="2"/>
  <c r="G1420" i="2"/>
  <c r="G1421" i="2"/>
  <c r="G1422" i="2"/>
  <c r="G1423" i="2"/>
  <c r="G1424" i="2"/>
  <c r="G1425" i="2"/>
  <c r="G1426" i="2"/>
  <c r="G1427" i="2"/>
  <c r="G1428" i="2"/>
  <c r="G1429" i="2"/>
  <c r="G1430" i="2"/>
  <c r="G1431" i="2"/>
  <c r="G1432" i="2"/>
  <c r="G1433" i="2"/>
  <c r="G1434" i="2"/>
  <c r="G1435" i="2"/>
  <c r="G1436" i="2"/>
  <c r="G1437" i="2"/>
  <c r="G1438" i="2"/>
  <c r="G1439" i="2"/>
  <c r="G1440" i="2"/>
  <c r="G1441" i="2"/>
  <c r="G1442" i="2"/>
  <c r="G1443" i="2"/>
  <c r="G1444" i="2"/>
  <c r="G1445" i="2"/>
  <c r="G1446" i="2"/>
  <c r="G1447" i="2"/>
  <c r="G1448" i="2"/>
  <c r="G1449" i="2"/>
  <c r="G1450" i="2"/>
  <c r="G1451" i="2"/>
  <c r="G1452" i="2"/>
  <c r="G1453" i="2"/>
  <c r="G1454" i="2"/>
  <c r="G1455" i="2"/>
  <c r="G1456" i="2"/>
  <c r="G1457" i="2"/>
  <c r="G1458" i="2"/>
  <c r="G1459" i="2"/>
  <c r="G1460" i="2"/>
  <c r="G1461" i="2"/>
  <c r="G1462" i="2"/>
  <c r="G1463" i="2"/>
  <c r="G1464" i="2"/>
  <c r="G1465" i="2"/>
  <c r="G1466" i="2"/>
  <c r="G1467" i="2"/>
  <c r="G1468" i="2"/>
  <c r="G1469" i="2"/>
  <c r="G1470" i="2"/>
  <c r="G1471" i="2"/>
  <c r="G1472" i="2"/>
  <c r="G1473" i="2"/>
  <c r="G1474" i="2"/>
  <c r="G1475" i="2"/>
  <c r="G1476" i="2"/>
  <c r="G1477" i="2"/>
  <c r="G1478" i="2"/>
  <c r="G1479" i="2"/>
  <c r="G1480" i="2"/>
  <c r="G1481" i="2"/>
  <c r="G1482" i="2"/>
  <c r="G1483" i="2"/>
  <c r="G1484" i="2"/>
  <c r="G1485" i="2"/>
  <c r="G1486" i="2"/>
  <c r="G1487" i="2"/>
  <c r="G1488" i="2"/>
  <c r="G1489" i="2"/>
  <c r="G1490" i="2"/>
  <c r="G1491" i="2"/>
  <c r="G1492" i="2"/>
  <c r="G1493" i="2"/>
  <c r="G1494" i="2"/>
  <c r="G1495" i="2"/>
  <c r="G1496" i="2"/>
  <c r="G1497" i="2"/>
  <c r="G1498" i="2"/>
  <c r="G1499" i="2"/>
  <c r="G1500" i="2"/>
  <c r="G1501" i="2"/>
  <c r="G1502" i="2"/>
  <c r="G1503" i="2"/>
  <c r="G1504" i="2"/>
  <c r="G1505" i="2"/>
  <c r="G1506" i="2"/>
  <c r="G1507" i="2"/>
  <c r="G1508" i="2"/>
  <c r="G1509" i="2"/>
  <c r="G1510" i="2"/>
  <c r="G1511" i="2"/>
  <c r="G1512" i="2"/>
  <c r="G1513" i="2"/>
  <c r="G1514" i="2"/>
  <c r="G1515" i="2"/>
  <c r="G1516" i="2"/>
  <c r="G1517" i="2"/>
  <c r="G1518" i="2"/>
  <c r="G1519" i="2"/>
  <c r="G1520" i="2"/>
  <c r="G1521" i="2"/>
  <c r="G1522" i="2"/>
  <c r="G1523" i="2"/>
  <c r="G1524" i="2"/>
  <c r="G1525" i="2"/>
  <c r="G1526" i="2"/>
  <c r="G1527" i="2"/>
  <c r="G1528" i="2"/>
  <c r="G1529" i="2"/>
  <c r="G1530" i="2"/>
  <c r="G1531" i="2"/>
  <c r="G1532" i="2"/>
  <c r="G1533" i="2"/>
  <c r="G1534" i="2"/>
  <c r="G1535" i="2"/>
  <c r="G1536" i="2"/>
  <c r="G1537" i="2"/>
  <c r="G1538" i="2"/>
  <c r="G1539" i="2"/>
  <c r="G1540" i="2"/>
  <c r="G1541" i="2"/>
  <c r="G1542" i="2"/>
  <c r="G1543" i="2"/>
  <c r="G1544" i="2"/>
  <c r="G1545" i="2"/>
  <c r="G1546" i="2"/>
  <c r="G1547" i="2"/>
  <c r="G1548" i="2"/>
  <c r="G1549" i="2"/>
  <c r="G1550" i="2"/>
  <c r="G1551" i="2"/>
  <c r="G1552" i="2"/>
  <c r="G1553" i="2"/>
  <c r="G1554" i="2"/>
  <c r="G1555" i="2"/>
  <c r="G1556" i="2"/>
  <c r="G1557" i="2"/>
  <c r="G1558" i="2"/>
  <c r="G1559" i="2"/>
  <c r="G1560" i="2"/>
  <c r="G1561" i="2"/>
  <c r="G1562" i="2"/>
  <c r="G1563" i="2"/>
  <c r="G1564" i="2"/>
  <c r="G1565" i="2"/>
  <c r="G1566" i="2"/>
  <c r="G1567" i="2"/>
  <c r="G1568" i="2"/>
  <c r="G1569" i="2"/>
  <c r="G1570" i="2"/>
  <c r="G1571" i="2"/>
  <c r="G1572" i="2"/>
  <c r="G1573" i="2"/>
  <c r="G1574" i="2"/>
  <c r="G1575" i="2"/>
  <c r="G1576" i="2"/>
  <c r="G1577" i="2"/>
  <c r="G1578" i="2"/>
  <c r="G1579" i="2"/>
  <c r="G1580" i="2"/>
  <c r="G1581" i="2"/>
  <c r="G1582" i="2"/>
  <c r="G1583" i="2"/>
  <c r="G1584" i="2"/>
  <c r="G1585" i="2"/>
  <c r="G1586" i="2"/>
  <c r="G1587" i="2"/>
  <c r="G1588" i="2"/>
  <c r="G1589" i="2"/>
  <c r="G1590" i="2"/>
  <c r="G1591" i="2"/>
  <c r="G1592" i="2"/>
  <c r="G1593" i="2"/>
  <c r="G1594" i="2"/>
  <c r="G1595" i="2"/>
  <c r="G1596" i="2"/>
  <c r="G1597" i="2"/>
  <c r="G1598" i="2"/>
  <c r="G1599" i="2"/>
  <c r="G1600" i="2"/>
  <c r="G1601" i="2"/>
  <c r="G1602" i="2"/>
  <c r="G1603" i="2"/>
  <c r="G1604" i="2"/>
  <c r="G1605" i="2"/>
  <c r="G1606" i="2"/>
  <c r="G1607" i="2"/>
  <c r="G1608" i="2"/>
  <c r="G1609" i="2"/>
  <c r="G1610" i="2"/>
  <c r="G1611" i="2"/>
  <c r="G1612" i="2"/>
  <c r="G1613" i="2"/>
  <c r="G1614" i="2"/>
  <c r="G1615" i="2"/>
  <c r="G1616" i="2"/>
  <c r="G1617" i="2"/>
  <c r="G1618" i="2"/>
  <c r="G1619" i="2"/>
  <c r="G1620" i="2"/>
  <c r="G1621" i="2"/>
  <c r="G1622" i="2"/>
  <c r="G1623" i="2"/>
  <c r="G1624" i="2"/>
  <c r="G1625" i="2"/>
  <c r="G1626" i="2"/>
  <c r="G1627" i="2"/>
  <c r="G1628" i="2"/>
  <c r="G1629" i="2"/>
  <c r="G1630" i="2"/>
  <c r="G1631" i="2"/>
  <c r="G1632" i="2"/>
  <c r="G1633" i="2"/>
  <c r="G1634" i="2"/>
  <c r="G1635" i="2"/>
  <c r="G1636" i="2"/>
  <c r="G1637" i="2"/>
  <c r="G1638" i="2"/>
  <c r="G1639" i="2"/>
  <c r="G1640" i="2"/>
  <c r="G1641" i="2"/>
  <c r="G1642" i="2"/>
  <c r="G1643" i="2"/>
  <c r="G1644" i="2"/>
  <c r="G1645" i="2"/>
  <c r="G1646" i="2"/>
  <c r="G1647" i="2"/>
  <c r="G1648" i="2"/>
  <c r="G1649" i="2"/>
  <c r="G1650" i="2"/>
  <c r="G1651" i="2"/>
  <c r="G1652" i="2"/>
  <c r="G1653" i="2"/>
  <c r="G1654" i="2"/>
  <c r="G1655" i="2"/>
  <c r="G1656" i="2"/>
  <c r="G1657" i="2"/>
  <c r="G1658" i="2"/>
  <c r="G1659" i="2"/>
  <c r="G1660" i="2"/>
  <c r="G1661" i="2"/>
  <c r="G1662" i="2"/>
  <c r="G1663" i="2"/>
  <c r="G1664" i="2"/>
  <c r="G1665" i="2"/>
  <c r="G1666" i="2"/>
  <c r="G1667" i="2"/>
  <c r="G1668" i="2"/>
  <c r="G1669" i="2"/>
  <c r="G1670" i="2"/>
  <c r="G1671" i="2"/>
  <c r="G1672" i="2"/>
  <c r="G1673" i="2"/>
  <c r="G1674" i="2"/>
  <c r="G1675" i="2"/>
  <c r="G1676" i="2"/>
  <c r="G1677" i="2"/>
  <c r="G1678" i="2"/>
  <c r="G1679" i="2"/>
  <c r="G1680" i="2"/>
  <c r="G1681" i="2"/>
  <c r="G1682" i="2"/>
  <c r="G1683" i="2"/>
  <c r="G1684" i="2"/>
  <c r="G1685" i="2"/>
  <c r="G1686" i="2"/>
  <c r="G1687" i="2"/>
  <c r="G1688" i="2"/>
  <c r="G1689" i="2"/>
  <c r="G1690" i="2"/>
  <c r="G1691" i="2"/>
  <c r="G1692" i="2"/>
  <c r="G1693" i="2"/>
  <c r="G1694" i="2"/>
  <c r="G1695" i="2"/>
  <c r="G1696" i="2"/>
  <c r="G1697" i="2"/>
  <c r="G1698" i="2"/>
  <c r="G1699" i="2"/>
  <c r="G1700" i="2"/>
  <c r="G1701" i="2"/>
  <c r="G1702" i="2"/>
  <c r="G1703" i="2"/>
  <c r="G1704" i="2"/>
  <c r="G1705" i="2"/>
  <c r="G1706" i="2"/>
  <c r="G1707" i="2"/>
  <c r="G1708" i="2"/>
  <c r="G1709" i="2"/>
  <c r="G1710" i="2"/>
  <c r="G1711" i="2"/>
  <c r="G1712" i="2"/>
  <c r="G1713" i="2"/>
  <c r="G1714" i="2"/>
  <c r="G1715" i="2"/>
  <c r="G1716" i="2"/>
  <c r="G1717" i="2"/>
  <c r="G1718" i="2"/>
  <c r="G1719" i="2"/>
  <c r="G1720" i="2"/>
  <c r="G1721" i="2"/>
  <c r="G1722" i="2"/>
  <c r="G1723" i="2"/>
  <c r="G1724" i="2"/>
  <c r="G1725" i="2"/>
  <c r="G1726" i="2"/>
  <c r="G1727" i="2"/>
  <c r="G1728" i="2"/>
  <c r="G1729" i="2"/>
  <c r="G1730" i="2"/>
  <c r="G1731" i="2"/>
  <c r="G1732" i="2"/>
  <c r="G1733" i="2"/>
  <c r="G1734" i="2"/>
  <c r="G1735" i="2"/>
  <c r="G1736" i="2"/>
  <c r="G1737" i="2"/>
  <c r="G1738" i="2"/>
  <c r="G1739" i="2"/>
  <c r="G1740" i="2"/>
  <c r="G1741" i="2"/>
  <c r="G1742" i="2"/>
  <c r="G1743" i="2"/>
  <c r="G1744" i="2"/>
  <c r="G1745" i="2"/>
  <c r="G1746" i="2"/>
  <c r="G1747" i="2"/>
  <c r="G1748" i="2"/>
  <c r="G1749" i="2"/>
  <c r="G1750" i="2"/>
  <c r="G1751" i="2"/>
  <c r="G1752" i="2"/>
  <c r="G1753" i="2"/>
  <c r="G1754" i="2"/>
  <c r="G1755" i="2"/>
  <c r="G1756" i="2"/>
  <c r="G1757" i="2"/>
  <c r="G1758" i="2"/>
  <c r="G1759" i="2"/>
  <c r="G1760" i="2"/>
  <c r="G1761" i="2"/>
  <c r="G1762" i="2"/>
  <c r="G1763" i="2"/>
  <c r="G1764" i="2"/>
  <c r="G1765" i="2"/>
  <c r="G1766" i="2"/>
  <c r="G1767" i="2"/>
  <c r="G1768" i="2"/>
  <c r="G1769" i="2"/>
  <c r="G1770" i="2"/>
  <c r="G1771" i="2"/>
  <c r="G1772" i="2"/>
  <c r="G1773" i="2"/>
  <c r="G1774" i="2"/>
  <c r="G1775" i="2"/>
  <c r="G1776" i="2"/>
  <c r="G1777" i="2"/>
  <c r="G1778" i="2"/>
  <c r="G1779" i="2"/>
  <c r="G1780" i="2"/>
  <c r="G1781" i="2"/>
  <c r="G1782" i="2"/>
  <c r="G1783" i="2"/>
  <c r="G1784" i="2"/>
  <c r="G1785" i="2"/>
  <c r="G1786" i="2"/>
  <c r="G1787" i="2"/>
  <c r="G1788" i="2"/>
  <c r="G1789" i="2"/>
  <c r="G1790" i="2"/>
  <c r="G1791" i="2"/>
  <c r="G1792" i="2"/>
  <c r="G1793" i="2"/>
  <c r="G1794" i="2"/>
  <c r="G1795" i="2"/>
  <c r="G1796" i="2"/>
  <c r="G1797" i="2"/>
  <c r="G1798" i="2"/>
  <c r="G1799" i="2"/>
  <c r="G1800" i="2"/>
  <c r="G1801" i="2"/>
  <c r="G1802" i="2"/>
  <c r="G1803" i="2"/>
  <c r="G1804" i="2"/>
  <c r="G1805" i="2"/>
  <c r="G1806" i="2"/>
  <c r="G1807" i="2"/>
  <c r="G1808" i="2"/>
  <c r="G1809" i="2"/>
  <c r="G1810" i="2"/>
  <c r="G1811" i="2"/>
  <c r="G1812" i="2"/>
  <c r="G1813" i="2"/>
  <c r="G1814" i="2"/>
  <c r="G1815" i="2"/>
  <c r="G1816" i="2"/>
  <c r="G1817" i="2"/>
  <c r="G1818" i="2"/>
  <c r="G1819" i="2"/>
  <c r="G1820" i="2"/>
  <c r="G1821" i="2"/>
  <c r="G1822" i="2"/>
  <c r="G1823" i="2"/>
  <c r="G1824" i="2"/>
  <c r="G1825" i="2"/>
  <c r="G1826" i="2"/>
  <c r="G1827" i="2"/>
  <c r="G1828" i="2"/>
  <c r="G1829" i="2"/>
  <c r="G1830" i="2"/>
  <c r="G1831" i="2"/>
  <c r="G1832" i="2"/>
  <c r="G1833" i="2"/>
  <c r="G1834" i="2"/>
  <c r="G1835" i="2"/>
  <c r="G1836" i="2"/>
  <c r="G1837" i="2"/>
  <c r="G1838" i="2"/>
  <c r="G1839" i="2"/>
  <c r="G1840" i="2"/>
  <c r="G1841" i="2"/>
  <c r="G1842" i="2"/>
  <c r="G1843" i="2"/>
  <c r="G1844" i="2"/>
  <c r="G1845" i="2"/>
  <c r="G1846" i="2"/>
  <c r="G1847" i="2"/>
  <c r="G1848" i="2"/>
  <c r="G1849" i="2"/>
  <c r="G1850" i="2"/>
  <c r="G1851" i="2"/>
  <c r="G1852" i="2"/>
  <c r="G1853" i="2"/>
  <c r="G1854" i="2"/>
  <c r="G1855" i="2"/>
  <c r="G1856" i="2"/>
  <c r="G1857" i="2"/>
  <c r="G1858" i="2"/>
  <c r="G1859" i="2"/>
  <c r="G1860" i="2"/>
  <c r="G1861" i="2"/>
  <c r="G1862" i="2"/>
  <c r="G1863" i="2"/>
  <c r="G1864" i="2"/>
  <c r="G1865" i="2"/>
  <c r="G1866" i="2"/>
  <c r="G1867" i="2"/>
  <c r="G1868" i="2"/>
  <c r="G1869" i="2"/>
  <c r="G1870" i="2"/>
  <c r="G1871" i="2"/>
  <c r="G1872" i="2"/>
  <c r="G1873" i="2"/>
  <c r="G1874" i="2"/>
  <c r="G1875" i="2"/>
  <c r="G1876" i="2"/>
  <c r="G1877" i="2"/>
  <c r="G1878" i="2"/>
  <c r="G1879" i="2"/>
  <c r="G1880" i="2"/>
  <c r="G1881" i="2"/>
  <c r="G1882" i="2"/>
  <c r="G1883" i="2"/>
  <c r="G1884" i="2"/>
  <c r="G1885" i="2"/>
  <c r="G1886" i="2"/>
  <c r="G1887" i="2"/>
  <c r="G1888" i="2"/>
  <c r="G1889" i="2"/>
  <c r="G1890" i="2"/>
  <c r="G1891" i="2"/>
  <c r="G1892" i="2"/>
  <c r="G1893" i="2"/>
  <c r="G1894" i="2"/>
  <c r="G1895" i="2"/>
  <c r="G1896" i="2"/>
  <c r="G1897" i="2"/>
  <c r="G1898" i="2"/>
  <c r="G1899" i="2"/>
  <c r="G1900" i="2"/>
  <c r="G1901" i="2"/>
  <c r="G1902" i="2"/>
  <c r="G1903" i="2"/>
  <c r="G1904" i="2"/>
  <c r="G1905" i="2"/>
  <c r="G1906" i="2"/>
  <c r="G1907" i="2"/>
  <c r="G1908" i="2"/>
  <c r="G1909" i="2"/>
  <c r="G1910" i="2"/>
  <c r="G1911" i="2"/>
  <c r="G1912" i="2"/>
  <c r="G1913" i="2"/>
  <c r="G1914" i="2"/>
  <c r="G1915" i="2"/>
  <c r="G1916" i="2"/>
  <c r="G1917" i="2"/>
  <c r="G1918" i="2"/>
  <c r="G1919" i="2"/>
  <c r="G1920" i="2"/>
  <c r="G1921" i="2"/>
  <c r="G1922" i="2"/>
  <c r="G1923" i="2"/>
  <c r="G1924" i="2"/>
  <c r="G1925" i="2"/>
  <c r="G1926" i="2"/>
  <c r="G1927" i="2"/>
  <c r="G1928" i="2"/>
  <c r="G1929" i="2"/>
  <c r="G1930" i="2"/>
  <c r="G1931" i="2"/>
  <c r="G1932" i="2"/>
  <c r="G1933" i="2"/>
  <c r="G1934" i="2"/>
  <c r="G1935" i="2"/>
  <c r="G1936" i="2"/>
  <c r="G1937" i="2"/>
  <c r="G1938" i="2"/>
  <c r="G1939" i="2"/>
  <c r="G1940" i="2"/>
  <c r="G1941" i="2"/>
  <c r="G1942" i="2"/>
  <c r="G1943" i="2"/>
  <c r="G1944" i="2"/>
  <c r="G1945" i="2"/>
  <c r="G1946" i="2"/>
  <c r="G1947" i="2"/>
  <c r="G1948" i="2"/>
  <c r="G1949" i="2"/>
  <c r="G1950" i="2"/>
  <c r="G1951" i="2"/>
  <c r="G1952" i="2"/>
  <c r="G1953" i="2"/>
  <c r="G1954" i="2"/>
  <c r="G1955" i="2"/>
  <c r="G1956" i="2"/>
  <c r="G1957" i="2"/>
  <c r="G1958" i="2"/>
  <c r="G1959" i="2"/>
  <c r="G1960" i="2"/>
  <c r="G1961" i="2"/>
  <c r="G1962" i="2"/>
  <c r="G1963" i="2"/>
  <c r="G1964" i="2"/>
  <c r="G1965" i="2"/>
  <c r="G1966" i="2"/>
  <c r="G1967" i="2"/>
  <c r="G1968" i="2"/>
  <c r="G1969" i="2"/>
  <c r="G1970" i="2"/>
  <c r="G1971" i="2"/>
  <c r="G1972" i="2"/>
  <c r="G1973" i="2"/>
  <c r="G1974" i="2"/>
  <c r="G1975" i="2"/>
  <c r="G1976" i="2"/>
  <c r="G1977" i="2"/>
  <c r="G1978" i="2"/>
  <c r="G1979" i="2"/>
  <c r="G1980" i="2"/>
  <c r="G1981" i="2"/>
  <c r="G1982" i="2"/>
  <c r="G1983" i="2"/>
  <c r="G1984" i="2"/>
  <c r="G1985" i="2"/>
  <c r="G1986" i="2"/>
  <c r="G1987" i="2"/>
  <c r="G1988" i="2"/>
  <c r="G1989" i="2"/>
  <c r="G1990" i="2"/>
  <c r="G1991" i="2"/>
  <c r="G1992" i="2"/>
  <c r="G1993" i="2"/>
  <c r="G1994" i="2"/>
  <c r="G1995" i="2"/>
  <c r="G1996" i="2"/>
  <c r="G1997" i="2"/>
  <c r="G1998" i="2"/>
  <c r="G1999" i="2"/>
  <c r="G2000" i="2"/>
  <c r="G2001" i="2"/>
  <c r="G2002" i="2"/>
  <c r="G2003" i="2"/>
  <c r="G2004" i="2"/>
  <c r="G2005" i="2"/>
  <c r="G2006" i="2"/>
  <c r="G2007" i="2"/>
  <c r="G2008" i="2"/>
  <c r="G2009" i="2"/>
  <c r="G2010" i="2"/>
  <c r="G2011" i="2"/>
  <c r="G2012" i="2"/>
  <c r="G2013" i="2"/>
  <c r="G2014" i="2"/>
  <c r="G2015" i="2"/>
  <c r="G2016" i="2"/>
  <c r="G2017" i="2"/>
  <c r="P1059" i="2" l="1"/>
  <c r="Q1059" i="2" s="1"/>
  <c r="P1015" i="2"/>
  <c r="Q1015" i="2" s="1"/>
  <c r="P258" i="2"/>
  <c r="Q258" i="2" s="1"/>
  <c r="P1068" i="2"/>
  <c r="Q1068" i="2" s="1"/>
  <c r="P210" i="2"/>
  <c r="Q210" i="2" s="1"/>
  <c r="P1040" i="2"/>
  <c r="Q1040" i="2" s="1"/>
  <c r="P274" i="2"/>
  <c r="Q274" i="2" s="1"/>
  <c r="P1008" i="2"/>
  <c r="Q1008" i="2" s="1"/>
  <c r="P996" i="2"/>
  <c r="Q996" i="2" s="1"/>
  <c r="P1065" i="2"/>
  <c r="Q1065" i="2" s="1"/>
  <c r="P1058" i="2"/>
  <c r="Q1058" i="2" s="1"/>
  <c r="P1042" i="2"/>
  <c r="Q1042" i="2" s="1"/>
  <c r="P1026" i="2"/>
  <c r="Q1026" i="2" s="1"/>
  <c r="P1019" i="2"/>
  <c r="Q1019" i="2" s="1"/>
  <c r="P1014" i="2"/>
  <c r="Q1014" i="2" s="1"/>
  <c r="P1007" i="2"/>
  <c r="Q1007" i="2" s="1"/>
  <c r="P1002" i="2"/>
  <c r="Q1002" i="2" s="1"/>
  <c r="P360" i="2"/>
  <c r="Q360" i="2" s="1"/>
  <c r="P327" i="2"/>
  <c r="Q327" i="2" s="1"/>
  <c r="P226" i="2"/>
  <c r="Q226" i="2" s="1"/>
  <c r="P194" i="2"/>
  <c r="Q194" i="2" s="1"/>
  <c r="P1044" i="2"/>
  <c r="Q1044" i="2" s="1"/>
  <c r="P1021" i="2"/>
  <c r="Q1021" i="2" s="1"/>
  <c r="P1009" i="2"/>
  <c r="Q1009" i="2" s="1"/>
  <c r="P290" i="2"/>
  <c r="Q290" i="2" s="1"/>
  <c r="P1067" i="2"/>
  <c r="Q1067" i="2" s="1"/>
  <c r="P1060" i="2"/>
  <c r="Q1060" i="2" s="1"/>
  <c r="P1004" i="2"/>
  <c r="Q1004" i="2" s="1"/>
  <c r="P342" i="2"/>
  <c r="Q342" i="2" s="1"/>
  <c r="P1069" i="2"/>
  <c r="Q1069" i="2" s="1"/>
  <c r="P1062" i="2"/>
  <c r="Q1062" i="2" s="1"/>
  <c r="P1048" i="2"/>
  <c r="Q1048" i="2" s="1"/>
  <c r="P1032" i="2"/>
  <c r="Q1032" i="2" s="1"/>
  <c r="P1023" i="2"/>
  <c r="Q1023" i="2" s="1"/>
  <c r="P1018" i="2"/>
  <c r="Q1018" i="2" s="1"/>
  <c r="P1011" i="2"/>
  <c r="Q1011" i="2" s="1"/>
  <c r="P1006" i="2"/>
  <c r="Q1006" i="2" s="1"/>
  <c r="P1003" i="2"/>
  <c r="Q1003" i="2" s="1"/>
  <c r="P1064" i="2"/>
  <c r="Q1064" i="2" s="1"/>
  <c r="P1057" i="2"/>
  <c r="Q1057" i="2" s="1"/>
  <c r="P1041" i="2"/>
  <c r="Q1041" i="2" s="1"/>
  <c r="P1025" i="2"/>
  <c r="Q1025" i="2" s="1"/>
  <c r="P1013" i="2"/>
  <c r="Q1013" i="2" s="1"/>
  <c r="P1001" i="2"/>
  <c r="Q1001" i="2" s="1"/>
  <c r="P326" i="2"/>
  <c r="Q326" i="2" s="1"/>
  <c r="P225" i="2"/>
  <c r="Q225" i="2" s="1"/>
  <c r="P180" i="2"/>
  <c r="Q180" i="2" s="1"/>
  <c r="Z438" i="1"/>
  <c r="Y438" i="1"/>
  <c r="X438" i="1"/>
  <c r="W438" i="1"/>
  <c r="V438" i="1"/>
  <c r="U438" i="1"/>
  <c r="T438" i="1"/>
  <c r="Z437" i="1"/>
  <c r="Y437" i="1"/>
  <c r="X437" i="1"/>
  <c r="W437" i="1"/>
  <c r="V437" i="1"/>
  <c r="U437" i="1"/>
  <c r="T437" i="1"/>
  <c r="Z436" i="1"/>
  <c r="Y436" i="1"/>
  <c r="X436" i="1"/>
  <c r="W436" i="1"/>
  <c r="V436" i="1"/>
  <c r="U436" i="1"/>
  <c r="T436" i="1"/>
  <c r="Z435" i="1"/>
  <c r="Y435" i="1"/>
  <c r="X435" i="1"/>
  <c r="W435" i="1"/>
  <c r="V435" i="1"/>
  <c r="U435" i="1"/>
  <c r="T435" i="1"/>
  <c r="Z434" i="1"/>
  <c r="Y434" i="1"/>
  <c r="X434" i="1"/>
  <c r="W434" i="1"/>
  <c r="V434" i="1"/>
  <c r="U434" i="1"/>
  <c r="T434" i="1"/>
  <c r="Z433" i="1"/>
  <c r="Y433" i="1"/>
  <c r="X433" i="1"/>
  <c r="W433" i="1"/>
  <c r="V433" i="1"/>
  <c r="U433" i="1"/>
  <c r="T433" i="1"/>
  <c r="Z432" i="1"/>
  <c r="Y432" i="1"/>
  <c r="X432" i="1"/>
  <c r="W432" i="1"/>
  <c r="V432" i="1"/>
  <c r="U432" i="1"/>
  <c r="T432" i="1"/>
  <c r="Z431" i="1"/>
  <c r="Y431" i="1"/>
  <c r="X431" i="1"/>
  <c r="W431" i="1"/>
  <c r="V431" i="1"/>
  <c r="U431" i="1"/>
  <c r="T431" i="1"/>
  <c r="Z430" i="1"/>
  <c r="Y430" i="1"/>
  <c r="X430" i="1"/>
  <c r="W430" i="1"/>
  <c r="V430" i="1"/>
  <c r="U430" i="1"/>
  <c r="T430" i="1"/>
  <c r="Z429" i="1"/>
  <c r="Y429" i="1"/>
  <c r="X429" i="1"/>
  <c r="W429" i="1"/>
  <c r="V429" i="1"/>
  <c r="U429" i="1"/>
  <c r="T429" i="1"/>
  <c r="Z428" i="1"/>
  <c r="Y428" i="1"/>
  <c r="X428" i="1"/>
  <c r="W428" i="1"/>
  <c r="V428" i="1"/>
  <c r="U428" i="1"/>
  <c r="T428" i="1"/>
  <c r="Z427" i="1"/>
  <c r="Y427" i="1"/>
  <c r="X427" i="1"/>
  <c r="W427" i="1"/>
  <c r="V427" i="1"/>
  <c r="U427" i="1"/>
  <c r="T427" i="1"/>
  <c r="Z426" i="1"/>
  <c r="Y426" i="1"/>
  <c r="X426" i="1"/>
  <c r="W426" i="1"/>
  <c r="V426" i="1"/>
  <c r="U426" i="1"/>
  <c r="T426" i="1"/>
  <c r="Z425" i="1"/>
  <c r="Y425" i="1"/>
  <c r="X425" i="1"/>
  <c r="W425" i="1"/>
  <c r="V425" i="1"/>
  <c r="U425" i="1"/>
  <c r="T425" i="1"/>
  <c r="Z424" i="1"/>
  <c r="Y424" i="1"/>
  <c r="X424" i="1"/>
  <c r="W424" i="1"/>
  <c r="V424" i="1"/>
  <c r="U424" i="1"/>
  <c r="T424" i="1"/>
  <c r="Z423" i="1"/>
  <c r="Y423" i="1"/>
  <c r="X423" i="1"/>
  <c r="W423" i="1"/>
  <c r="V423" i="1"/>
  <c r="U423" i="1"/>
  <c r="T423" i="1"/>
  <c r="Z422" i="1"/>
  <c r="Y422" i="1"/>
  <c r="X422" i="1"/>
  <c r="W422" i="1"/>
  <c r="V422" i="1"/>
  <c r="U422" i="1"/>
  <c r="T422" i="1"/>
  <c r="Z421" i="1"/>
  <c r="Y421" i="1"/>
  <c r="X421" i="1"/>
  <c r="W421" i="1"/>
  <c r="V421" i="1"/>
  <c r="U421" i="1"/>
  <c r="T421" i="1"/>
  <c r="Z420" i="1"/>
  <c r="Y420" i="1"/>
  <c r="X420" i="1"/>
  <c r="W420" i="1"/>
  <c r="V420" i="1"/>
  <c r="U420" i="1"/>
  <c r="T420" i="1"/>
  <c r="Z419" i="1"/>
  <c r="Y419" i="1"/>
  <c r="X419" i="1"/>
  <c r="W419" i="1"/>
  <c r="V419" i="1"/>
  <c r="U419" i="1"/>
  <c r="T419" i="1"/>
  <c r="Z418" i="1"/>
  <c r="Y418" i="1"/>
  <c r="X418" i="1"/>
  <c r="W418" i="1"/>
  <c r="V418" i="1"/>
  <c r="U418" i="1"/>
  <c r="T418" i="1"/>
  <c r="Z417" i="1"/>
  <c r="Y417" i="1"/>
  <c r="X417" i="1"/>
  <c r="W417" i="1"/>
  <c r="V417" i="1"/>
  <c r="U417" i="1"/>
  <c r="T417" i="1"/>
  <c r="Z416" i="1"/>
  <c r="Y416" i="1"/>
  <c r="X416" i="1"/>
  <c r="W416" i="1"/>
  <c r="V416" i="1"/>
  <c r="U416" i="1"/>
  <c r="T416" i="1"/>
  <c r="Z415" i="1"/>
  <c r="Y415" i="1"/>
  <c r="X415" i="1"/>
  <c r="W415" i="1"/>
  <c r="V415" i="1"/>
  <c r="U415" i="1"/>
  <c r="T415" i="1"/>
  <c r="Z414" i="1"/>
  <c r="Y414" i="1"/>
  <c r="X414" i="1"/>
  <c r="W414" i="1"/>
  <c r="V414" i="1"/>
  <c r="U414" i="1"/>
  <c r="T414" i="1"/>
  <c r="Z413" i="1"/>
  <c r="Y413" i="1"/>
  <c r="X413" i="1"/>
  <c r="W413" i="1"/>
  <c r="V413" i="1"/>
  <c r="U413" i="1"/>
  <c r="T413" i="1"/>
  <c r="Z412" i="1"/>
  <c r="Y412" i="1"/>
  <c r="X412" i="1"/>
  <c r="W412" i="1"/>
  <c r="V412" i="1"/>
  <c r="U412" i="1"/>
  <c r="T412" i="1"/>
  <c r="Z411" i="1"/>
  <c r="Y411" i="1"/>
  <c r="X411" i="1"/>
  <c r="W411" i="1"/>
  <c r="V411" i="1"/>
  <c r="U411" i="1"/>
  <c r="T411" i="1"/>
  <c r="Z410" i="1"/>
  <c r="Y410" i="1"/>
  <c r="X410" i="1"/>
  <c r="W410" i="1"/>
  <c r="V410" i="1"/>
  <c r="U410" i="1"/>
  <c r="T410" i="1"/>
  <c r="Z409" i="1"/>
  <c r="Y409" i="1"/>
  <c r="X409" i="1"/>
  <c r="W409" i="1"/>
  <c r="V409" i="1"/>
  <c r="U409" i="1"/>
  <c r="T409" i="1"/>
  <c r="Z408" i="1"/>
  <c r="Y408" i="1"/>
  <c r="X408" i="1"/>
  <c r="W408" i="1"/>
  <c r="V408" i="1"/>
  <c r="U408" i="1"/>
  <c r="T408" i="1"/>
  <c r="Z407" i="1"/>
  <c r="Y407" i="1"/>
  <c r="X407" i="1"/>
  <c r="W407" i="1"/>
  <c r="V407" i="1"/>
  <c r="U407" i="1"/>
  <c r="T407" i="1"/>
  <c r="Z406" i="1"/>
  <c r="Y406" i="1"/>
  <c r="X406" i="1"/>
  <c r="W406" i="1"/>
  <c r="V406" i="1"/>
  <c r="U406" i="1"/>
  <c r="T406" i="1"/>
  <c r="Z405" i="1"/>
  <c r="Y405" i="1"/>
  <c r="X405" i="1"/>
  <c r="W405" i="1"/>
  <c r="V405" i="1"/>
  <c r="U405" i="1"/>
  <c r="T405" i="1"/>
  <c r="Z404" i="1"/>
  <c r="Y404" i="1"/>
  <c r="X404" i="1"/>
  <c r="W404" i="1"/>
  <c r="V404" i="1"/>
  <c r="U404" i="1"/>
  <c r="T404" i="1"/>
  <c r="Z403" i="1"/>
  <c r="Y403" i="1"/>
  <c r="X403" i="1"/>
  <c r="W403" i="1"/>
  <c r="V403" i="1"/>
  <c r="U403" i="1"/>
  <c r="T403" i="1"/>
  <c r="Z402" i="1"/>
  <c r="Y402" i="1"/>
  <c r="X402" i="1"/>
  <c r="W402" i="1"/>
  <c r="V402" i="1"/>
  <c r="U402" i="1"/>
  <c r="T402" i="1"/>
  <c r="Z401" i="1"/>
  <c r="Y401" i="1"/>
  <c r="X401" i="1"/>
  <c r="W401" i="1"/>
  <c r="V401" i="1"/>
  <c r="U401" i="1"/>
  <c r="T401" i="1"/>
  <c r="Z400" i="1"/>
  <c r="Y400" i="1"/>
  <c r="X400" i="1"/>
  <c r="W400" i="1"/>
  <c r="V400" i="1"/>
  <c r="U400" i="1"/>
  <c r="T400" i="1"/>
  <c r="Z399" i="1"/>
  <c r="Y399" i="1"/>
  <c r="X399" i="1"/>
  <c r="W399" i="1"/>
  <c r="V399" i="1"/>
  <c r="U399" i="1"/>
  <c r="T399" i="1"/>
  <c r="Z398" i="1"/>
  <c r="Y398" i="1"/>
  <c r="X398" i="1"/>
  <c r="W398" i="1"/>
  <c r="V398" i="1"/>
  <c r="U398" i="1"/>
  <c r="T398" i="1"/>
  <c r="Z397" i="1"/>
  <c r="Y397" i="1"/>
  <c r="X397" i="1"/>
  <c r="W397" i="1"/>
  <c r="V397" i="1"/>
  <c r="U397" i="1"/>
  <c r="T397" i="1"/>
  <c r="Z396" i="1"/>
  <c r="Y396" i="1"/>
  <c r="X396" i="1"/>
  <c r="W396" i="1"/>
  <c r="V396" i="1"/>
  <c r="U396" i="1"/>
  <c r="T396" i="1"/>
  <c r="Z395" i="1"/>
  <c r="Y395" i="1"/>
  <c r="X395" i="1"/>
  <c r="W395" i="1"/>
  <c r="V395" i="1"/>
  <c r="U395" i="1"/>
  <c r="T395" i="1"/>
  <c r="Z394" i="1"/>
  <c r="Y394" i="1"/>
  <c r="X394" i="1"/>
  <c r="W394" i="1"/>
  <c r="V394" i="1"/>
  <c r="U394" i="1"/>
  <c r="T394" i="1"/>
  <c r="Z393" i="1"/>
  <c r="Y393" i="1"/>
  <c r="X393" i="1"/>
  <c r="W393" i="1"/>
  <c r="V393" i="1"/>
  <c r="U393" i="1"/>
  <c r="T393" i="1"/>
  <c r="Z392" i="1"/>
  <c r="Y392" i="1"/>
  <c r="X392" i="1"/>
  <c r="W392" i="1"/>
  <c r="V392" i="1"/>
  <c r="U392" i="1"/>
  <c r="T392" i="1"/>
  <c r="Z391" i="1"/>
  <c r="Y391" i="1"/>
  <c r="X391" i="1"/>
  <c r="W391" i="1"/>
  <c r="V391" i="1"/>
  <c r="U391" i="1"/>
  <c r="T391" i="1"/>
  <c r="Z390" i="1"/>
  <c r="Y390" i="1"/>
  <c r="X390" i="1"/>
  <c r="W390" i="1"/>
  <c r="V390" i="1"/>
  <c r="U390" i="1"/>
  <c r="T390" i="1"/>
  <c r="Z389" i="1"/>
  <c r="Y389" i="1"/>
  <c r="X389" i="1"/>
  <c r="W389" i="1"/>
  <c r="V389" i="1"/>
  <c r="U389" i="1"/>
  <c r="T389" i="1"/>
  <c r="Z388" i="1"/>
  <c r="Y388" i="1"/>
  <c r="X388" i="1"/>
  <c r="W388" i="1"/>
  <c r="V388" i="1"/>
  <c r="U388" i="1"/>
  <c r="T388" i="1"/>
  <c r="Z387" i="1"/>
  <c r="Y387" i="1"/>
  <c r="X387" i="1"/>
  <c r="W387" i="1"/>
  <c r="V387" i="1"/>
  <c r="U387" i="1"/>
  <c r="T387" i="1"/>
  <c r="Z386" i="1"/>
  <c r="Y386" i="1"/>
  <c r="X386" i="1"/>
  <c r="W386" i="1"/>
  <c r="V386" i="1"/>
  <c r="U386" i="1"/>
  <c r="T386" i="1"/>
  <c r="Z385" i="1"/>
  <c r="Y385" i="1"/>
  <c r="X385" i="1"/>
  <c r="W385" i="1"/>
  <c r="V385" i="1"/>
  <c r="U385" i="1"/>
  <c r="T385" i="1"/>
  <c r="Z384" i="1"/>
  <c r="Y384" i="1"/>
  <c r="X384" i="1"/>
  <c r="W384" i="1"/>
  <c r="V384" i="1"/>
  <c r="U384" i="1"/>
  <c r="T384" i="1"/>
  <c r="Z383" i="1"/>
  <c r="Y383" i="1"/>
  <c r="X383" i="1"/>
  <c r="W383" i="1"/>
  <c r="V383" i="1"/>
  <c r="U383" i="1"/>
  <c r="T383" i="1"/>
  <c r="Z382" i="1"/>
  <c r="Y382" i="1"/>
  <c r="X382" i="1"/>
  <c r="W382" i="1"/>
  <c r="V382" i="1"/>
  <c r="U382" i="1"/>
  <c r="T382" i="1"/>
  <c r="Z381" i="1"/>
  <c r="Y381" i="1"/>
  <c r="X381" i="1"/>
  <c r="W381" i="1"/>
  <c r="V381" i="1"/>
  <c r="U381" i="1"/>
  <c r="T381" i="1"/>
  <c r="Z380" i="1"/>
  <c r="Y380" i="1"/>
  <c r="X380" i="1"/>
  <c r="W380" i="1"/>
  <c r="V380" i="1"/>
  <c r="U380" i="1"/>
  <c r="T380" i="1"/>
  <c r="Z379" i="1"/>
  <c r="Y379" i="1"/>
  <c r="X379" i="1"/>
  <c r="W379" i="1"/>
  <c r="V379" i="1"/>
  <c r="U379" i="1"/>
  <c r="T379" i="1"/>
  <c r="Z378" i="1"/>
  <c r="Y378" i="1"/>
  <c r="X378" i="1"/>
  <c r="W378" i="1"/>
  <c r="V378" i="1"/>
  <c r="U378" i="1"/>
  <c r="T378" i="1"/>
  <c r="Z377" i="1"/>
  <c r="Y377" i="1"/>
  <c r="X377" i="1"/>
  <c r="W377" i="1"/>
  <c r="V377" i="1"/>
  <c r="U377" i="1"/>
  <c r="T377" i="1"/>
  <c r="Z376" i="1"/>
  <c r="Y376" i="1"/>
  <c r="X376" i="1"/>
  <c r="W376" i="1"/>
  <c r="V376" i="1"/>
  <c r="U376" i="1"/>
  <c r="T376" i="1"/>
  <c r="Z375" i="1"/>
  <c r="Y375" i="1"/>
  <c r="X375" i="1"/>
  <c r="W375" i="1"/>
  <c r="V375" i="1"/>
  <c r="U375" i="1"/>
  <c r="T375" i="1"/>
  <c r="Z374" i="1"/>
  <c r="Y374" i="1"/>
  <c r="X374" i="1"/>
  <c r="W374" i="1"/>
  <c r="V374" i="1"/>
  <c r="U374" i="1"/>
  <c r="T374" i="1"/>
  <c r="Z373" i="1"/>
  <c r="Y373" i="1"/>
  <c r="X373" i="1"/>
  <c r="W373" i="1"/>
  <c r="V373" i="1"/>
  <c r="U373" i="1"/>
  <c r="T373" i="1"/>
  <c r="Z372" i="1"/>
  <c r="Y372" i="1"/>
  <c r="X372" i="1"/>
  <c r="W372" i="1"/>
  <c r="V372" i="1"/>
  <c r="U372" i="1"/>
  <c r="T372" i="1"/>
  <c r="Z371" i="1"/>
  <c r="Y371" i="1"/>
  <c r="X371" i="1"/>
  <c r="W371" i="1"/>
  <c r="V371" i="1"/>
  <c r="U371" i="1"/>
  <c r="T371" i="1"/>
  <c r="Z370" i="1"/>
  <c r="Y370" i="1"/>
  <c r="X370" i="1"/>
  <c r="W370" i="1"/>
  <c r="V370" i="1"/>
  <c r="U370" i="1"/>
  <c r="T370" i="1"/>
  <c r="Z369" i="1"/>
  <c r="Y369" i="1"/>
  <c r="X369" i="1"/>
  <c r="W369" i="1"/>
  <c r="V369" i="1"/>
  <c r="U369" i="1"/>
  <c r="T369" i="1"/>
  <c r="Z368" i="1"/>
  <c r="Y368" i="1"/>
  <c r="X368" i="1"/>
  <c r="W368" i="1"/>
  <c r="V368" i="1"/>
  <c r="U368" i="1"/>
  <c r="T368" i="1"/>
  <c r="Z367" i="1"/>
  <c r="Y367" i="1"/>
  <c r="X367" i="1"/>
  <c r="W367" i="1"/>
  <c r="V367" i="1"/>
  <c r="U367" i="1"/>
  <c r="T367" i="1"/>
  <c r="Z366" i="1"/>
  <c r="Y366" i="1"/>
  <c r="X366" i="1"/>
  <c r="W366" i="1"/>
  <c r="V366" i="1"/>
  <c r="U366" i="1"/>
  <c r="T366" i="1"/>
  <c r="Z365" i="1"/>
  <c r="Y365" i="1"/>
  <c r="X365" i="1"/>
  <c r="W365" i="1"/>
  <c r="V365" i="1"/>
  <c r="U365" i="1"/>
  <c r="T365" i="1"/>
  <c r="Z364" i="1"/>
  <c r="Y364" i="1"/>
  <c r="X364" i="1"/>
  <c r="W364" i="1"/>
  <c r="V364" i="1"/>
  <c r="U364" i="1"/>
  <c r="T364" i="1"/>
  <c r="Z363" i="1"/>
  <c r="Y363" i="1"/>
  <c r="X363" i="1"/>
  <c r="W363" i="1"/>
  <c r="V363" i="1"/>
  <c r="U363" i="1"/>
  <c r="T363" i="1"/>
  <c r="Z362" i="1"/>
  <c r="Y362" i="1"/>
  <c r="X362" i="1"/>
  <c r="W362" i="1"/>
  <c r="V362" i="1"/>
  <c r="U362" i="1"/>
  <c r="T362" i="1"/>
  <c r="Z361" i="1"/>
  <c r="Y361" i="1"/>
  <c r="X361" i="1"/>
  <c r="W361" i="1"/>
  <c r="V361" i="1"/>
  <c r="U361" i="1"/>
  <c r="T361" i="1"/>
  <c r="Z360" i="1"/>
  <c r="Y360" i="1"/>
  <c r="X360" i="1"/>
  <c r="W360" i="1"/>
  <c r="V360" i="1"/>
  <c r="U360" i="1"/>
  <c r="T360" i="1"/>
  <c r="Z359" i="1"/>
  <c r="Y359" i="1"/>
  <c r="X359" i="1"/>
  <c r="W359" i="1"/>
  <c r="V359" i="1"/>
  <c r="U359" i="1"/>
  <c r="T359" i="1"/>
  <c r="Z358" i="1"/>
  <c r="Y358" i="1"/>
  <c r="X358" i="1"/>
  <c r="W358" i="1"/>
  <c r="V358" i="1"/>
  <c r="U358" i="1"/>
  <c r="T358" i="1"/>
  <c r="Z357" i="1"/>
  <c r="Y357" i="1"/>
  <c r="X357" i="1"/>
  <c r="W357" i="1"/>
  <c r="V357" i="1"/>
  <c r="U357" i="1"/>
  <c r="T357" i="1"/>
  <c r="Z356" i="1"/>
  <c r="Y356" i="1"/>
  <c r="X356" i="1"/>
  <c r="W356" i="1"/>
  <c r="V356" i="1"/>
  <c r="U356" i="1"/>
  <c r="T356" i="1"/>
  <c r="Z355" i="1"/>
  <c r="Y355" i="1"/>
  <c r="X355" i="1"/>
  <c r="W355" i="1"/>
  <c r="V355" i="1"/>
  <c r="U355" i="1"/>
  <c r="T355" i="1"/>
  <c r="Z354" i="1"/>
  <c r="Y354" i="1"/>
  <c r="X354" i="1"/>
  <c r="W354" i="1"/>
  <c r="V354" i="1"/>
  <c r="U354" i="1"/>
  <c r="T354" i="1"/>
  <c r="Z353" i="1"/>
  <c r="Y353" i="1"/>
  <c r="X353" i="1"/>
  <c r="W353" i="1"/>
  <c r="V353" i="1"/>
  <c r="U353" i="1"/>
  <c r="T353" i="1"/>
  <c r="Z352" i="1"/>
  <c r="Y352" i="1"/>
  <c r="X352" i="1"/>
  <c r="W352" i="1"/>
  <c r="V352" i="1"/>
  <c r="U352" i="1"/>
  <c r="T352" i="1"/>
  <c r="Z351" i="1"/>
  <c r="Y351" i="1"/>
  <c r="X351" i="1"/>
  <c r="W351" i="1"/>
  <c r="V351" i="1"/>
  <c r="U351" i="1"/>
  <c r="T351" i="1"/>
  <c r="Z350" i="1"/>
  <c r="Y350" i="1"/>
  <c r="X350" i="1"/>
  <c r="W350" i="1"/>
  <c r="V350" i="1"/>
  <c r="U350" i="1"/>
  <c r="T350" i="1"/>
  <c r="Z349" i="1"/>
  <c r="Y349" i="1"/>
  <c r="X349" i="1"/>
  <c r="W349" i="1"/>
  <c r="V349" i="1"/>
  <c r="U349" i="1"/>
  <c r="T349" i="1"/>
  <c r="Z348" i="1"/>
  <c r="Y348" i="1"/>
  <c r="X348" i="1"/>
  <c r="W348" i="1"/>
  <c r="V348" i="1"/>
  <c r="U348" i="1"/>
  <c r="T348" i="1"/>
  <c r="Z347" i="1"/>
  <c r="Y347" i="1"/>
  <c r="X347" i="1"/>
  <c r="W347" i="1"/>
  <c r="V347" i="1"/>
  <c r="U347" i="1"/>
  <c r="T347" i="1"/>
  <c r="Z346" i="1"/>
  <c r="Y346" i="1"/>
  <c r="X346" i="1"/>
  <c r="W346" i="1"/>
  <c r="V346" i="1"/>
  <c r="U346" i="1"/>
  <c r="T346" i="1"/>
  <c r="Z345" i="1"/>
  <c r="Y345" i="1"/>
  <c r="X345" i="1"/>
  <c r="W345" i="1"/>
  <c r="V345" i="1"/>
  <c r="U345" i="1"/>
  <c r="T345" i="1"/>
  <c r="Z344" i="1"/>
  <c r="Y344" i="1"/>
  <c r="X344" i="1"/>
  <c r="W344" i="1"/>
  <c r="V344" i="1"/>
  <c r="U344" i="1"/>
  <c r="T344" i="1"/>
  <c r="Z343" i="1"/>
  <c r="Y343" i="1"/>
  <c r="X343" i="1"/>
  <c r="W343" i="1"/>
  <c r="V343" i="1"/>
  <c r="U343" i="1"/>
  <c r="T343" i="1"/>
  <c r="Z342" i="1"/>
  <c r="Y342" i="1"/>
  <c r="X342" i="1"/>
  <c r="W342" i="1"/>
  <c r="V342" i="1"/>
  <c r="U342" i="1"/>
  <c r="T342" i="1"/>
  <c r="Z341" i="1"/>
  <c r="Y341" i="1"/>
  <c r="X341" i="1"/>
  <c r="W341" i="1"/>
  <c r="V341" i="1"/>
  <c r="U341" i="1"/>
  <c r="T341" i="1"/>
  <c r="Z340" i="1"/>
  <c r="Y340" i="1"/>
  <c r="X340" i="1"/>
  <c r="W340" i="1"/>
  <c r="V340" i="1"/>
  <c r="U340" i="1"/>
  <c r="T340" i="1"/>
  <c r="Z339" i="1"/>
  <c r="Y339" i="1"/>
  <c r="X339" i="1"/>
  <c r="W339" i="1"/>
  <c r="V339" i="1"/>
  <c r="U339" i="1"/>
  <c r="T339" i="1"/>
  <c r="Z338" i="1"/>
  <c r="Y338" i="1"/>
  <c r="X338" i="1"/>
  <c r="W338" i="1"/>
  <c r="V338" i="1"/>
  <c r="U338" i="1"/>
  <c r="T338" i="1"/>
  <c r="Z337" i="1"/>
  <c r="Y337" i="1"/>
  <c r="X337" i="1"/>
  <c r="W337" i="1"/>
  <c r="V337" i="1"/>
  <c r="U337" i="1"/>
  <c r="T337" i="1"/>
  <c r="Z336" i="1"/>
  <c r="Y336" i="1"/>
  <c r="X336" i="1"/>
  <c r="W336" i="1"/>
  <c r="V336" i="1"/>
  <c r="U336" i="1"/>
  <c r="T336" i="1"/>
  <c r="Z335" i="1"/>
  <c r="Y335" i="1"/>
  <c r="X335" i="1"/>
  <c r="W335" i="1"/>
  <c r="V335" i="1"/>
  <c r="U335" i="1"/>
  <c r="T335" i="1"/>
  <c r="Z334" i="1"/>
  <c r="Y334" i="1"/>
  <c r="X334" i="1"/>
  <c r="W334" i="1"/>
  <c r="V334" i="1"/>
  <c r="U334" i="1"/>
  <c r="T334" i="1"/>
  <c r="Z333" i="1"/>
  <c r="Y333" i="1"/>
  <c r="X333" i="1"/>
  <c r="W333" i="1"/>
  <c r="V333" i="1"/>
  <c r="U333" i="1"/>
  <c r="T333" i="1"/>
  <c r="Z332" i="1"/>
  <c r="Y332" i="1"/>
  <c r="X332" i="1"/>
  <c r="W332" i="1"/>
  <c r="V332" i="1"/>
  <c r="U332" i="1"/>
  <c r="T332" i="1"/>
  <c r="Z331" i="1"/>
  <c r="Y331" i="1"/>
  <c r="X331" i="1"/>
  <c r="W331" i="1"/>
  <c r="V331" i="1"/>
  <c r="U331" i="1"/>
  <c r="T331" i="1"/>
  <c r="Z330" i="1"/>
  <c r="Y330" i="1"/>
  <c r="X330" i="1"/>
  <c r="W330" i="1"/>
  <c r="V330" i="1"/>
  <c r="U330" i="1"/>
  <c r="T330" i="1"/>
  <c r="Z329" i="1"/>
  <c r="Y329" i="1"/>
  <c r="X329" i="1"/>
  <c r="W329" i="1"/>
  <c r="V329" i="1"/>
  <c r="U329" i="1"/>
  <c r="T329" i="1"/>
  <c r="Z328" i="1"/>
  <c r="Y328" i="1"/>
  <c r="X328" i="1"/>
  <c r="W328" i="1"/>
  <c r="V328" i="1"/>
  <c r="U328" i="1"/>
  <c r="T328" i="1"/>
  <c r="Z327" i="1"/>
  <c r="Y327" i="1"/>
  <c r="X327" i="1"/>
  <c r="W327" i="1"/>
  <c r="V327" i="1"/>
  <c r="U327" i="1"/>
  <c r="T327" i="1"/>
  <c r="Z326" i="1"/>
  <c r="Y326" i="1"/>
  <c r="X326" i="1"/>
  <c r="W326" i="1"/>
  <c r="V326" i="1"/>
  <c r="U326" i="1"/>
  <c r="T326" i="1"/>
  <c r="Z325" i="1"/>
  <c r="Y325" i="1"/>
  <c r="X325" i="1"/>
  <c r="W325" i="1"/>
  <c r="V325" i="1"/>
  <c r="U325" i="1"/>
  <c r="T325" i="1"/>
  <c r="Z324" i="1"/>
  <c r="Y324" i="1"/>
  <c r="X324" i="1"/>
  <c r="W324" i="1"/>
  <c r="V324" i="1"/>
  <c r="U324" i="1"/>
  <c r="T324" i="1"/>
  <c r="Z323" i="1"/>
  <c r="Y323" i="1"/>
  <c r="X323" i="1"/>
  <c r="W323" i="1"/>
  <c r="V323" i="1"/>
  <c r="U323" i="1"/>
  <c r="T323" i="1"/>
  <c r="Z322" i="1"/>
  <c r="Y322" i="1"/>
  <c r="X322" i="1"/>
  <c r="W322" i="1"/>
  <c r="V322" i="1"/>
  <c r="U322" i="1"/>
  <c r="T322" i="1"/>
  <c r="Z321" i="1"/>
  <c r="Y321" i="1"/>
  <c r="X321" i="1"/>
  <c r="W321" i="1"/>
  <c r="V321" i="1"/>
  <c r="U321" i="1"/>
  <c r="T321" i="1"/>
  <c r="Z320" i="1"/>
  <c r="Y320" i="1"/>
  <c r="X320" i="1"/>
  <c r="W320" i="1"/>
  <c r="V320" i="1"/>
  <c r="U320" i="1"/>
  <c r="T320" i="1"/>
  <c r="Z319" i="1"/>
  <c r="Y319" i="1"/>
  <c r="X319" i="1"/>
  <c r="W319" i="1"/>
  <c r="V319" i="1"/>
  <c r="U319" i="1"/>
  <c r="T319" i="1"/>
  <c r="Z318" i="1"/>
  <c r="Y318" i="1"/>
  <c r="X318" i="1"/>
  <c r="W318" i="1"/>
  <c r="V318" i="1"/>
  <c r="U318" i="1"/>
  <c r="T318" i="1"/>
  <c r="Z317" i="1"/>
  <c r="Y317" i="1"/>
  <c r="X317" i="1"/>
  <c r="W317" i="1"/>
  <c r="V317" i="1"/>
  <c r="U317" i="1"/>
  <c r="T317" i="1"/>
  <c r="Z316" i="1"/>
  <c r="Y316" i="1"/>
  <c r="X316" i="1"/>
  <c r="W316" i="1"/>
  <c r="V316" i="1"/>
  <c r="U316" i="1"/>
  <c r="T316" i="1"/>
  <c r="Z315" i="1"/>
  <c r="Y315" i="1"/>
  <c r="X315" i="1"/>
  <c r="W315" i="1"/>
  <c r="V315" i="1"/>
  <c r="U315" i="1"/>
  <c r="T315" i="1"/>
  <c r="Z314" i="1"/>
  <c r="Y314" i="1"/>
  <c r="X314" i="1"/>
  <c r="W314" i="1"/>
  <c r="V314" i="1"/>
  <c r="U314" i="1"/>
  <c r="T314" i="1"/>
  <c r="Z313" i="1"/>
  <c r="Y313" i="1"/>
  <c r="X313" i="1"/>
  <c r="W313" i="1"/>
  <c r="V313" i="1"/>
  <c r="U313" i="1"/>
  <c r="T313" i="1"/>
  <c r="Z312" i="1"/>
  <c r="Y312" i="1"/>
  <c r="X312" i="1"/>
  <c r="W312" i="1"/>
  <c r="V312" i="1"/>
  <c r="U312" i="1"/>
  <c r="T312" i="1"/>
  <c r="Z311" i="1"/>
  <c r="Y311" i="1"/>
  <c r="X311" i="1"/>
  <c r="W311" i="1"/>
  <c r="V311" i="1"/>
  <c r="U311" i="1"/>
  <c r="T311" i="1"/>
  <c r="Z310" i="1"/>
  <c r="Y310" i="1"/>
  <c r="X310" i="1"/>
  <c r="W310" i="1"/>
  <c r="V310" i="1"/>
  <c r="U310" i="1"/>
  <c r="T310" i="1"/>
  <c r="Z309" i="1"/>
  <c r="Y309" i="1"/>
  <c r="X309" i="1"/>
  <c r="W309" i="1"/>
  <c r="V309" i="1"/>
  <c r="U309" i="1"/>
  <c r="T309" i="1"/>
  <c r="Z308" i="1"/>
  <c r="Y308" i="1"/>
  <c r="X308" i="1"/>
  <c r="W308" i="1"/>
  <c r="V308" i="1"/>
  <c r="U308" i="1"/>
  <c r="T308" i="1"/>
  <c r="Z307" i="1"/>
  <c r="Y307" i="1"/>
  <c r="X307" i="1"/>
  <c r="W307" i="1"/>
  <c r="V307" i="1"/>
  <c r="U307" i="1"/>
  <c r="T307" i="1"/>
  <c r="Z306" i="1"/>
  <c r="Y306" i="1"/>
  <c r="X306" i="1"/>
  <c r="W306" i="1"/>
  <c r="V306" i="1"/>
  <c r="U306" i="1"/>
  <c r="T306" i="1"/>
  <c r="Z305" i="1"/>
  <c r="Y305" i="1"/>
  <c r="X305" i="1"/>
  <c r="W305" i="1"/>
  <c r="V305" i="1"/>
  <c r="U305" i="1"/>
  <c r="T305" i="1"/>
  <c r="Z304" i="1"/>
  <c r="Y304" i="1"/>
  <c r="X304" i="1"/>
  <c r="W304" i="1"/>
  <c r="V304" i="1"/>
  <c r="U304" i="1"/>
  <c r="T304" i="1"/>
  <c r="Z303" i="1"/>
  <c r="Y303" i="1"/>
  <c r="X303" i="1"/>
  <c r="W303" i="1"/>
  <c r="V303" i="1"/>
  <c r="U303" i="1"/>
  <c r="T303" i="1"/>
  <c r="Z302" i="1"/>
  <c r="Y302" i="1"/>
  <c r="X302" i="1"/>
  <c r="W302" i="1"/>
  <c r="V302" i="1"/>
  <c r="U302" i="1"/>
  <c r="T302" i="1"/>
  <c r="Z301" i="1"/>
  <c r="Y301" i="1"/>
  <c r="X301" i="1"/>
  <c r="W301" i="1"/>
  <c r="V301" i="1"/>
  <c r="U301" i="1"/>
  <c r="T301" i="1"/>
  <c r="Z300" i="1"/>
  <c r="Y300" i="1"/>
  <c r="X300" i="1"/>
  <c r="W300" i="1"/>
  <c r="V300" i="1"/>
  <c r="U300" i="1"/>
  <c r="T300" i="1"/>
  <c r="Z299" i="1"/>
  <c r="Y299" i="1"/>
  <c r="X299" i="1"/>
  <c r="W299" i="1"/>
  <c r="V299" i="1"/>
  <c r="U299" i="1"/>
  <c r="T299" i="1"/>
  <c r="Z298" i="1"/>
  <c r="Y298" i="1"/>
  <c r="X298" i="1"/>
  <c r="W298" i="1"/>
  <c r="V298" i="1"/>
  <c r="U298" i="1"/>
  <c r="T298" i="1"/>
  <c r="Z297" i="1"/>
  <c r="Y297" i="1"/>
  <c r="X297" i="1"/>
  <c r="W297" i="1"/>
  <c r="V297" i="1"/>
  <c r="U297" i="1"/>
  <c r="T297" i="1"/>
  <c r="Z296" i="1"/>
  <c r="Y296" i="1"/>
  <c r="X296" i="1"/>
  <c r="W296" i="1"/>
  <c r="V296" i="1"/>
  <c r="U296" i="1"/>
  <c r="T296" i="1"/>
  <c r="Z295" i="1"/>
  <c r="Y295" i="1"/>
  <c r="X295" i="1"/>
  <c r="W295" i="1"/>
  <c r="V295" i="1"/>
  <c r="U295" i="1"/>
  <c r="T295" i="1"/>
  <c r="Z294" i="1"/>
  <c r="Y294" i="1"/>
  <c r="X294" i="1"/>
  <c r="W294" i="1"/>
  <c r="V294" i="1"/>
  <c r="U294" i="1"/>
  <c r="T294" i="1"/>
  <c r="Z293" i="1"/>
  <c r="Y293" i="1"/>
  <c r="X293" i="1"/>
  <c r="W293" i="1"/>
  <c r="V293" i="1"/>
  <c r="U293" i="1"/>
  <c r="T293" i="1"/>
  <c r="Z292" i="1"/>
  <c r="Y292" i="1"/>
  <c r="X292" i="1"/>
  <c r="W292" i="1"/>
  <c r="V292" i="1"/>
  <c r="U292" i="1"/>
  <c r="T292" i="1"/>
  <c r="Z291" i="1"/>
  <c r="Y291" i="1"/>
  <c r="X291" i="1"/>
  <c r="W291" i="1"/>
  <c r="V291" i="1"/>
  <c r="U291" i="1"/>
  <c r="T291" i="1"/>
  <c r="Z290" i="1"/>
  <c r="Y290" i="1"/>
  <c r="X290" i="1"/>
  <c r="W290" i="1"/>
  <c r="V290" i="1"/>
  <c r="U290" i="1"/>
  <c r="T290" i="1"/>
  <c r="Z289" i="1"/>
  <c r="Y289" i="1"/>
  <c r="X289" i="1"/>
  <c r="W289" i="1"/>
  <c r="V289" i="1"/>
  <c r="U289" i="1"/>
  <c r="T289" i="1"/>
  <c r="Z288" i="1"/>
  <c r="Y288" i="1"/>
  <c r="X288" i="1"/>
  <c r="W288" i="1"/>
  <c r="V288" i="1"/>
  <c r="U288" i="1"/>
  <c r="T288" i="1"/>
  <c r="Z287" i="1"/>
  <c r="Y287" i="1"/>
  <c r="X287" i="1"/>
  <c r="W287" i="1"/>
  <c r="V287" i="1"/>
  <c r="U287" i="1"/>
  <c r="T287" i="1"/>
  <c r="Z286" i="1"/>
  <c r="Y286" i="1"/>
  <c r="X286" i="1"/>
  <c r="W286" i="1"/>
  <c r="V286" i="1"/>
  <c r="U286" i="1"/>
  <c r="T286" i="1"/>
  <c r="Z285" i="1"/>
  <c r="Y285" i="1"/>
  <c r="X285" i="1"/>
  <c r="W285" i="1"/>
  <c r="V285" i="1"/>
  <c r="U285" i="1"/>
  <c r="T285" i="1"/>
  <c r="Z284" i="1"/>
  <c r="Y284" i="1"/>
  <c r="X284" i="1"/>
  <c r="W284" i="1"/>
  <c r="V284" i="1"/>
  <c r="U284" i="1"/>
  <c r="T284" i="1"/>
  <c r="Z283" i="1"/>
  <c r="Y283" i="1"/>
  <c r="X283" i="1"/>
  <c r="W283" i="1"/>
  <c r="V283" i="1"/>
  <c r="U283" i="1"/>
  <c r="T283" i="1"/>
  <c r="Z282" i="1"/>
  <c r="Y282" i="1"/>
  <c r="X282" i="1"/>
  <c r="W282" i="1"/>
  <c r="V282" i="1"/>
  <c r="U282" i="1"/>
  <c r="T282" i="1"/>
  <c r="Z281" i="1"/>
  <c r="Y281" i="1"/>
  <c r="X281" i="1"/>
  <c r="W281" i="1"/>
  <c r="V281" i="1"/>
  <c r="U281" i="1"/>
  <c r="T281" i="1"/>
  <c r="Z280" i="1"/>
  <c r="Y280" i="1"/>
  <c r="X280" i="1"/>
  <c r="W280" i="1"/>
  <c r="V280" i="1"/>
  <c r="U280" i="1"/>
  <c r="T280" i="1"/>
  <c r="Z279" i="1"/>
  <c r="Y279" i="1"/>
  <c r="X279" i="1"/>
  <c r="W279" i="1"/>
  <c r="V279" i="1"/>
  <c r="U279" i="1"/>
  <c r="T279" i="1"/>
  <c r="Z278" i="1"/>
  <c r="Y278" i="1"/>
  <c r="X278" i="1"/>
  <c r="W278" i="1"/>
  <c r="V278" i="1"/>
  <c r="U278" i="1"/>
  <c r="T278" i="1"/>
  <c r="Z277" i="1"/>
  <c r="Y277" i="1"/>
  <c r="X277" i="1"/>
  <c r="W277" i="1"/>
  <c r="V277" i="1"/>
  <c r="U277" i="1"/>
  <c r="T277" i="1"/>
  <c r="Z276" i="1"/>
  <c r="Y276" i="1"/>
  <c r="X276" i="1"/>
  <c r="W276" i="1"/>
  <c r="V276" i="1"/>
  <c r="U276" i="1"/>
  <c r="T276" i="1"/>
  <c r="Z275" i="1"/>
  <c r="Y275" i="1"/>
  <c r="X275" i="1"/>
  <c r="W275" i="1"/>
  <c r="V275" i="1"/>
  <c r="U275" i="1"/>
  <c r="T275" i="1"/>
  <c r="Z274" i="1"/>
  <c r="Y274" i="1"/>
  <c r="X274" i="1"/>
  <c r="W274" i="1"/>
  <c r="V274" i="1"/>
  <c r="U274" i="1"/>
  <c r="T274" i="1"/>
  <c r="Z273" i="1"/>
  <c r="Y273" i="1"/>
  <c r="X273" i="1"/>
  <c r="W273" i="1"/>
  <c r="V273" i="1"/>
  <c r="U273" i="1"/>
  <c r="T273" i="1"/>
  <c r="Z272" i="1"/>
  <c r="Y272" i="1"/>
  <c r="X272" i="1"/>
  <c r="W272" i="1"/>
  <c r="V272" i="1"/>
  <c r="U272" i="1"/>
  <c r="T272" i="1"/>
  <c r="Z271" i="1"/>
  <c r="Y271" i="1"/>
  <c r="X271" i="1"/>
  <c r="W271" i="1"/>
  <c r="V271" i="1"/>
  <c r="U271" i="1"/>
  <c r="T271" i="1"/>
  <c r="Z270" i="1"/>
  <c r="Y270" i="1"/>
  <c r="X270" i="1"/>
  <c r="W270" i="1"/>
  <c r="V270" i="1"/>
  <c r="U270" i="1"/>
  <c r="T270" i="1"/>
  <c r="Z269" i="1"/>
  <c r="Y269" i="1"/>
  <c r="X269" i="1"/>
  <c r="W269" i="1"/>
  <c r="V269" i="1"/>
  <c r="U269" i="1"/>
  <c r="T269" i="1"/>
  <c r="Z268" i="1"/>
  <c r="Y268" i="1"/>
  <c r="X268" i="1"/>
  <c r="W268" i="1"/>
  <c r="V268" i="1"/>
  <c r="U268" i="1"/>
  <c r="T268" i="1"/>
  <c r="Z267" i="1"/>
  <c r="Y267" i="1"/>
  <c r="X267" i="1"/>
  <c r="W267" i="1"/>
  <c r="V267" i="1"/>
  <c r="U267" i="1"/>
  <c r="T267" i="1"/>
  <c r="Z266" i="1"/>
  <c r="Y266" i="1"/>
  <c r="X266" i="1"/>
  <c r="W266" i="1"/>
  <c r="V266" i="1"/>
  <c r="U266" i="1"/>
  <c r="T266" i="1"/>
  <c r="Z265" i="1"/>
  <c r="Y265" i="1"/>
  <c r="X265" i="1"/>
  <c r="W265" i="1"/>
  <c r="V265" i="1"/>
  <c r="U265" i="1"/>
  <c r="T265" i="1"/>
  <c r="Z264" i="1"/>
  <c r="Y264" i="1"/>
  <c r="X264" i="1"/>
  <c r="W264" i="1"/>
  <c r="V264" i="1"/>
  <c r="U264" i="1"/>
  <c r="T264" i="1"/>
  <c r="Z263" i="1"/>
  <c r="Y263" i="1"/>
  <c r="X263" i="1"/>
  <c r="W263" i="1"/>
  <c r="V263" i="1"/>
  <c r="U263" i="1"/>
  <c r="T263" i="1"/>
  <c r="Z262" i="1"/>
  <c r="Y262" i="1"/>
  <c r="X262" i="1"/>
  <c r="W262" i="1"/>
  <c r="V262" i="1"/>
  <c r="U262" i="1"/>
  <c r="T262" i="1"/>
  <c r="Z261" i="1"/>
  <c r="Y261" i="1"/>
  <c r="X261" i="1"/>
  <c r="W261" i="1"/>
  <c r="V261" i="1"/>
  <c r="U261" i="1"/>
  <c r="T261" i="1"/>
  <c r="Z260" i="1"/>
  <c r="Y260" i="1"/>
  <c r="X260" i="1"/>
  <c r="W260" i="1"/>
  <c r="V260" i="1"/>
  <c r="U260" i="1"/>
  <c r="T260" i="1"/>
  <c r="Z259" i="1"/>
  <c r="Y259" i="1"/>
  <c r="X259" i="1"/>
  <c r="W259" i="1"/>
  <c r="V259" i="1"/>
  <c r="U259" i="1"/>
  <c r="T259" i="1"/>
  <c r="Z258" i="1"/>
  <c r="Y258" i="1"/>
  <c r="X258" i="1"/>
  <c r="W258" i="1"/>
  <c r="V258" i="1"/>
  <c r="U258" i="1"/>
  <c r="T258" i="1"/>
  <c r="Z257" i="1"/>
  <c r="Y257" i="1"/>
  <c r="X257" i="1"/>
  <c r="W257" i="1"/>
  <c r="V257" i="1"/>
  <c r="U257" i="1"/>
  <c r="T257" i="1"/>
  <c r="Z256" i="1"/>
  <c r="Y256" i="1"/>
  <c r="X256" i="1"/>
  <c r="W256" i="1"/>
  <c r="V256" i="1"/>
  <c r="U256" i="1"/>
  <c r="T256" i="1"/>
  <c r="Z255" i="1"/>
  <c r="Y255" i="1"/>
  <c r="X255" i="1"/>
  <c r="W255" i="1"/>
  <c r="V255" i="1"/>
  <c r="U255" i="1"/>
  <c r="T255" i="1"/>
  <c r="Z254" i="1"/>
  <c r="Y254" i="1"/>
  <c r="X254" i="1"/>
  <c r="W254" i="1"/>
  <c r="V254" i="1"/>
  <c r="U254" i="1"/>
  <c r="T254" i="1"/>
  <c r="Z253" i="1"/>
  <c r="Y253" i="1"/>
  <c r="X253" i="1"/>
  <c r="W253" i="1"/>
  <c r="V253" i="1"/>
  <c r="U253" i="1"/>
  <c r="T253" i="1"/>
  <c r="Z252" i="1"/>
  <c r="Y252" i="1"/>
  <c r="X252" i="1"/>
  <c r="W252" i="1"/>
  <c r="V252" i="1"/>
  <c r="U252" i="1"/>
  <c r="T252" i="1"/>
  <c r="Z251" i="1"/>
  <c r="Y251" i="1"/>
  <c r="X251" i="1"/>
  <c r="W251" i="1"/>
  <c r="V251" i="1"/>
  <c r="U251" i="1"/>
  <c r="T251" i="1"/>
  <c r="Z250" i="1"/>
  <c r="Y250" i="1"/>
  <c r="X250" i="1"/>
  <c r="W250" i="1"/>
  <c r="V250" i="1"/>
  <c r="U250" i="1"/>
  <c r="T250" i="1"/>
  <c r="Z249" i="1"/>
  <c r="Y249" i="1"/>
  <c r="X249" i="1"/>
  <c r="W249" i="1"/>
  <c r="V249" i="1"/>
  <c r="U249" i="1"/>
  <c r="T249" i="1"/>
  <c r="Z248" i="1"/>
  <c r="Y248" i="1"/>
  <c r="X248" i="1"/>
  <c r="W248" i="1"/>
  <c r="V248" i="1"/>
  <c r="U248" i="1"/>
  <c r="T248" i="1"/>
  <c r="Z247" i="1"/>
  <c r="Y247" i="1"/>
  <c r="X247" i="1"/>
  <c r="W247" i="1"/>
  <c r="V247" i="1"/>
  <c r="U247" i="1"/>
  <c r="T247" i="1"/>
  <c r="Z246" i="1"/>
  <c r="Y246" i="1"/>
  <c r="X246" i="1"/>
  <c r="W246" i="1"/>
  <c r="V246" i="1"/>
  <c r="U246" i="1"/>
  <c r="T246" i="1"/>
  <c r="Z245" i="1"/>
  <c r="Y245" i="1"/>
  <c r="X245" i="1"/>
  <c r="W245" i="1"/>
  <c r="V245" i="1"/>
  <c r="U245" i="1"/>
  <c r="T245" i="1"/>
  <c r="Z244" i="1"/>
  <c r="Y244" i="1"/>
  <c r="X244" i="1"/>
  <c r="W244" i="1"/>
  <c r="V244" i="1"/>
  <c r="U244" i="1"/>
  <c r="T244" i="1"/>
  <c r="Z243" i="1"/>
  <c r="Y243" i="1"/>
  <c r="X243" i="1"/>
  <c r="W243" i="1"/>
  <c r="V243" i="1"/>
  <c r="U243" i="1"/>
  <c r="T243" i="1"/>
  <c r="Z242" i="1"/>
  <c r="Y242" i="1"/>
  <c r="X242" i="1"/>
  <c r="W242" i="1"/>
  <c r="V242" i="1"/>
  <c r="U242" i="1"/>
  <c r="T242" i="1"/>
  <c r="Z241" i="1"/>
  <c r="Y241" i="1"/>
  <c r="X241" i="1"/>
  <c r="W241" i="1"/>
  <c r="V241" i="1"/>
  <c r="U241" i="1"/>
  <c r="T241" i="1"/>
  <c r="Z240" i="1"/>
  <c r="Y240" i="1"/>
  <c r="X240" i="1"/>
  <c r="W240" i="1"/>
  <c r="V240" i="1"/>
  <c r="U240" i="1"/>
  <c r="T240" i="1"/>
  <c r="Z239" i="1"/>
  <c r="Y239" i="1"/>
  <c r="X239" i="1"/>
  <c r="W239" i="1"/>
  <c r="V239" i="1"/>
  <c r="U239" i="1"/>
  <c r="T239" i="1"/>
  <c r="Z238" i="1"/>
  <c r="Y238" i="1"/>
  <c r="X238" i="1"/>
  <c r="W238" i="1"/>
  <c r="V238" i="1"/>
  <c r="U238" i="1"/>
  <c r="T238" i="1"/>
  <c r="Z237" i="1"/>
  <c r="Y237" i="1"/>
  <c r="X237" i="1"/>
  <c r="W237" i="1"/>
  <c r="V237" i="1"/>
  <c r="U237" i="1"/>
  <c r="T237" i="1"/>
  <c r="Z236" i="1"/>
  <c r="Y236" i="1"/>
  <c r="X236" i="1"/>
  <c r="W236" i="1"/>
  <c r="V236" i="1"/>
  <c r="U236" i="1"/>
  <c r="T236" i="1"/>
  <c r="Z235" i="1"/>
  <c r="Y235" i="1"/>
  <c r="X235" i="1"/>
  <c r="W235" i="1"/>
  <c r="V235" i="1"/>
  <c r="U235" i="1"/>
  <c r="T235" i="1"/>
  <c r="Z234" i="1"/>
  <c r="Y234" i="1"/>
  <c r="X234" i="1"/>
  <c r="W234" i="1"/>
  <c r="V234" i="1"/>
  <c r="U234" i="1"/>
  <c r="T234" i="1"/>
  <c r="Z233" i="1"/>
  <c r="Y233" i="1"/>
  <c r="X233" i="1"/>
  <c r="W233" i="1"/>
  <c r="V233" i="1"/>
  <c r="U233" i="1"/>
  <c r="T233" i="1"/>
  <c r="Z232" i="1"/>
  <c r="Y232" i="1"/>
  <c r="X232" i="1"/>
  <c r="W232" i="1"/>
  <c r="V232" i="1"/>
  <c r="U232" i="1"/>
  <c r="T232" i="1"/>
  <c r="Z231" i="1"/>
  <c r="Y231" i="1"/>
  <c r="X231" i="1"/>
  <c r="W231" i="1"/>
  <c r="V231" i="1"/>
  <c r="U231" i="1"/>
  <c r="T231" i="1"/>
  <c r="Z230" i="1"/>
  <c r="Y230" i="1"/>
  <c r="X230" i="1"/>
  <c r="W230" i="1"/>
  <c r="V230" i="1"/>
  <c r="U230" i="1"/>
  <c r="T230" i="1"/>
  <c r="Z229" i="1"/>
  <c r="Y229" i="1"/>
  <c r="X229" i="1"/>
  <c r="W229" i="1"/>
  <c r="V229" i="1"/>
  <c r="U229" i="1"/>
  <c r="T229" i="1"/>
  <c r="Z228" i="1"/>
  <c r="Y228" i="1"/>
  <c r="X228" i="1"/>
  <c r="W228" i="1"/>
  <c r="V228" i="1"/>
  <c r="U228" i="1"/>
  <c r="T228" i="1"/>
  <c r="Z227" i="1"/>
  <c r="Y227" i="1"/>
  <c r="X227" i="1"/>
  <c r="W227" i="1"/>
  <c r="V227" i="1"/>
  <c r="U227" i="1"/>
  <c r="T227" i="1"/>
  <c r="Z226" i="1"/>
  <c r="Y226" i="1"/>
  <c r="X226" i="1"/>
  <c r="W226" i="1"/>
  <c r="V226" i="1"/>
  <c r="U226" i="1"/>
  <c r="T226" i="1"/>
  <c r="Z225" i="1"/>
  <c r="Y225" i="1"/>
  <c r="X225" i="1"/>
  <c r="W225" i="1"/>
  <c r="V225" i="1"/>
  <c r="U225" i="1"/>
  <c r="T225" i="1"/>
  <c r="Z224" i="1"/>
  <c r="Y224" i="1"/>
  <c r="X224" i="1"/>
  <c r="W224" i="1"/>
  <c r="V224" i="1"/>
  <c r="U224" i="1"/>
  <c r="T224" i="1"/>
  <c r="Z223" i="1"/>
  <c r="Y223" i="1"/>
  <c r="X223" i="1"/>
  <c r="W223" i="1"/>
  <c r="V223" i="1"/>
  <c r="U223" i="1"/>
  <c r="T223" i="1"/>
  <c r="Z222" i="1"/>
  <c r="Y222" i="1"/>
  <c r="X222" i="1"/>
  <c r="W222" i="1"/>
  <c r="V222" i="1"/>
  <c r="U222" i="1"/>
  <c r="T222" i="1"/>
  <c r="Z221" i="1"/>
  <c r="Y221" i="1"/>
  <c r="X221" i="1"/>
  <c r="W221" i="1"/>
  <c r="V221" i="1"/>
  <c r="U221" i="1"/>
  <c r="T221" i="1"/>
  <c r="Z220" i="1"/>
  <c r="Y220" i="1"/>
  <c r="X220" i="1"/>
  <c r="W220" i="1"/>
  <c r="V220" i="1"/>
  <c r="U220" i="1"/>
  <c r="T220" i="1"/>
  <c r="Z219" i="1"/>
  <c r="Y219" i="1"/>
  <c r="X219" i="1"/>
  <c r="W219" i="1"/>
  <c r="V219" i="1"/>
  <c r="U219" i="1"/>
  <c r="T219" i="1"/>
  <c r="Z218" i="1"/>
  <c r="Y218" i="1"/>
  <c r="X218" i="1"/>
  <c r="W218" i="1"/>
  <c r="V218" i="1"/>
  <c r="U218" i="1"/>
  <c r="T218" i="1"/>
  <c r="Z217" i="1"/>
  <c r="Y217" i="1"/>
  <c r="X217" i="1"/>
  <c r="W217" i="1"/>
  <c r="V217" i="1"/>
  <c r="U217" i="1"/>
  <c r="T217" i="1"/>
  <c r="Z216" i="1"/>
  <c r="Y216" i="1"/>
  <c r="X216" i="1"/>
  <c r="W216" i="1"/>
  <c r="V216" i="1"/>
  <c r="U216" i="1"/>
  <c r="T216" i="1"/>
  <c r="Z215" i="1"/>
  <c r="Y215" i="1"/>
  <c r="X215" i="1"/>
  <c r="W215" i="1"/>
  <c r="V215" i="1"/>
  <c r="U215" i="1"/>
  <c r="T215" i="1"/>
  <c r="Z214" i="1"/>
  <c r="Y214" i="1"/>
  <c r="X214" i="1"/>
  <c r="W214" i="1"/>
  <c r="V214" i="1"/>
  <c r="U214" i="1"/>
  <c r="T214" i="1"/>
  <c r="Z213" i="1"/>
  <c r="Y213" i="1"/>
  <c r="X213" i="1"/>
  <c r="W213" i="1"/>
  <c r="V213" i="1"/>
  <c r="U213" i="1"/>
  <c r="T213" i="1"/>
  <c r="Z212" i="1"/>
  <c r="Y212" i="1"/>
  <c r="X212" i="1"/>
  <c r="W212" i="1"/>
  <c r="V212" i="1"/>
  <c r="U212" i="1"/>
  <c r="T212" i="1"/>
  <c r="Z211" i="1"/>
  <c r="Y211" i="1"/>
  <c r="X211" i="1"/>
  <c r="W211" i="1"/>
  <c r="V211" i="1"/>
  <c r="U211" i="1"/>
  <c r="T211" i="1"/>
  <c r="Z210" i="1"/>
  <c r="Y210" i="1"/>
  <c r="X210" i="1"/>
  <c r="W210" i="1"/>
  <c r="V210" i="1"/>
  <c r="U210" i="1"/>
  <c r="T210" i="1"/>
  <c r="Z209" i="1"/>
  <c r="Y209" i="1"/>
  <c r="X209" i="1"/>
  <c r="W209" i="1"/>
  <c r="V209" i="1"/>
  <c r="U209" i="1"/>
  <c r="T209" i="1"/>
  <c r="Z208" i="1"/>
  <c r="Y208" i="1"/>
  <c r="X208" i="1"/>
  <c r="W208" i="1"/>
  <c r="V208" i="1"/>
  <c r="U208" i="1"/>
  <c r="T208" i="1"/>
  <c r="Z207" i="1"/>
  <c r="Y207" i="1"/>
  <c r="X207" i="1"/>
  <c r="W207" i="1"/>
  <c r="V207" i="1"/>
  <c r="U207" i="1"/>
  <c r="T207" i="1"/>
  <c r="Z206" i="1"/>
  <c r="Y206" i="1"/>
  <c r="X206" i="1"/>
  <c r="W206" i="1"/>
  <c r="V206" i="1"/>
  <c r="U206" i="1"/>
  <c r="T206" i="1"/>
  <c r="Z205" i="1"/>
  <c r="Y205" i="1"/>
  <c r="X205" i="1"/>
  <c r="W205" i="1"/>
  <c r="V205" i="1"/>
  <c r="U205" i="1"/>
  <c r="T205" i="1"/>
  <c r="Z204" i="1"/>
  <c r="Y204" i="1"/>
  <c r="X204" i="1"/>
  <c r="W204" i="1"/>
  <c r="V204" i="1"/>
  <c r="U204" i="1"/>
  <c r="T204" i="1"/>
  <c r="Z203" i="1"/>
  <c r="Y203" i="1"/>
  <c r="X203" i="1"/>
  <c r="W203" i="1"/>
  <c r="V203" i="1"/>
  <c r="U203" i="1"/>
  <c r="T203" i="1"/>
  <c r="Z202" i="1"/>
  <c r="Y202" i="1"/>
  <c r="X202" i="1"/>
  <c r="W202" i="1"/>
  <c r="V202" i="1"/>
  <c r="U202" i="1"/>
  <c r="T202" i="1"/>
  <c r="Z201" i="1"/>
  <c r="Y201" i="1"/>
  <c r="X201" i="1"/>
  <c r="W201" i="1"/>
  <c r="V201" i="1"/>
  <c r="U201" i="1"/>
  <c r="T201" i="1"/>
  <c r="Z200" i="1"/>
  <c r="Y200" i="1"/>
  <c r="X200" i="1"/>
  <c r="W200" i="1"/>
  <c r="V200" i="1"/>
  <c r="U200" i="1"/>
  <c r="T200" i="1"/>
  <c r="Z199" i="1"/>
  <c r="Y199" i="1"/>
  <c r="X199" i="1"/>
  <c r="W199" i="1"/>
  <c r="V199" i="1"/>
  <c r="U199" i="1"/>
  <c r="T199" i="1"/>
  <c r="Z198" i="1"/>
  <c r="Y198" i="1"/>
  <c r="X198" i="1"/>
  <c r="W198" i="1"/>
  <c r="V198" i="1"/>
  <c r="U198" i="1"/>
  <c r="T198" i="1"/>
  <c r="Z197" i="1"/>
  <c r="Y197" i="1"/>
  <c r="X197" i="1"/>
  <c r="W197" i="1"/>
  <c r="V197" i="1"/>
  <c r="U197" i="1"/>
  <c r="T197" i="1"/>
  <c r="Z196" i="1"/>
  <c r="Y196" i="1"/>
  <c r="X196" i="1"/>
  <c r="W196" i="1"/>
  <c r="V196" i="1"/>
  <c r="U196" i="1"/>
  <c r="T196" i="1"/>
  <c r="Z195" i="1"/>
  <c r="Y195" i="1"/>
  <c r="X195" i="1"/>
  <c r="W195" i="1"/>
  <c r="V195" i="1"/>
  <c r="U195" i="1"/>
  <c r="T195" i="1"/>
  <c r="Z194" i="1"/>
  <c r="Y194" i="1"/>
  <c r="X194" i="1"/>
  <c r="W194" i="1"/>
  <c r="V194" i="1"/>
  <c r="U194" i="1"/>
  <c r="T194" i="1"/>
  <c r="Z193" i="1"/>
  <c r="Y193" i="1"/>
  <c r="X193" i="1"/>
  <c r="W193" i="1"/>
  <c r="V193" i="1"/>
  <c r="U193" i="1"/>
  <c r="T193" i="1"/>
  <c r="Z192" i="1"/>
  <c r="Y192" i="1"/>
  <c r="X192" i="1"/>
  <c r="W192" i="1"/>
  <c r="V192" i="1"/>
  <c r="U192" i="1"/>
  <c r="T192" i="1"/>
  <c r="Z191" i="1"/>
  <c r="Y191" i="1"/>
  <c r="X191" i="1"/>
  <c r="W191" i="1"/>
  <c r="V191" i="1"/>
  <c r="U191" i="1"/>
  <c r="T191" i="1"/>
  <c r="Z190" i="1"/>
  <c r="Y190" i="1"/>
  <c r="X190" i="1"/>
  <c r="W190" i="1"/>
  <c r="V190" i="1"/>
  <c r="U190" i="1"/>
  <c r="T190" i="1"/>
  <c r="Z189" i="1"/>
  <c r="Y189" i="1"/>
  <c r="X189" i="1"/>
  <c r="W189" i="1"/>
  <c r="V189" i="1"/>
  <c r="U189" i="1"/>
  <c r="T189" i="1"/>
  <c r="Z188" i="1"/>
  <c r="Y188" i="1"/>
  <c r="X188" i="1"/>
  <c r="W188" i="1"/>
  <c r="V188" i="1"/>
  <c r="U188" i="1"/>
  <c r="T188" i="1"/>
  <c r="Z187" i="1"/>
  <c r="Y187" i="1"/>
  <c r="X187" i="1"/>
  <c r="W187" i="1"/>
  <c r="V187" i="1"/>
  <c r="U187" i="1"/>
  <c r="T187" i="1"/>
  <c r="Z186" i="1"/>
  <c r="Y186" i="1"/>
  <c r="X186" i="1"/>
  <c r="W186" i="1"/>
  <c r="V186" i="1"/>
  <c r="U186" i="1"/>
  <c r="T186" i="1"/>
  <c r="Z185" i="1"/>
  <c r="Y185" i="1"/>
  <c r="X185" i="1"/>
  <c r="W185" i="1"/>
  <c r="V185" i="1"/>
  <c r="U185" i="1"/>
  <c r="T185" i="1"/>
  <c r="Z184" i="1"/>
  <c r="Y184" i="1"/>
  <c r="X184" i="1"/>
  <c r="W184" i="1"/>
  <c r="V184" i="1"/>
  <c r="U184" i="1"/>
  <c r="T184" i="1"/>
  <c r="Z183" i="1"/>
  <c r="Y183" i="1"/>
  <c r="X183" i="1"/>
  <c r="W183" i="1"/>
  <c r="V183" i="1"/>
  <c r="U183" i="1"/>
  <c r="T183" i="1"/>
  <c r="Z182" i="1"/>
  <c r="Y182" i="1"/>
  <c r="X182" i="1"/>
  <c r="W182" i="1"/>
  <c r="V182" i="1"/>
  <c r="U182" i="1"/>
  <c r="T182" i="1"/>
  <c r="Z181" i="1"/>
  <c r="Y181" i="1"/>
  <c r="X181" i="1"/>
  <c r="W181" i="1"/>
  <c r="V181" i="1"/>
  <c r="U181" i="1"/>
  <c r="T181" i="1"/>
  <c r="Z180" i="1"/>
  <c r="Y180" i="1"/>
  <c r="X180" i="1"/>
  <c r="W180" i="1"/>
  <c r="V180" i="1"/>
  <c r="U180" i="1"/>
  <c r="T180" i="1"/>
  <c r="Z179" i="1"/>
  <c r="Y179" i="1"/>
  <c r="X179" i="1"/>
  <c r="W179" i="1"/>
  <c r="V179" i="1"/>
  <c r="U179" i="1"/>
  <c r="T179" i="1"/>
  <c r="Z178" i="1"/>
  <c r="Y178" i="1"/>
  <c r="X178" i="1"/>
  <c r="W178" i="1"/>
  <c r="V178" i="1"/>
  <c r="U178" i="1"/>
  <c r="T178" i="1"/>
  <c r="Z177" i="1"/>
  <c r="Y177" i="1"/>
  <c r="X177" i="1"/>
  <c r="W177" i="1"/>
  <c r="V177" i="1"/>
  <c r="U177" i="1"/>
  <c r="T177" i="1"/>
  <c r="Z176" i="1"/>
  <c r="Y176" i="1"/>
  <c r="X176" i="1"/>
  <c r="W176" i="1"/>
  <c r="V176" i="1"/>
  <c r="U176" i="1"/>
  <c r="T176" i="1"/>
  <c r="Z175" i="1"/>
  <c r="Y175" i="1"/>
  <c r="X175" i="1"/>
  <c r="W175" i="1"/>
  <c r="V175" i="1"/>
  <c r="U175" i="1"/>
  <c r="T175" i="1"/>
  <c r="Z174" i="1"/>
  <c r="Y174" i="1"/>
  <c r="X174" i="1"/>
  <c r="W174" i="1"/>
  <c r="V174" i="1"/>
  <c r="U174" i="1"/>
  <c r="T174" i="1"/>
  <c r="Z173" i="1"/>
  <c r="Y173" i="1"/>
  <c r="X173" i="1"/>
  <c r="W173" i="1"/>
  <c r="V173" i="1"/>
  <c r="U173" i="1"/>
  <c r="T173" i="1"/>
  <c r="Z172" i="1"/>
  <c r="Y172" i="1"/>
  <c r="X172" i="1"/>
  <c r="W172" i="1"/>
  <c r="V172" i="1"/>
  <c r="U172" i="1"/>
  <c r="T172" i="1"/>
  <c r="Z171" i="1"/>
  <c r="Y171" i="1"/>
  <c r="X171" i="1"/>
  <c r="W171" i="1"/>
  <c r="V171" i="1"/>
  <c r="U171" i="1"/>
  <c r="T171" i="1"/>
  <c r="Z170" i="1"/>
  <c r="Y170" i="1"/>
  <c r="X170" i="1"/>
  <c r="W170" i="1"/>
  <c r="V170" i="1"/>
  <c r="U170" i="1"/>
  <c r="T170" i="1"/>
  <c r="Z169" i="1"/>
  <c r="Y169" i="1"/>
  <c r="X169" i="1"/>
  <c r="W169" i="1"/>
  <c r="V169" i="1"/>
  <c r="U169" i="1"/>
  <c r="T169" i="1"/>
  <c r="Z168" i="1"/>
  <c r="Y168" i="1"/>
  <c r="X168" i="1"/>
  <c r="W168" i="1"/>
  <c r="V168" i="1"/>
  <c r="U168" i="1"/>
  <c r="T168" i="1"/>
  <c r="Z167" i="1"/>
  <c r="Y167" i="1"/>
  <c r="X167" i="1"/>
  <c r="W167" i="1"/>
  <c r="V167" i="1"/>
  <c r="U167" i="1"/>
  <c r="T167" i="1"/>
  <c r="Z166" i="1"/>
  <c r="Y166" i="1"/>
  <c r="X166" i="1"/>
  <c r="W166" i="1"/>
  <c r="V166" i="1"/>
  <c r="U166" i="1"/>
  <c r="T166" i="1"/>
  <c r="Z165" i="1"/>
  <c r="Y165" i="1"/>
  <c r="X165" i="1"/>
  <c r="W165" i="1"/>
  <c r="V165" i="1"/>
  <c r="U165" i="1"/>
  <c r="T165" i="1"/>
  <c r="Z164" i="1"/>
  <c r="Y164" i="1"/>
  <c r="X164" i="1"/>
  <c r="W164" i="1"/>
  <c r="V164" i="1"/>
  <c r="U164" i="1"/>
  <c r="T164" i="1"/>
  <c r="Z163" i="1"/>
  <c r="Y163" i="1"/>
  <c r="X163" i="1"/>
  <c r="W163" i="1"/>
  <c r="V163" i="1"/>
  <c r="U163" i="1"/>
  <c r="T163" i="1"/>
  <c r="Z162" i="1"/>
  <c r="Y162" i="1"/>
  <c r="X162" i="1"/>
  <c r="W162" i="1"/>
  <c r="V162" i="1"/>
  <c r="U162" i="1"/>
  <c r="T162" i="1"/>
  <c r="Z161" i="1"/>
  <c r="Y161" i="1"/>
  <c r="X161" i="1"/>
  <c r="W161" i="1"/>
  <c r="V161" i="1"/>
  <c r="U161" i="1"/>
  <c r="T161" i="1"/>
  <c r="Z160" i="1"/>
  <c r="Y160" i="1"/>
  <c r="X160" i="1"/>
  <c r="W160" i="1"/>
  <c r="V160" i="1"/>
  <c r="U160" i="1"/>
  <c r="T160" i="1"/>
  <c r="Z159" i="1"/>
  <c r="Y159" i="1"/>
  <c r="X159" i="1"/>
  <c r="W159" i="1"/>
  <c r="V159" i="1"/>
  <c r="U159" i="1"/>
  <c r="T159" i="1"/>
  <c r="Z158" i="1"/>
  <c r="Y158" i="1"/>
  <c r="X158" i="1"/>
  <c r="W158" i="1"/>
  <c r="V158" i="1"/>
  <c r="U158" i="1"/>
  <c r="T158" i="1"/>
  <c r="Z157" i="1"/>
  <c r="Y157" i="1"/>
  <c r="X157" i="1"/>
  <c r="W157" i="1"/>
  <c r="V157" i="1"/>
  <c r="U157" i="1"/>
  <c r="T157" i="1"/>
  <c r="Z156" i="1"/>
  <c r="Y156" i="1"/>
  <c r="X156" i="1"/>
  <c r="W156" i="1"/>
  <c r="V156" i="1"/>
  <c r="U156" i="1"/>
  <c r="T156" i="1"/>
  <c r="Z155" i="1"/>
  <c r="Y155" i="1"/>
  <c r="X155" i="1"/>
  <c r="W155" i="1"/>
  <c r="V155" i="1"/>
  <c r="U155" i="1"/>
  <c r="T155" i="1"/>
  <c r="Z154" i="1"/>
  <c r="Y154" i="1"/>
  <c r="X154" i="1"/>
  <c r="W154" i="1"/>
  <c r="V154" i="1"/>
  <c r="U154" i="1"/>
  <c r="T154" i="1"/>
  <c r="Z153" i="1"/>
  <c r="Y153" i="1"/>
  <c r="X153" i="1"/>
  <c r="W153" i="1"/>
  <c r="V153" i="1"/>
  <c r="U153" i="1"/>
  <c r="T153" i="1"/>
  <c r="Z152" i="1"/>
  <c r="Y152" i="1"/>
  <c r="X152" i="1"/>
  <c r="W152" i="1"/>
  <c r="V152" i="1"/>
  <c r="U152" i="1"/>
  <c r="T152" i="1"/>
  <c r="Z151" i="1"/>
  <c r="Y151" i="1"/>
  <c r="X151" i="1"/>
  <c r="W151" i="1"/>
  <c r="V151" i="1"/>
  <c r="U151" i="1"/>
  <c r="T151" i="1"/>
  <c r="Z150" i="1"/>
  <c r="Y150" i="1"/>
  <c r="X150" i="1"/>
  <c r="W150" i="1"/>
  <c r="V150" i="1"/>
  <c r="U150" i="1"/>
  <c r="T150" i="1"/>
  <c r="Z149" i="1"/>
  <c r="Y149" i="1"/>
  <c r="X149" i="1"/>
  <c r="W149" i="1"/>
  <c r="V149" i="1"/>
  <c r="U149" i="1"/>
  <c r="T149" i="1"/>
  <c r="Z148" i="1"/>
  <c r="Y148" i="1"/>
  <c r="X148" i="1"/>
  <c r="W148" i="1"/>
  <c r="V148" i="1"/>
  <c r="U148" i="1"/>
  <c r="T148" i="1"/>
  <c r="Z147" i="1"/>
  <c r="Y147" i="1"/>
  <c r="X147" i="1"/>
  <c r="W147" i="1"/>
  <c r="V147" i="1"/>
  <c r="U147" i="1"/>
  <c r="T147" i="1"/>
  <c r="Z146" i="1"/>
  <c r="Y146" i="1"/>
  <c r="X146" i="1"/>
  <c r="W146" i="1"/>
  <c r="V146" i="1"/>
  <c r="U146" i="1"/>
  <c r="T146" i="1"/>
  <c r="Z145" i="1"/>
  <c r="Y145" i="1"/>
  <c r="X145" i="1"/>
  <c r="W145" i="1"/>
  <c r="V145" i="1"/>
  <c r="U145" i="1"/>
  <c r="T145" i="1"/>
  <c r="Z144" i="1"/>
  <c r="Y144" i="1"/>
  <c r="X144" i="1"/>
  <c r="W144" i="1"/>
  <c r="V144" i="1"/>
  <c r="U144" i="1"/>
  <c r="T144" i="1"/>
  <c r="Z143" i="1"/>
  <c r="Y143" i="1"/>
  <c r="X143" i="1"/>
  <c r="W143" i="1"/>
  <c r="V143" i="1"/>
  <c r="U143" i="1"/>
  <c r="T143" i="1"/>
  <c r="Z142" i="1"/>
  <c r="Y142" i="1"/>
  <c r="X142" i="1"/>
  <c r="W142" i="1"/>
  <c r="V142" i="1"/>
  <c r="U142" i="1"/>
  <c r="T142" i="1"/>
  <c r="Z141" i="1"/>
  <c r="Y141" i="1"/>
  <c r="X141" i="1"/>
  <c r="W141" i="1"/>
  <c r="V141" i="1"/>
  <c r="U141" i="1"/>
  <c r="T141" i="1"/>
  <c r="Z140" i="1"/>
  <c r="Y140" i="1"/>
  <c r="X140" i="1"/>
  <c r="W140" i="1"/>
  <c r="V140" i="1"/>
  <c r="U140" i="1"/>
  <c r="T140" i="1"/>
  <c r="Z139" i="1"/>
  <c r="Y139" i="1"/>
  <c r="X139" i="1"/>
  <c r="W139" i="1"/>
  <c r="V139" i="1"/>
  <c r="U139" i="1"/>
  <c r="T139" i="1"/>
  <c r="Z138" i="1"/>
  <c r="Y138" i="1"/>
  <c r="X138" i="1"/>
  <c r="W138" i="1"/>
  <c r="V138" i="1"/>
  <c r="U138" i="1"/>
  <c r="T138" i="1"/>
  <c r="Z137" i="1"/>
  <c r="Y137" i="1"/>
  <c r="X137" i="1"/>
  <c r="W137" i="1"/>
  <c r="V137" i="1"/>
  <c r="U137" i="1"/>
  <c r="T137" i="1"/>
  <c r="Z136" i="1"/>
  <c r="Y136" i="1"/>
  <c r="X136" i="1"/>
  <c r="W136" i="1"/>
  <c r="V136" i="1"/>
  <c r="U136" i="1"/>
  <c r="T136" i="1"/>
  <c r="Z135" i="1"/>
  <c r="Y135" i="1"/>
  <c r="X135" i="1"/>
  <c r="W135" i="1"/>
  <c r="V135" i="1"/>
  <c r="U135" i="1"/>
  <c r="T135" i="1"/>
  <c r="Z134" i="1"/>
  <c r="Y134" i="1"/>
  <c r="X134" i="1"/>
  <c r="W134" i="1"/>
  <c r="V134" i="1"/>
  <c r="U134" i="1"/>
  <c r="T134" i="1"/>
  <c r="Z133" i="1"/>
  <c r="Y133" i="1"/>
  <c r="X133" i="1"/>
  <c r="W133" i="1"/>
  <c r="V133" i="1"/>
  <c r="U133" i="1"/>
  <c r="T133" i="1"/>
  <c r="Z132" i="1"/>
  <c r="Y132" i="1"/>
  <c r="X132" i="1"/>
  <c r="W132" i="1"/>
  <c r="V132" i="1"/>
  <c r="U132" i="1"/>
  <c r="T132" i="1"/>
  <c r="Z131" i="1"/>
  <c r="Y131" i="1"/>
  <c r="X131" i="1"/>
  <c r="W131" i="1"/>
  <c r="V131" i="1"/>
  <c r="U131" i="1"/>
  <c r="T131" i="1"/>
  <c r="Z130" i="1"/>
  <c r="Y130" i="1"/>
  <c r="X130" i="1"/>
  <c r="W130" i="1"/>
  <c r="V130" i="1"/>
  <c r="U130" i="1"/>
  <c r="T130" i="1"/>
  <c r="Z129" i="1"/>
  <c r="Y129" i="1"/>
  <c r="X129" i="1"/>
  <c r="W129" i="1"/>
  <c r="V129" i="1"/>
  <c r="U129" i="1"/>
  <c r="T129" i="1"/>
  <c r="Z128" i="1"/>
  <c r="Y128" i="1"/>
  <c r="X128" i="1"/>
  <c r="W128" i="1"/>
  <c r="V128" i="1"/>
  <c r="U128" i="1"/>
  <c r="T128" i="1"/>
  <c r="Z127" i="1"/>
  <c r="Y127" i="1"/>
  <c r="X127" i="1"/>
  <c r="W127" i="1"/>
  <c r="V127" i="1"/>
  <c r="U127" i="1"/>
  <c r="T127" i="1"/>
  <c r="Z126" i="1"/>
  <c r="Y126" i="1"/>
  <c r="X126" i="1"/>
  <c r="W126" i="1"/>
  <c r="V126" i="1"/>
  <c r="U126" i="1"/>
  <c r="T126" i="1"/>
  <c r="Z125" i="1"/>
  <c r="Y125" i="1"/>
  <c r="X125" i="1"/>
  <c r="W125" i="1"/>
  <c r="V125" i="1"/>
  <c r="U125" i="1"/>
  <c r="T125" i="1"/>
  <c r="Z124" i="1"/>
  <c r="Y124" i="1"/>
  <c r="X124" i="1"/>
  <c r="W124" i="1"/>
  <c r="V124" i="1"/>
  <c r="U124" i="1"/>
  <c r="T124" i="1"/>
  <c r="Z123" i="1"/>
  <c r="Y123" i="1"/>
  <c r="X123" i="1"/>
  <c r="W123" i="1"/>
  <c r="V123" i="1"/>
  <c r="U123" i="1"/>
  <c r="T123" i="1"/>
  <c r="Z122" i="1"/>
  <c r="Y122" i="1"/>
  <c r="X122" i="1"/>
  <c r="W122" i="1"/>
  <c r="V122" i="1"/>
  <c r="U122" i="1"/>
  <c r="T122" i="1"/>
  <c r="Z121" i="1"/>
  <c r="Y121" i="1"/>
  <c r="X121" i="1"/>
  <c r="W121" i="1"/>
  <c r="V121" i="1"/>
  <c r="U121" i="1"/>
  <c r="T121" i="1"/>
  <c r="Z120" i="1"/>
  <c r="Y120" i="1"/>
  <c r="X120" i="1"/>
  <c r="W120" i="1"/>
  <c r="V120" i="1"/>
  <c r="U120" i="1"/>
  <c r="T120" i="1"/>
  <c r="Z119" i="1"/>
  <c r="Y119" i="1"/>
  <c r="X119" i="1"/>
  <c r="W119" i="1"/>
  <c r="V119" i="1"/>
  <c r="U119" i="1"/>
  <c r="T119" i="1"/>
  <c r="Z118" i="1"/>
  <c r="Y118" i="1"/>
  <c r="X118" i="1"/>
  <c r="W118" i="1"/>
  <c r="V118" i="1"/>
  <c r="U118" i="1"/>
  <c r="T118" i="1"/>
  <c r="Z117" i="1"/>
  <c r="Y117" i="1"/>
  <c r="X117" i="1"/>
  <c r="W117" i="1"/>
  <c r="V117" i="1"/>
  <c r="U117" i="1"/>
  <c r="T117" i="1"/>
  <c r="Z116" i="1"/>
  <c r="Y116" i="1"/>
  <c r="X116" i="1"/>
  <c r="W116" i="1"/>
  <c r="V116" i="1"/>
  <c r="U116" i="1"/>
  <c r="T116" i="1"/>
  <c r="Z115" i="1"/>
  <c r="Y115" i="1"/>
  <c r="X115" i="1"/>
  <c r="W115" i="1"/>
  <c r="V115" i="1"/>
  <c r="U115" i="1"/>
  <c r="T115" i="1"/>
  <c r="Z114" i="1"/>
  <c r="Y114" i="1"/>
  <c r="X114" i="1"/>
  <c r="W114" i="1"/>
  <c r="V114" i="1"/>
  <c r="U114" i="1"/>
  <c r="T114" i="1"/>
  <c r="Z113" i="1"/>
  <c r="Y113" i="1"/>
  <c r="X113" i="1"/>
  <c r="W113" i="1"/>
  <c r="V113" i="1"/>
  <c r="U113" i="1"/>
  <c r="T113" i="1"/>
  <c r="Z112" i="1"/>
  <c r="Y112" i="1"/>
  <c r="X112" i="1"/>
  <c r="W112" i="1"/>
  <c r="V112" i="1"/>
  <c r="U112" i="1"/>
  <c r="T112" i="1"/>
  <c r="Z111" i="1"/>
  <c r="Y111" i="1"/>
  <c r="X111" i="1"/>
  <c r="W111" i="1"/>
  <c r="V111" i="1"/>
  <c r="U111" i="1"/>
  <c r="T111" i="1"/>
  <c r="Z110" i="1"/>
  <c r="Y110" i="1"/>
  <c r="X110" i="1"/>
  <c r="W110" i="1"/>
  <c r="V110" i="1"/>
  <c r="U110" i="1"/>
  <c r="T110" i="1"/>
  <c r="Z109" i="1"/>
  <c r="Y109" i="1"/>
  <c r="X109" i="1"/>
  <c r="W109" i="1"/>
  <c r="V109" i="1"/>
  <c r="U109" i="1"/>
  <c r="T109" i="1"/>
  <c r="Z108" i="1"/>
  <c r="Y108" i="1"/>
  <c r="X108" i="1"/>
  <c r="W108" i="1"/>
  <c r="V108" i="1"/>
  <c r="U108" i="1"/>
  <c r="T108" i="1"/>
  <c r="Z107" i="1"/>
  <c r="Y107" i="1"/>
  <c r="X107" i="1"/>
  <c r="W107" i="1"/>
  <c r="V107" i="1"/>
  <c r="U107" i="1"/>
  <c r="T107" i="1"/>
  <c r="Z106" i="1"/>
  <c r="Y106" i="1"/>
  <c r="X106" i="1"/>
  <c r="W106" i="1"/>
  <c r="V106" i="1"/>
  <c r="U106" i="1"/>
  <c r="T106" i="1"/>
  <c r="Z105" i="1"/>
  <c r="Y105" i="1"/>
  <c r="X105" i="1"/>
  <c r="W105" i="1"/>
  <c r="V105" i="1"/>
  <c r="U105" i="1"/>
  <c r="T105" i="1"/>
  <c r="Z104" i="1"/>
  <c r="Y104" i="1"/>
  <c r="X104" i="1"/>
  <c r="W104" i="1"/>
  <c r="V104" i="1"/>
  <c r="U104" i="1"/>
  <c r="T104" i="1"/>
  <c r="Z103" i="1"/>
  <c r="Y103" i="1"/>
  <c r="X103" i="1"/>
  <c r="W103" i="1"/>
  <c r="V103" i="1"/>
  <c r="U103" i="1"/>
  <c r="T103" i="1"/>
  <c r="Z102" i="1"/>
  <c r="Y102" i="1"/>
  <c r="X102" i="1"/>
  <c r="W102" i="1"/>
  <c r="V102" i="1"/>
  <c r="U102" i="1"/>
  <c r="T102" i="1"/>
  <c r="Z101" i="1"/>
  <c r="Y101" i="1"/>
  <c r="X101" i="1"/>
  <c r="W101" i="1"/>
  <c r="V101" i="1"/>
  <c r="U101" i="1"/>
  <c r="T101" i="1"/>
  <c r="Z100" i="1"/>
  <c r="Y100" i="1"/>
  <c r="X100" i="1"/>
  <c r="W100" i="1"/>
  <c r="V100" i="1"/>
  <c r="U100" i="1"/>
  <c r="T100" i="1"/>
  <c r="Z99" i="1"/>
  <c r="Y99" i="1"/>
  <c r="X99" i="1"/>
  <c r="W99" i="1"/>
  <c r="V99" i="1"/>
  <c r="U99" i="1"/>
  <c r="T99" i="1"/>
  <c r="Z98" i="1"/>
  <c r="Y98" i="1"/>
  <c r="X98" i="1"/>
  <c r="W98" i="1"/>
  <c r="V98" i="1"/>
  <c r="U98" i="1"/>
  <c r="T98" i="1"/>
  <c r="Z97" i="1"/>
  <c r="Y97" i="1"/>
  <c r="X97" i="1"/>
  <c r="W97" i="1"/>
  <c r="V97" i="1"/>
  <c r="U97" i="1"/>
  <c r="T97" i="1"/>
  <c r="Z96" i="1"/>
  <c r="Y96" i="1"/>
  <c r="X96" i="1"/>
  <c r="W96" i="1"/>
  <c r="V96" i="1"/>
  <c r="U96" i="1"/>
  <c r="T96" i="1"/>
  <c r="Z95" i="1"/>
  <c r="Y95" i="1"/>
  <c r="X95" i="1"/>
  <c r="W95" i="1"/>
  <c r="V95" i="1"/>
  <c r="U95" i="1"/>
  <c r="T95" i="1"/>
  <c r="Z94" i="1"/>
  <c r="Y94" i="1"/>
  <c r="X94" i="1"/>
  <c r="W94" i="1"/>
  <c r="V94" i="1"/>
  <c r="U94" i="1"/>
  <c r="T94" i="1"/>
  <c r="Z93" i="1"/>
  <c r="Y93" i="1"/>
  <c r="X93" i="1"/>
  <c r="W93" i="1"/>
  <c r="V93" i="1"/>
  <c r="U93" i="1"/>
  <c r="T93" i="1"/>
  <c r="Z92" i="1"/>
  <c r="Y92" i="1"/>
  <c r="X92" i="1"/>
  <c r="W92" i="1"/>
  <c r="V92" i="1"/>
  <c r="U92" i="1"/>
  <c r="T92" i="1"/>
  <c r="Z91" i="1"/>
  <c r="Y91" i="1"/>
  <c r="X91" i="1"/>
  <c r="W91" i="1"/>
  <c r="V91" i="1"/>
  <c r="U91" i="1"/>
  <c r="T91" i="1"/>
  <c r="Z90" i="1"/>
  <c r="Y90" i="1"/>
  <c r="X90" i="1"/>
  <c r="W90" i="1"/>
  <c r="V90" i="1"/>
  <c r="U90" i="1"/>
  <c r="T90" i="1"/>
  <c r="Z89" i="1"/>
  <c r="Y89" i="1"/>
  <c r="X89" i="1"/>
  <c r="W89" i="1"/>
  <c r="V89" i="1"/>
  <c r="U89" i="1"/>
  <c r="T89" i="1"/>
  <c r="Z88" i="1"/>
  <c r="Y88" i="1"/>
  <c r="X88" i="1"/>
  <c r="W88" i="1"/>
  <c r="V88" i="1"/>
  <c r="U88" i="1"/>
  <c r="T88" i="1"/>
  <c r="Z87" i="1"/>
  <c r="Y87" i="1"/>
  <c r="X87" i="1"/>
  <c r="W87" i="1"/>
  <c r="V87" i="1"/>
  <c r="U87" i="1"/>
  <c r="T87" i="1"/>
  <c r="Z86" i="1"/>
  <c r="Y86" i="1"/>
  <c r="X86" i="1"/>
  <c r="W86" i="1"/>
  <c r="V86" i="1"/>
  <c r="U86" i="1"/>
  <c r="T86" i="1"/>
  <c r="Z85" i="1"/>
  <c r="Y85" i="1"/>
  <c r="X85" i="1"/>
  <c r="W85" i="1"/>
  <c r="V85" i="1"/>
  <c r="U85" i="1"/>
  <c r="T85" i="1"/>
  <c r="Z84" i="1"/>
  <c r="Y84" i="1"/>
  <c r="X84" i="1"/>
  <c r="W84" i="1"/>
  <c r="V84" i="1"/>
  <c r="U84" i="1"/>
  <c r="T84" i="1"/>
  <c r="Z83" i="1"/>
  <c r="Y83" i="1"/>
  <c r="X83" i="1"/>
  <c r="W83" i="1"/>
  <c r="V83" i="1"/>
  <c r="U83" i="1"/>
  <c r="T83" i="1"/>
  <c r="Z82" i="1"/>
  <c r="Y82" i="1"/>
  <c r="X82" i="1"/>
  <c r="W82" i="1"/>
  <c r="V82" i="1"/>
  <c r="U82" i="1"/>
  <c r="T82" i="1"/>
  <c r="Z81" i="1"/>
  <c r="Y81" i="1"/>
  <c r="X81" i="1"/>
  <c r="W81" i="1"/>
  <c r="V81" i="1"/>
  <c r="U81" i="1"/>
  <c r="T81" i="1"/>
  <c r="Z80" i="1"/>
  <c r="Y80" i="1"/>
  <c r="X80" i="1"/>
  <c r="W80" i="1"/>
  <c r="V80" i="1"/>
  <c r="U80" i="1"/>
  <c r="T80" i="1"/>
  <c r="Z79" i="1"/>
  <c r="Y79" i="1"/>
  <c r="X79" i="1"/>
  <c r="W79" i="1"/>
  <c r="V79" i="1"/>
  <c r="U79" i="1"/>
  <c r="T79" i="1"/>
  <c r="Z78" i="1"/>
  <c r="Y78" i="1"/>
  <c r="X78" i="1"/>
  <c r="W78" i="1"/>
  <c r="V78" i="1"/>
  <c r="U78" i="1"/>
  <c r="T78" i="1"/>
  <c r="Z77" i="1"/>
  <c r="Y77" i="1"/>
  <c r="X77" i="1"/>
  <c r="W77" i="1"/>
  <c r="V77" i="1"/>
  <c r="U77" i="1"/>
  <c r="T77" i="1"/>
  <c r="Z76" i="1"/>
  <c r="Y76" i="1"/>
  <c r="X76" i="1"/>
  <c r="W76" i="1"/>
  <c r="V76" i="1"/>
  <c r="U76" i="1"/>
  <c r="T76" i="1"/>
  <c r="Z75" i="1"/>
  <c r="Y75" i="1"/>
  <c r="X75" i="1"/>
  <c r="W75" i="1"/>
  <c r="V75" i="1"/>
  <c r="U75" i="1"/>
  <c r="T75" i="1"/>
  <c r="Z74" i="1"/>
  <c r="Y74" i="1"/>
  <c r="X74" i="1"/>
  <c r="W74" i="1"/>
  <c r="V74" i="1"/>
  <c r="U74" i="1"/>
  <c r="T74" i="1"/>
  <c r="Z73" i="1"/>
  <c r="Y73" i="1"/>
  <c r="X73" i="1"/>
  <c r="W73" i="1"/>
  <c r="V73" i="1"/>
  <c r="U73" i="1"/>
  <c r="T73" i="1"/>
  <c r="Z72" i="1"/>
  <c r="Y72" i="1"/>
  <c r="X72" i="1"/>
  <c r="W72" i="1"/>
  <c r="V72" i="1"/>
  <c r="U72" i="1"/>
  <c r="T72" i="1"/>
  <c r="Z71" i="1"/>
  <c r="Y71" i="1"/>
  <c r="X71" i="1"/>
  <c r="W71" i="1"/>
  <c r="V71" i="1"/>
  <c r="U71" i="1"/>
  <c r="T71" i="1"/>
  <c r="Z70" i="1"/>
  <c r="Y70" i="1"/>
  <c r="X70" i="1"/>
  <c r="W70" i="1"/>
  <c r="V70" i="1"/>
  <c r="U70" i="1"/>
  <c r="T70" i="1"/>
  <c r="Z69" i="1"/>
  <c r="Y69" i="1"/>
  <c r="X69" i="1"/>
  <c r="W69" i="1"/>
  <c r="V69" i="1"/>
  <c r="U69" i="1"/>
  <c r="T69" i="1"/>
  <c r="Z68" i="1"/>
  <c r="Y68" i="1"/>
  <c r="X68" i="1"/>
  <c r="W68" i="1"/>
  <c r="V68" i="1"/>
  <c r="U68" i="1"/>
  <c r="T68" i="1"/>
  <c r="Z67" i="1"/>
  <c r="Y67" i="1"/>
  <c r="X67" i="1"/>
  <c r="W67" i="1"/>
  <c r="V67" i="1"/>
  <c r="U67" i="1"/>
  <c r="T67" i="1"/>
  <c r="Z66" i="1"/>
  <c r="Y66" i="1"/>
  <c r="X66" i="1"/>
  <c r="W66" i="1"/>
  <c r="V66" i="1"/>
  <c r="U66" i="1"/>
  <c r="T66" i="1"/>
  <c r="Z65" i="1"/>
  <c r="Y65" i="1"/>
  <c r="X65" i="1"/>
  <c r="W65" i="1"/>
  <c r="V65" i="1"/>
  <c r="U65" i="1"/>
  <c r="T65" i="1"/>
  <c r="Z64" i="1"/>
  <c r="Y64" i="1"/>
  <c r="X64" i="1"/>
  <c r="W64" i="1"/>
  <c r="V64" i="1"/>
  <c r="U64" i="1"/>
  <c r="T64" i="1"/>
  <c r="Z63" i="1"/>
  <c r="Y63" i="1"/>
  <c r="X63" i="1"/>
  <c r="W63" i="1"/>
  <c r="V63" i="1"/>
  <c r="U63" i="1"/>
  <c r="T63" i="1"/>
  <c r="Z62" i="1"/>
  <c r="Y62" i="1"/>
  <c r="X62" i="1"/>
  <c r="W62" i="1"/>
  <c r="V62" i="1"/>
  <c r="U62" i="1"/>
  <c r="T62" i="1"/>
  <c r="Z61" i="1"/>
  <c r="Y61" i="1"/>
  <c r="X61" i="1"/>
  <c r="W61" i="1"/>
  <c r="V61" i="1"/>
  <c r="U61" i="1"/>
  <c r="T61" i="1"/>
  <c r="Z60" i="1"/>
  <c r="Y60" i="1"/>
  <c r="X60" i="1"/>
  <c r="W60" i="1"/>
  <c r="V60" i="1"/>
  <c r="U60" i="1"/>
  <c r="T60" i="1"/>
  <c r="Z59" i="1"/>
  <c r="Y59" i="1"/>
  <c r="X59" i="1"/>
  <c r="W59" i="1"/>
  <c r="V59" i="1"/>
  <c r="U59" i="1"/>
  <c r="T59" i="1"/>
  <c r="Z58" i="1"/>
  <c r="Y58" i="1"/>
  <c r="X58" i="1"/>
  <c r="W58" i="1"/>
  <c r="V58" i="1"/>
  <c r="U58" i="1"/>
  <c r="T58" i="1"/>
  <c r="Z57" i="1"/>
  <c r="Y57" i="1"/>
  <c r="X57" i="1"/>
  <c r="W57" i="1"/>
  <c r="V57" i="1"/>
  <c r="U57" i="1"/>
  <c r="T57" i="1"/>
  <c r="Z56" i="1"/>
  <c r="Y56" i="1"/>
  <c r="X56" i="1"/>
  <c r="W56" i="1"/>
  <c r="V56" i="1"/>
  <c r="U56" i="1"/>
  <c r="T56" i="1"/>
  <c r="Z55" i="1"/>
  <c r="Y55" i="1"/>
  <c r="X55" i="1"/>
  <c r="W55" i="1"/>
  <c r="V55" i="1"/>
  <c r="U55" i="1"/>
  <c r="T55" i="1"/>
  <c r="Z54" i="1"/>
  <c r="Y54" i="1"/>
  <c r="X54" i="1"/>
  <c r="W54" i="1"/>
  <c r="V54" i="1"/>
  <c r="U54" i="1"/>
  <c r="T54" i="1"/>
  <c r="Z53" i="1"/>
  <c r="Y53" i="1"/>
  <c r="X53" i="1"/>
  <c r="W53" i="1"/>
  <c r="V53" i="1"/>
  <c r="U53" i="1"/>
  <c r="T53" i="1"/>
  <c r="Z52" i="1"/>
  <c r="Y52" i="1"/>
  <c r="X52" i="1"/>
  <c r="W52" i="1"/>
  <c r="V52" i="1"/>
  <c r="U52" i="1"/>
  <c r="T52" i="1"/>
  <c r="Z51" i="1"/>
  <c r="Y51" i="1"/>
  <c r="X51" i="1"/>
  <c r="W51" i="1"/>
  <c r="V51" i="1"/>
  <c r="U51" i="1"/>
  <c r="T51" i="1"/>
  <c r="Z50" i="1"/>
  <c r="Y50" i="1"/>
  <c r="X50" i="1"/>
  <c r="W50" i="1"/>
  <c r="V50" i="1"/>
  <c r="U50" i="1"/>
  <c r="T50" i="1"/>
  <c r="Z49" i="1"/>
  <c r="Y49" i="1"/>
  <c r="X49" i="1"/>
  <c r="W49" i="1"/>
  <c r="V49" i="1"/>
  <c r="U49" i="1"/>
  <c r="T49" i="1"/>
  <c r="Z48" i="1"/>
  <c r="Y48" i="1"/>
  <c r="X48" i="1"/>
  <c r="W48" i="1"/>
  <c r="V48" i="1"/>
  <c r="U48" i="1"/>
  <c r="T48" i="1"/>
  <c r="Z47" i="1"/>
  <c r="Y47" i="1"/>
  <c r="X47" i="1"/>
  <c r="W47" i="1"/>
  <c r="V47" i="1"/>
  <c r="U47" i="1"/>
  <c r="T47" i="1"/>
  <c r="Z46" i="1"/>
  <c r="Y46" i="1"/>
  <c r="X46" i="1"/>
  <c r="W46" i="1"/>
  <c r="V46" i="1"/>
  <c r="U46" i="1"/>
  <c r="T46" i="1"/>
  <c r="Z45" i="1"/>
  <c r="Y45" i="1"/>
  <c r="X45" i="1"/>
  <c r="W45" i="1"/>
  <c r="V45" i="1"/>
  <c r="U45" i="1"/>
  <c r="T45" i="1"/>
  <c r="Z44" i="1"/>
  <c r="Y44" i="1"/>
  <c r="X44" i="1"/>
  <c r="W44" i="1"/>
  <c r="V44" i="1"/>
  <c r="U44" i="1"/>
  <c r="T44" i="1"/>
  <c r="Z43" i="1"/>
  <c r="Y43" i="1"/>
  <c r="X43" i="1"/>
  <c r="W43" i="1"/>
  <c r="V43" i="1"/>
  <c r="U43" i="1"/>
  <c r="T43" i="1"/>
  <c r="Z42" i="1"/>
  <c r="Y42" i="1"/>
  <c r="X42" i="1"/>
  <c r="W42" i="1"/>
  <c r="V42" i="1"/>
  <c r="U42" i="1"/>
  <c r="T42" i="1"/>
  <c r="Z41" i="1"/>
  <c r="Y41" i="1"/>
  <c r="X41" i="1"/>
  <c r="W41" i="1"/>
  <c r="V41" i="1"/>
  <c r="U41" i="1"/>
  <c r="T41" i="1"/>
  <c r="Z40" i="1"/>
  <c r="Y40" i="1"/>
  <c r="X40" i="1"/>
  <c r="W40" i="1"/>
  <c r="V40" i="1"/>
  <c r="U40" i="1"/>
  <c r="T40" i="1"/>
  <c r="Z39" i="1"/>
  <c r="Y39" i="1"/>
  <c r="X39" i="1"/>
  <c r="W39" i="1"/>
  <c r="V39" i="1"/>
  <c r="U39" i="1"/>
  <c r="T39" i="1"/>
  <c r="Z38" i="1"/>
  <c r="Y38" i="1"/>
  <c r="X38" i="1"/>
  <c r="W38" i="1"/>
  <c r="V38" i="1"/>
  <c r="U38" i="1"/>
  <c r="T38" i="1"/>
  <c r="Z37" i="1"/>
  <c r="Y37" i="1"/>
  <c r="X37" i="1"/>
  <c r="W37" i="1"/>
  <c r="V37" i="1"/>
  <c r="U37" i="1"/>
  <c r="T37" i="1"/>
  <c r="Z36" i="1"/>
  <c r="Y36" i="1"/>
  <c r="X36" i="1"/>
  <c r="W36" i="1"/>
  <c r="V36" i="1"/>
  <c r="U36" i="1"/>
  <c r="T36" i="1"/>
  <c r="Z35" i="1"/>
  <c r="Y35" i="1"/>
  <c r="X35" i="1"/>
  <c r="W35" i="1"/>
  <c r="V35" i="1"/>
  <c r="U35" i="1"/>
  <c r="T35" i="1"/>
  <c r="Z34" i="1"/>
  <c r="Y34" i="1"/>
  <c r="X34" i="1"/>
  <c r="W34" i="1"/>
  <c r="V34" i="1"/>
  <c r="U34" i="1"/>
  <c r="T34" i="1"/>
  <c r="Z33" i="1"/>
  <c r="Y33" i="1"/>
  <c r="X33" i="1"/>
  <c r="W33" i="1"/>
  <c r="V33" i="1"/>
  <c r="U33" i="1"/>
  <c r="T33" i="1"/>
  <c r="Z32" i="1"/>
  <c r="Y32" i="1"/>
  <c r="X32" i="1"/>
  <c r="W32" i="1"/>
  <c r="V32" i="1"/>
  <c r="U32" i="1"/>
  <c r="T32" i="1"/>
  <c r="Z31" i="1"/>
  <c r="Y31" i="1"/>
  <c r="X31" i="1"/>
  <c r="W31" i="1"/>
  <c r="V31" i="1"/>
  <c r="U31" i="1"/>
  <c r="T31" i="1"/>
  <c r="Z30" i="1"/>
  <c r="Y30" i="1"/>
  <c r="X30" i="1"/>
  <c r="W30" i="1"/>
  <c r="V30" i="1"/>
  <c r="U30" i="1"/>
  <c r="T30" i="1"/>
  <c r="Z29" i="1"/>
  <c r="Y29" i="1"/>
  <c r="X29" i="1"/>
  <c r="W29" i="1"/>
  <c r="V29" i="1"/>
  <c r="U29" i="1"/>
  <c r="T29" i="1"/>
  <c r="Z28" i="1"/>
  <c r="Y28" i="1"/>
  <c r="X28" i="1"/>
  <c r="W28" i="1"/>
  <c r="V28" i="1"/>
  <c r="U28" i="1"/>
  <c r="T28" i="1"/>
  <c r="Z27" i="1"/>
  <c r="Y27" i="1"/>
  <c r="X27" i="1"/>
  <c r="W27" i="1"/>
  <c r="V27" i="1"/>
  <c r="U27" i="1"/>
  <c r="T27" i="1"/>
  <c r="Z26" i="1"/>
  <c r="Y26" i="1"/>
  <c r="X26" i="1"/>
  <c r="W26" i="1"/>
  <c r="V26" i="1"/>
  <c r="U26" i="1"/>
  <c r="T26" i="1"/>
  <c r="Z25" i="1"/>
  <c r="Y25" i="1"/>
  <c r="X25" i="1"/>
  <c r="W25" i="1"/>
  <c r="V25" i="1"/>
  <c r="U25" i="1"/>
  <c r="T25" i="1"/>
  <c r="Z24" i="1"/>
  <c r="Y24" i="1"/>
  <c r="X24" i="1"/>
  <c r="W24" i="1"/>
  <c r="V24" i="1"/>
  <c r="U24" i="1"/>
  <c r="T24" i="1"/>
  <c r="Z23" i="1"/>
  <c r="Y23" i="1"/>
  <c r="X23" i="1"/>
  <c r="W23" i="1"/>
  <c r="V23" i="1"/>
  <c r="U23" i="1"/>
  <c r="T23" i="1"/>
  <c r="Z22" i="1"/>
  <c r="Y22" i="1"/>
  <c r="X22" i="1"/>
  <c r="W22" i="1"/>
  <c r="V22" i="1"/>
  <c r="U22" i="1"/>
  <c r="T22" i="1"/>
  <c r="Z21" i="1"/>
  <c r="Y21" i="1"/>
  <c r="X21" i="1"/>
  <c r="W21" i="1"/>
  <c r="V21" i="1"/>
  <c r="U21" i="1"/>
  <c r="T21" i="1"/>
  <c r="Z20" i="1"/>
  <c r="Y20" i="1"/>
  <c r="X20" i="1"/>
  <c r="W20" i="1"/>
  <c r="V20" i="1"/>
  <c r="U20" i="1"/>
  <c r="T20" i="1"/>
  <c r="Z19" i="1"/>
  <c r="Y19" i="1"/>
  <c r="X19" i="1"/>
  <c r="W19" i="1"/>
  <c r="V19" i="1"/>
  <c r="U19" i="1"/>
  <c r="T19" i="1"/>
  <c r="Z18" i="1"/>
  <c r="Y18" i="1"/>
  <c r="X18" i="1"/>
  <c r="W18" i="1"/>
  <c r="V18" i="1"/>
  <c r="U18" i="1"/>
  <c r="T18" i="1"/>
  <c r="Z17" i="1"/>
  <c r="Y17" i="1"/>
  <c r="X17" i="1"/>
  <c r="W17" i="1"/>
  <c r="V17" i="1"/>
  <c r="U17" i="1"/>
  <c r="T17" i="1"/>
  <c r="Z16" i="1"/>
  <c r="Y16" i="1"/>
  <c r="X16" i="1"/>
  <c r="W16" i="1"/>
  <c r="V16" i="1"/>
  <c r="U16" i="1"/>
  <c r="T16" i="1"/>
  <c r="Z15" i="1"/>
  <c r="Y15" i="1"/>
  <c r="X15" i="1"/>
  <c r="W15" i="1"/>
  <c r="V15" i="1"/>
  <c r="U15" i="1"/>
  <c r="T15" i="1"/>
  <c r="Z14" i="1"/>
  <c r="Y14" i="1"/>
  <c r="X14" i="1"/>
  <c r="W14" i="1"/>
  <c r="V14" i="1"/>
  <c r="U14" i="1"/>
  <c r="T14" i="1"/>
  <c r="Z13" i="1"/>
  <c r="Y13" i="1"/>
  <c r="X13" i="1"/>
  <c r="W13" i="1"/>
  <c r="V13" i="1"/>
  <c r="U13" i="1"/>
  <c r="T13" i="1"/>
  <c r="Z12" i="1"/>
  <c r="Y12" i="1"/>
  <c r="X12" i="1"/>
  <c r="W12" i="1"/>
  <c r="V12" i="1"/>
  <c r="U12" i="1"/>
  <c r="T12" i="1"/>
  <c r="Z11" i="1"/>
  <c r="Y11" i="1"/>
  <c r="X11" i="1"/>
  <c r="W11" i="1"/>
  <c r="V11" i="1"/>
  <c r="U11" i="1"/>
  <c r="T11" i="1"/>
  <c r="Z10" i="1"/>
  <c r="Y10" i="1"/>
  <c r="X10" i="1"/>
  <c r="W10" i="1"/>
  <c r="V10" i="1"/>
  <c r="U10" i="1"/>
  <c r="T10" i="1"/>
  <c r="Z9" i="1"/>
  <c r="Y9" i="1"/>
  <c r="X9" i="1"/>
  <c r="W9" i="1"/>
  <c r="V9" i="1"/>
  <c r="U9" i="1"/>
  <c r="T9" i="1"/>
  <c r="Z8" i="1"/>
  <c r="Y8" i="1"/>
  <c r="X8" i="1"/>
  <c r="W8" i="1"/>
  <c r="V8" i="1"/>
  <c r="U8" i="1"/>
  <c r="T8" i="1"/>
  <c r="Z7" i="1"/>
  <c r="Y7" i="1"/>
  <c r="X7" i="1"/>
  <c r="W7" i="1"/>
  <c r="V7" i="1"/>
  <c r="U7" i="1"/>
  <c r="T7" i="1"/>
  <c r="Z6" i="1"/>
  <c r="Y6" i="1"/>
  <c r="X6" i="1"/>
  <c r="W6" i="1"/>
  <c r="V6" i="1"/>
  <c r="U6" i="1"/>
  <c r="T6" i="1"/>
  <c r="Z5" i="1"/>
  <c r="Y5" i="1"/>
  <c r="X5" i="1"/>
  <c r="W5" i="1"/>
  <c r="V5" i="1"/>
  <c r="U5" i="1"/>
  <c r="T5" i="1"/>
  <c r="Z4" i="1"/>
  <c r="Y4" i="1"/>
  <c r="X4" i="1"/>
  <c r="W4" i="1"/>
  <c r="V4" i="1"/>
  <c r="U4" i="1"/>
  <c r="T4" i="1"/>
  <c r="A4" i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399" i="1" s="1"/>
  <c r="A400" i="1" s="1"/>
  <c r="A401" i="1" s="1"/>
  <c r="A402" i="1" s="1"/>
  <c r="A403" i="1" s="1"/>
  <c r="A404" i="1" s="1"/>
  <c r="A405" i="1" s="1"/>
  <c r="A406" i="1" s="1"/>
  <c r="A407" i="1" s="1"/>
  <c r="A408" i="1" s="1"/>
  <c r="A409" i="1" s="1"/>
  <c r="A410" i="1" s="1"/>
  <c r="A411" i="1" s="1"/>
  <c r="A412" i="1" s="1"/>
  <c r="A413" i="1" s="1"/>
  <c r="A414" i="1" s="1"/>
  <c r="A415" i="1" s="1"/>
  <c r="A416" i="1" s="1"/>
  <c r="A417" i="1" s="1"/>
  <c r="A418" i="1" s="1"/>
  <c r="A419" i="1" s="1"/>
  <c r="A420" i="1" s="1"/>
  <c r="A421" i="1" s="1"/>
  <c r="A422" i="1" s="1"/>
  <c r="A423" i="1" s="1"/>
  <c r="A424" i="1" s="1"/>
  <c r="A425" i="1" s="1"/>
  <c r="A426" i="1" s="1"/>
  <c r="A427" i="1" s="1"/>
  <c r="A428" i="1" s="1"/>
  <c r="A429" i="1" s="1"/>
  <c r="A430" i="1" s="1"/>
  <c r="A431" i="1" s="1"/>
  <c r="A432" i="1" s="1"/>
  <c r="A433" i="1" s="1"/>
  <c r="A434" i="1" s="1"/>
  <c r="A435" i="1" s="1"/>
  <c r="A436" i="1" s="1"/>
  <c r="A437" i="1" s="1"/>
  <c r="A438" i="1" s="1"/>
  <c r="Z3" i="1"/>
  <c r="Y3" i="1"/>
  <c r="X3" i="1"/>
  <c r="W3" i="1"/>
  <c r="V3" i="1"/>
  <c r="U3" i="1"/>
  <c r="T3" i="1"/>
</calcChain>
</file>

<file path=xl/sharedStrings.xml><?xml version="1.0" encoding="utf-8"?>
<sst xmlns="http://schemas.openxmlformats.org/spreadsheetml/2006/main" count="6919" uniqueCount="145">
  <si>
    <t>Study no.</t>
  </si>
  <si>
    <t>Year</t>
  </si>
  <si>
    <t>State</t>
  </si>
  <si>
    <t>Loc</t>
  </si>
  <si>
    <t>Reps</t>
  </si>
  <si>
    <t>Treatment</t>
  </si>
  <si>
    <t>Fung</t>
  </si>
  <si>
    <t>Rate</t>
  </si>
  <si>
    <t>Timing</t>
  </si>
  <si>
    <t>Class</t>
  </si>
  <si>
    <t>Yield</t>
  </si>
  <si>
    <t>Non-treated Yield</t>
  </si>
  <si>
    <t>Yield MSE</t>
  </si>
  <si>
    <t>Metric Yield</t>
  </si>
  <si>
    <t>Non-Treated Metric Yield</t>
  </si>
  <si>
    <t>Metric Yield MSE</t>
  </si>
  <si>
    <t>Disease</t>
  </si>
  <si>
    <t>Non-treated Disease</t>
  </si>
  <si>
    <t>Disease MSE</t>
  </si>
  <si>
    <t>Yield_Efft_Size</t>
  </si>
  <si>
    <t>Yield Variance</t>
  </si>
  <si>
    <t>Myield_Efft_size</t>
  </si>
  <si>
    <t>Myield Variance</t>
  </si>
  <si>
    <t>Disease_Efft_Size</t>
  </si>
  <si>
    <t>Disease Variance</t>
  </si>
  <si>
    <t>Disease Base</t>
  </si>
  <si>
    <t>GA</t>
  </si>
  <si>
    <t>GA2</t>
  </si>
  <si>
    <t>Quadris</t>
  </si>
  <si>
    <t>6oz</t>
  </si>
  <si>
    <t>V6</t>
  </si>
  <si>
    <t>StrategoYLD</t>
  </si>
  <si>
    <t>2+4</t>
  </si>
  <si>
    <t>Double</t>
  </si>
  <si>
    <t>MS</t>
  </si>
  <si>
    <t>MS2</t>
  </si>
  <si>
    <t>Aproach</t>
  </si>
  <si>
    <t>3+6</t>
  </si>
  <si>
    <t xml:space="preserve">Fortix </t>
  </si>
  <si>
    <t>5oz</t>
  </si>
  <si>
    <t>Fortix</t>
  </si>
  <si>
    <t>VT</t>
  </si>
  <si>
    <t>QuiltXcel</t>
  </si>
  <si>
    <t>10.5oz</t>
  </si>
  <si>
    <t>Pri+Head</t>
  </si>
  <si>
    <t>3+10</t>
  </si>
  <si>
    <t>4oz</t>
  </si>
  <si>
    <t>HeadlineAMP</t>
  </si>
  <si>
    <t>10oz</t>
  </si>
  <si>
    <t>Tilt</t>
  </si>
  <si>
    <t>IL</t>
  </si>
  <si>
    <t>Dixon</t>
  </si>
  <si>
    <t>LA</t>
  </si>
  <si>
    <t>Price</t>
  </si>
  <si>
    <t>WI</t>
  </si>
  <si>
    <t>WI1</t>
  </si>
  <si>
    <t>MI</t>
  </si>
  <si>
    <t>MI2</t>
  </si>
  <si>
    <t>Quad+Quilt</t>
  </si>
  <si>
    <t>6+10.5</t>
  </si>
  <si>
    <t>NE</t>
  </si>
  <si>
    <t>NE2</t>
  </si>
  <si>
    <t>2oz</t>
  </si>
  <si>
    <t>Domark</t>
  </si>
  <si>
    <t>IA</t>
  </si>
  <si>
    <t>NWRF</t>
  </si>
  <si>
    <t>3oz</t>
  </si>
  <si>
    <t>AR</t>
  </si>
  <si>
    <t>AR1</t>
  </si>
  <si>
    <t>WI2</t>
  </si>
  <si>
    <t>SWRF</t>
  </si>
  <si>
    <t>Priaxor</t>
  </si>
  <si>
    <t>IN</t>
  </si>
  <si>
    <t>SWPAC</t>
  </si>
  <si>
    <t>Acre</t>
  </si>
  <si>
    <t>AproachPRIMA</t>
  </si>
  <si>
    <t>6.8oz</t>
  </si>
  <si>
    <t>Auburn</t>
  </si>
  <si>
    <t>Boone</t>
  </si>
  <si>
    <t>Hollier</t>
  </si>
  <si>
    <t>Monmouth</t>
  </si>
  <si>
    <t>ON</t>
  </si>
  <si>
    <t>ON2</t>
  </si>
  <si>
    <t>AR2</t>
  </si>
  <si>
    <t>SD</t>
  </si>
  <si>
    <t>SD2</t>
  </si>
  <si>
    <t>Dekalb</t>
  </si>
  <si>
    <t>Urbana</t>
  </si>
  <si>
    <t>ND</t>
  </si>
  <si>
    <t>ND1</t>
  </si>
  <si>
    <t>ND2</t>
  </si>
  <si>
    <t>NERF</t>
  </si>
  <si>
    <t>TN</t>
  </si>
  <si>
    <t>TN2</t>
  </si>
  <si>
    <t>NRF</t>
  </si>
  <si>
    <t>N49</t>
  </si>
  <si>
    <t>125R</t>
  </si>
  <si>
    <t>.</t>
  </si>
  <si>
    <t>Ontario</t>
  </si>
  <si>
    <t xml:space="preserve">Hollier </t>
  </si>
  <si>
    <t>ACRE</t>
  </si>
  <si>
    <t>Yield Change (%)</t>
  </si>
  <si>
    <t>Yield Change (kg/ha)</t>
  </si>
  <si>
    <t>Yield Change (bu/A)</t>
  </si>
  <si>
    <t>Total Disease Control</t>
  </si>
  <si>
    <t>UTC yield (kg/ha)</t>
  </si>
  <si>
    <t>UTC yield (bu/A)</t>
  </si>
  <si>
    <t>UTC total disease</t>
  </si>
  <si>
    <t>Yield (kg/ha)</t>
  </si>
  <si>
    <t>Yield (bu/A)</t>
  </si>
  <si>
    <t>Total Disease</t>
  </si>
  <si>
    <t>Rep</t>
  </si>
  <si>
    <t>Location</t>
  </si>
  <si>
    <t>etc.</t>
  </si>
  <si>
    <t>2+3</t>
  </si>
  <si>
    <t>2+2</t>
  </si>
  <si>
    <t>2+1</t>
  </si>
  <si>
    <t>1+3</t>
  </si>
  <si>
    <t>1+2</t>
  </si>
  <si>
    <t>fung+timing</t>
  </si>
  <si>
    <t>Treatment code</t>
  </si>
  <si>
    <t>Timing codes</t>
  </si>
  <si>
    <t>Fungicide codes</t>
  </si>
  <si>
    <t>** Location GA 1 was removed from the analysis, due to no disease ratings at this location</t>
  </si>
  <si>
    <t>1-Non-treated</t>
  </si>
  <si>
    <t>2-VT</t>
  </si>
  <si>
    <t>2-Priaxor 3 oz at V6</t>
  </si>
  <si>
    <t>3-Double</t>
  </si>
  <si>
    <t>3-Quadris 6 oz at V6</t>
  </si>
  <si>
    <t>4-Stratego YLD 2 oz at V6</t>
  </si>
  <si>
    <t>5-Aproach 3 oz at V6</t>
  </si>
  <si>
    <t>6-Fortix 5 oz at V6</t>
  </si>
  <si>
    <t>7-Headline AMP 10 oz at VT</t>
  </si>
  <si>
    <t>8-Stratego YLD 4 oz at VT</t>
  </si>
  <si>
    <t>9-Quilt Xcel 10.5 oz at VT</t>
  </si>
  <si>
    <t>10-Aproach 6 oz at VT</t>
  </si>
  <si>
    <t>11-Fortix 5 oz at VT</t>
  </si>
  <si>
    <t>12-Aproach Prima 6.8 oz at VT</t>
  </si>
  <si>
    <t>13-Tilt 4 oz at VT</t>
  </si>
  <si>
    <t>14-Domark 4 oz at VT</t>
  </si>
  <si>
    <t>15-Priaxor 3 oz at V6 fb Headline AMP 10 oz at VT</t>
  </si>
  <si>
    <t>16-Quadris 6 oz at V6 fb Quilt Xcel 10.5 oz at VT</t>
  </si>
  <si>
    <t>17-Stratego YLD 2 oz at V6 fb Stratego YLD 4 oz at VT</t>
  </si>
  <si>
    <t>18-Aproach 3 oz at V6 fb Aproach 6 oz at VT</t>
  </si>
  <si>
    <t>19-Fortix 5 oz at V6 fb Fortix 5 oz at VT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</si>
</sst>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9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Times New Roman"/>
      <family val="1"/>
    </font>
    <font>
      <sz val="10"/>
      <name val="Arial"/>
      <family val="2"/>
    </font>
    <font>
      <sz val="11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theme="1"/>
      <name val="Cambria"/>
      <family val="1"/>
    </font>
    <font>
      <sz val="12"/>
      <name val="Times New Roman"/>
      <family val="1"/>
    </font>
    <font>
      <sz val="12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/>
      <bottom style="double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</borders>
  <cellStyleXfs count="1">
    <xf numFmtId="0" fontId="0" fillId="0" borderId="0"/>
  </cellStyleXfs>
  <cellXfs count="40">
    <xf numFmtId="0" fontId="0" fillId="0" borderId="0" xfId="0"/>
    <xf numFmtId="2" fontId="0" fillId="0" borderId="0" xfId="0" applyNumberFormat="1"/>
    <xf numFmtId="0" fontId="2" fillId="0" borderId="0" xfId="0" applyFont="1"/>
    <xf numFmtId="2" fontId="2" fillId="0" borderId="0" xfId="0" applyNumberFormat="1" applyFont="1"/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1" fontId="3" fillId="0" borderId="0" xfId="0" applyNumberFormat="1" applyFont="1" applyAlignment="1">
      <alignment horizontal="center" wrapText="1"/>
    </xf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164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0" fontId="3" fillId="0" borderId="0" xfId="0" applyFont="1" applyAlignment="1">
      <alignment horizontal="center" wrapText="1"/>
    </xf>
    <xf numFmtId="0" fontId="3" fillId="0" borderId="1" xfId="0" applyFont="1" applyBorder="1" applyAlignment="1">
      <alignment horizontal="center" wrapText="1"/>
    </xf>
    <xf numFmtId="0" fontId="4" fillId="0" borderId="1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quotePrefix="1" applyFont="1" applyAlignment="1">
      <alignment horizontal="center"/>
    </xf>
    <xf numFmtId="0" fontId="4" fillId="0" borderId="1" xfId="0" quotePrefix="1" applyFont="1" applyBorder="1" applyAlignment="1">
      <alignment horizontal="center"/>
    </xf>
    <xf numFmtId="2" fontId="0" fillId="0" borderId="0" xfId="0" applyNumberFormat="1" applyAlignment="1">
      <alignment horizontal="center" vertical="center" wrapText="1"/>
    </xf>
    <xf numFmtId="0" fontId="5" fillId="0" borderId="0" xfId="0" applyFont="1" applyAlignment="1">
      <alignment horizontal="center"/>
    </xf>
    <xf numFmtId="2" fontId="0" fillId="0" borderId="1" xfId="0" applyNumberFormat="1" applyBorder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2" fontId="3" fillId="0" borderId="0" xfId="0" applyNumberFormat="1" applyFont="1" applyAlignment="1">
      <alignment horizontal="center" wrapText="1"/>
    </xf>
    <xf numFmtId="0" fontId="6" fillId="0" borderId="0" xfId="0" applyFont="1" applyAlignment="1">
      <alignment horizontal="center"/>
    </xf>
    <xf numFmtId="1" fontId="0" fillId="0" borderId="1" xfId="0" applyNumberFormat="1" applyBorder="1" applyAlignment="1">
      <alignment horizontal="center"/>
    </xf>
    <xf numFmtId="0" fontId="2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2" fontId="3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center"/>
    </xf>
    <xf numFmtId="0" fontId="0" fillId="0" borderId="0" xfId="0" quotePrefix="1" applyAlignment="1">
      <alignment horizontal="center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2" fontId="1" fillId="2" borderId="2" xfId="0" applyNumberFormat="1" applyFont="1" applyFill="1" applyBorder="1" applyAlignment="1">
      <alignment horizontal="center"/>
    </xf>
    <xf numFmtId="2" fontId="1" fillId="0" borderId="2" xfId="0" applyNumberFormat="1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8" fillId="0" borderId="0" xfId="0" applyFont="1" applyAlignment="1">
      <alignment vertical="center"/>
    </xf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6497C6-117E-5E43-A815-7CFADCAA5727}">
  <dimension ref="A1:U2017"/>
  <sheetViews>
    <sheetView zoomScale="75" zoomScaleNormal="75" zoomScalePageLayoutView="75" workbookViewId="0">
      <pane ySplit="1" topLeftCell="A2" activePane="bottomLeft" state="frozen"/>
      <selection pane="bottomLeft" activeCell="D48" sqref="D48"/>
    </sheetView>
  </sheetViews>
  <sheetFormatPr baseColWidth="10" defaultColWidth="10.83203125" defaultRowHeight="16" x14ac:dyDescent="0.2"/>
  <cols>
    <col min="1" max="1" width="13.6640625" style="4" bestFit="1" customWidth="1"/>
    <col min="2" max="7" width="10.83203125" style="4"/>
    <col min="8" max="8" width="18" style="5" customWidth="1"/>
    <col min="9" max="9" width="10.83203125" style="5"/>
    <col min="10" max="10" width="11.5" style="5" bestFit="1" customWidth="1"/>
    <col min="11" max="11" width="22" style="5" customWidth="1"/>
    <col min="12" max="12" width="14.5" style="5" bestFit="1" customWidth="1"/>
    <col min="13" max="13" width="15.1640625" style="5" bestFit="1" customWidth="1"/>
    <col min="14" max="14" width="18.5" style="5" bestFit="1" customWidth="1"/>
    <col min="15" max="15" width="17.33203125" style="5" bestFit="1" customWidth="1"/>
    <col min="16" max="16" width="18" style="5" bestFit="1" customWidth="1"/>
    <col min="17" max="17" width="15.33203125" style="5" bestFit="1" customWidth="1"/>
    <col min="18" max="16384" width="10.83203125" style="4"/>
  </cols>
  <sheetData>
    <row r="1" spans="1:17" s="33" customFormat="1" ht="17" thickBot="1" x14ac:dyDescent="0.25">
      <c r="A1" s="37" t="s">
        <v>112</v>
      </c>
      <c r="B1" s="36" t="s">
        <v>1</v>
      </c>
      <c r="C1" s="36" t="s">
        <v>2</v>
      </c>
      <c r="D1" s="36" t="s">
        <v>111</v>
      </c>
      <c r="E1" s="36" t="s">
        <v>6</v>
      </c>
      <c r="F1" s="36" t="s">
        <v>8</v>
      </c>
      <c r="G1" s="36" t="s">
        <v>5</v>
      </c>
      <c r="H1" s="35" t="s">
        <v>110</v>
      </c>
      <c r="I1" s="35" t="s">
        <v>109</v>
      </c>
      <c r="J1" s="35" t="s">
        <v>108</v>
      </c>
      <c r="K1" s="35" t="s">
        <v>107</v>
      </c>
      <c r="L1" s="35" t="s">
        <v>106</v>
      </c>
      <c r="M1" s="35" t="s">
        <v>105</v>
      </c>
      <c r="N1" s="34" t="s">
        <v>104</v>
      </c>
      <c r="O1" s="34" t="s">
        <v>103</v>
      </c>
      <c r="P1" s="34" t="s">
        <v>102</v>
      </c>
      <c r="Q1" s="34" t="s">
        <v>101</v>
      </c>
    </row>
    <row r="2" spans="1:17" ht="17" thickTop="1" x14ac:dyDescent="0.2">
      <c r="A2" s="4" t="s">
        <v>68</v>
      </c>
      <c r="B2" s="12">
        <v>2014</v>
      </c>
      <c r="C2" s="12" t="s">
        <v>67</v>
      </c>
      <c r="D2" s="12">
        <v>1</v>
      </c>
      <c r="E2" s="12">
        <v>1</v>
      </c>
      <c r="F2" s="6">
        <v>0</v>
      </c>
      <c r="G2" s="6" t="str">
        <f t="shared" ref="G2:G65" si="0">E2&amp;F2</f>
        <v>10</v>
      </c>
      <c r="H2" s="5">
        <v>42.28</v>
      </c>
      <c r="I2" s="5">
        <v>189.65</v>
      </c>
      <c r="J2" s="5">
        <v>11902.915740054361</v>
      </c>
      <c r="K2" s="5">
        <v>42.28</v>
      </c>
      <c r="L2" s="5">
        <v>189.65</v>
      </c>
      <c r="M2" s="5">
        <v>11902.915740054361</v>
      </c>
      <c r="N2" s="5">
        <v>0</v>
      </c>
      <c r="O2" s="5">
        <v>0</v>
      </c>
      <c r="P2" s="5">
        <v>0</v>
      </c>
      <c r="Q2" s="5">
        <v>0</v>
      </c>
    </row>
    <row r="3" spans="1:17" x14ac:dyDescent="0.2">
      <c r="A3" s="4" t="s">
        <v>68</v>
      </c>
      <c r="B3" s="12">
        <v>2014</v>
      </c>
      <c r="C3" s="12" t="s">
        <v>67</v>
      </c>
      <c r="D3" s="12">
        <v>2</v>
      </c>
      <c r="E3" s="12">
        <v>1</v>
      </c>
      <c r="F3" s="6">
        <v>0</v>
      </c>
      <c r="G3" s="6" t="str">
        <f t="shared" si="0"/>
        <v>10</v>
      </c>
      <c r="H3" s="5">
        <v>25.27</v>
      </c>
      <c r="I3" s="5">
        <v>161.52000000000001</v>
      </c>
      <c r="J3" s="5">
        <v>10137.405485544848</v>
      </c>
      <c r="K3" s="5">
        <v>25.27</v>
      </c>
      <c r="L3" s="5">
        <v>161.52000000000001</v>
      </c>
      <c r="M3" s="5">
        <v>10137.405485544848</v>
      </c>
      <c r="N3" s="5">
        <v>0</v>
      </c>
      <c r="O3" s="5">
        <v>0</v>
      </c>
      <c r="P3" s="5">
        <v>0</v>
      </c>
      <c r="Q3" s="5">
        <v>0</v>
      </c>
    </row>
    <row r="4" spans="1:17" x14ac:dyDescent="0.2">
      <c r="A4" s="4" t="s">
        <v>68</v>
      </c>
      <c r="B4" s="12">
        <v>2014</v>
      </c>
      <c r="C4" s="12" t="s">
        <v>67</v>
      </c>
      <c r="D4" s="12">
        <v>3</v>
      </c>
      <c r="E4" s="12">
        <v>1</v>
      </c>
      <c r="F4" s="6">
        <v>0</v>
      </c>
      <c r="G4" s="6" t="str">
        <f t="shared" si="0"/>
        <v>10</v>
      </c>
      <c r="H4" s="5">
        <v>41.93</v>
      </c>
      <c r="I4" s="5">
        <v>198.56</v>
      </c>
      <c r="J4" s="5">
        <v>12462.129972819372</v>
      </c>
      <c r="K4" s="5">
        <v>41.93</v>
      </c>
      <c r="L4" s="5">
        <v>198.56</v>
      </c>
      <c r="M4" s="5">
        <v>12462.129972819372</v>
      </c>
      <c r="N4" s="5">
        <v>0</v>
      </c>
      <c r="O4" s="5">
        <v>0</v>
      </c>
      <c r="P4" s="5">
        <v>0</v>
      </c>
      <c r="Q4" s="5">
        <v>0</v>
      </c>
    </row>
    <row r="5" spans="1:17" x14ac:dyDescent="0.2">
      <c r="A5" s="4" t="s">
        <v>68</v>
      </c>
      <c r="B5" s="12">
        <v>2014</v>
      </c>
      <c r="C5" s="12" t="s">
        <v>67</v>
      </c>
      <c r="D5" s="12">
        <v>4</v>
      </c>
      <c r="E5" s="12">
        <v>1</v>
      </c>
      <c r="F5" s="6">
        <v>0</v>
      </c>
      <c r="G5" s="6" t="str">
        <f t="shared" si="0"/>
        <v>10</v>
      </c>
      <c r="H5" s="5">
        <v>31.41</v>
      </c>
      <c r="I5" s="5">
        <v>189.65</v>
      </c>
      <c r="J5" s="5">
        <v>11902.915740054361</v>
      </c>
      <c r="K5" s="5">
        <v>31.41</v>
      </c>
      <c r="L5" s="5">
        <v>189.65</v>
      </c>
      <c r="M5" s="5">
        <v>11902.915740054361</v>
      </c>
      <c r="N5" s="5">
        <v>0</v>
      </c>
      <c r="O5" s="5">
        <v>0</v>
      </c>
      <c r="P5" s="5">
        <v>0</v>
      </c>
      <c r="Q5" s="5">
        <v>0</v>
      </c>
    </row>
    <row r="6" spans="1:17" x14ac:dyDescent="0.2">
      <c r="A6" s="4" t="s">
        <v>68</v>
      </c>
      <c r="B6" s="12">
        <v>2014</v>
      </c>
      <c r="C6" s="12" t="s">
        <v>67</v>
      </c>
      <c r="D6" s="4">
        <v>1</v>
      </c>
      <c r="E6" s="4">
        <v>2</v>
      </c>
      <c r="F6" s="4">
        <v>1</v>
      </c>
      <c r="G6" s="6" t="str">
        <f t="shared" si="0"/>
        <v>21</v>
      </c>
      <c r="H6" s="5">
        <v>36.67</v>
      </c>
      <c r="I6" s="5">
        <v>202.68</v>
      </c>
      <c r="J6" s="5">
        <v>12720.711638250556</v>
      </c>
      <c r="K6" s="5">
        <v>42.28</v>
      </c>
      <c r="L6" s="5">
        <v>189.65</v>
      </c>
      <c r="M6" s="5">
        <v>11902.915740054361</v>
      </c>
      <c r="N6" s="5">
        <v>13.268684957426677</v>
      </c>
      <c r="O6" s="5">
        <v>13.030000000000001</v>
      </c>
      <c r="P6" s="5">
        <v>817.79589819619468</v>
      </c>
      <c r="Q6" s="5">
        <v>6.870551015027683</v>
      </c>
    </row>
    <row r="7" spans="1:17" x14ac:dyDescent="0.2">
      <c r="A7" s="4" t="s">
        <v>68</v>
      </c>
      <c r="B7" s="12">
        <v>2014</v>
      </c>
      <c r="C7" s="12" t="s">
        <v>67</v>
      </c>
      <c r="D7" s="4">
        <v>2</v>
      </c>
      <c r="E7" s="4">
        <v>2</v>
      </c>
      <c r="F7" s="4">
        <v>1</v>
      </c>
      <c r="G7" s="6" t="str">
        <f t="shared" si="0"/>
        <v>21</v>
      </c>
      <c r="H7" s="5">
        <v>27.02</v>
      </c>
      <c r="I7" s="5">
        <v>195.75</v>
      </c>
      <c r="J7" s="5">
        <v>12285.76723498888</v>
      </c>
      <c r="K7" s="5">
        <v>25.27</v>
      </c>
      <c r="L7" s="5">
        <v>161.52000000000001</v>
      </c>
      <c r="M7" s="5">
        <v>10137.405485544848</v>
      </c>
      <c r="N7" s="5">
        <v>-6.9252077562326875</v>
      </c>
      <c r="O7" s="5">
        <v>34.22999999999999</v>
      </c>
      <c r="P7" s="5">
        <v>2148.3617494440314</v>
      </c>
      <c r="Q7" s="5">
        <v>21.192421991084682</v>
      </c>
    </row>
    <row r="8" spans="1:17" x14ac:dyDescent="0.2">
      <c r="A8" s="4" t="s">
        <v>68</v>
      </c>
      <c r="B8" s="12">
        <v>2014</v>
      </c>
      <c r="C8" s="12" t="s">
        <v>67</v>
      </c>
      <c r="D8" s="4">
        <v>3</v>
      </c>
      <c r="E8" s="4">
        <v>2</v>
      </c>
      <c r="F8" s="4">
        <v>1</v>
      </c>
      <c r="G8" s="6" t="str">
        <f t="shared" si="0"/>
        <v>21</v>
      </c>
      <c r="H8" s="5">
        <v>53.16</v>
      </c>
      <c r="I8" s="5">
        <v>172.46</v>
      </c>
      <c r="J8" s="5">
        <v>10824.027674820856</v>
      </c>
      <c r="K8" s="5">
        <v>41.93</v>
      </c>
      <c r="L8" s="5">
        <v>198.56</v>
      </c>
      <c r="M8" s="5">
        <v>12462.129972819372</v>
      </c>
      <c r="N8" s="5">
        <v>-26.782733126639631</v>
      </c>
      <c r="O8" s="5">
        <v>-26.099999999999994</v>
      </c>
      <c r="P8" s="5">
        <v>-1638.1022979985155</v>
      </c>
      <c r="Q8" s="5">
        <v>-13.144641418211107</v>
      </c>
    </row>
    <row r="9" spans="1:17" x14ac:dyDescent="0.2">
      <c r="A9" s="4" t="s">
        <v>68</v>
      </c>
      <c r="B9" s="12">
        <v>2014</v>
      </c>
      <c r="C9" s="12" t="s">
        <v>67</v>
      </c>
      <c r="D9" s="4">
        <v>4</v>
      </c>
      <c r="E9" s="4">
        <v>2</v>
      </c>
      <c r="F9" s="4">
        <v>1</v>
      </c>
      <c r="G9" s="6" t="str">
        <f t="shared" si="0"/>
        <v>21</v>
      </c>
      <c r="H9" s="5">
        <v>34.39</v>
      </c>
      <c r="I9" s="5">
        <v>192.26</v>
      </c>
      <c r="J9" s="5">
        <v>12066.725969854213</v>
      </c>
      <c r="K9" s="5">
        <v>31.41</v>
      </c>
      <c r="L9" s="5">
        <v>189.65</v>
      </c>
      <c r="M9" s="5">
        <v>11902.915740054361</v>
      </c>
      <c r="N9" s="5">
        <v>-9.487424387137855</v>
      </c>
      <c r="O9" s="5">
        <v>2.6099999999999852</v>
      </c>
      <c r="P9" s="5">
        <v>163.8102297998521</v>
      </c>
      <c r="Q9" s="5">
        <v>1.3762193514368604</v>
      </c>
    </row>
    <row r="10" spans="1:17" x14ac:dyDescent="0.2">
      <c r="A10" s="4" t="s">
        <v>68</v>
      </c>
      <c r="B10" s="12">
        <v>2014</v>
      </c>
      <c r="C10" s="12" t="s">
        <v>67</v>
      </c>
      <c r="D10" s="4">
        <v>1</v>
      </c>
      <c r="E10" s="4">
        <v>3</v>
      </c>
      <c r="F10" s="4">
        <v>1</v>
      </c>
      <c r="G10" s="6" t="str">
        <f t="shared" si="0"/>
        <v>31</v>
      </c>
      <c r="H10" s="5">
        <v>17.009999999999998</v>
      </c>
      <c r="I10" s="5">
        <v>153.18</v>
      </c>
      <c r="J10" s="5">
        <v>9613.9659006671609</v>
      </c>
      <c r="K10" s="5">
        <v>42.28</v>
      </c>
      <c r="L10" s="5">
        <v>189.65</v>
      </c>
      <c r="M10" s="5">
        <v>11902.915740054361</v>
      </c>
      <c r="N10" s="5">
        <v>59.768211920529815</v>
      </c>
      <c r="O10" s="5">
        <v>-36.47</v>
      </c>
      <c r="P10" s="5">
        <v>-2288.9498393872</v>
      </c>
      <c r="Q10" s="5">
        <v>-19.230160822567886</v>
      </c>
    </row>
    <row r="11" spans="1:17" x14ac:dyDescent="0.2">
      <c r="A11" s="4" t="s">
        <v>68</v>
      </c>
      <c r="B11" s="12">
        <v>2014</v>
      </c>
      <c r="C11" s="12" t="s">
        <v>67</v>
      </c>
      <c r="D11" s="4">
        <v>2</v>
      </c>
      <c r="E11" s="4">
        <v>3</v>
      </c>
      <c r="F11" s="4">
        <v>1</v>
      </c>
      <c r="G11" s="6" t="str">
        <f t="shared" si="0"/>
        <v>31</v>
      </c>
      <c r="H11" s="5">
        <v>13.51</v>
      </c>
      <c r="I11" s="5">
        <v>167.77</v>
      </c>
      <c r="J11" s="5">
        <v>10529.671361502347</v>
      </c>
      <c r="K11" s="5">
        <v>25.27</v>
      </c>
      <c r="L11" s="5">
        <v>161.52000000000001</v>
      </c>
      <c r="M11" s="5">
        <v>10137.405485544848</v>
      </c>
      <c r="N11" s="5">
        <v>46.53739612188366</v>
      </c>
      <c r="O11" s="5">
        <v>6.25</v>
      </c>
      <c r="P11" s="5">
        <v>392.26587595749879</v>
      </c>
      <c r="Q11" s="5">
        <v>3.8694898464586367</v>
      </c>
    </row>
    <row r="12" spans="1:17" x14ac:dyDescent="0.2">
      <c r="A12" s="4" t="s">
        <v>68</v>
      </c>
      <c r="B12" s="12">
        <v>2014</v>
      </c>
      <c r="C12" s="12" t="s">
        <v>67</v>
      </c>
      <c r="D12" s="4">
        <v>3</v>
      </c>
      <c r="E12" s="4">
        <v>3</v>
      </c>
      <c r="F12" s="4">
        <v>1</v>
      </c>
      <c r="G12" s="6" t="str">
        <f t="shared" si="0"/>
        <v>31</v>
      </c>
      <c r="H12" s="5">
        <v>26.14</v>
      </c>
      <c r="I12" s="5">
        <v>192.26</v>
      </c>
      <c r="J12" s="5">
        <v>12066.725969854213</v>
      </c>
      <c r="K12" s="5">
        <v>41.93</v>
      </c>
      <c r="L12" s="5">
        <v>198.56</v>
      </c>
      <c r="M12" s="5">
        <v>12462.129972819372</v>
      </c>
      <c r="N12" s="5">
        <v>37.658001430956354</v>
      </c>
      <c r="O12" s="5">
        <v>-6.3000000000000114</v>
      </c>
      <c r="P12" s="5">
        <v>-395.40400296515872</v>
      </c>
      <c r="Q12" s="5">
        <v>-3.1728444802578513</v>
      </c>
    </row>
    <row r="13" spans="1:17" x14ac:dyDescent="0.2">
      <c r="A13" s="4" t="s">
        <v>68</v>
      </c>
      <c r="B13" s="12">
        <v>2014</v>
      </c>
      <c r="C13" s="12" t="s">
        <v>67</v>
      </c>
      <c r="D13" s="4">
        <v>4</v>
      </c>
      <c r="E13" s="4">
        <v>3</v>
      </c>
      <c r="F13" s="4">
        <v>1</v>
      </c>
      <c r="G13" s="6" t="str">
        <f t="shared" si="0"/>
        <v>31</v>
      </c>
      <c r="H13" s="5">
        <v>37.019999999999996</v>
      </c>
      <c r="I13" s="5">
        <v>182.88</v>
      </c>
      <c r="J13" s="5">
        <v>11478.013343217197</v>
      </c>
      <c r="K13" s="5">
        <v>31.41</v>
      </c>
      <c r="L13" s="5">
        <v>189.65</v>
      </c>
      <c r="M13" s="5">
        <v>11902.915740054361</v>
      </c>
      <c r="N13" s="5">
        <v>-17.860553963705815</v>
      </c>
      <c r="O13" s="5">
        <v>-6.7700000000000102</v>
      </c>
      <c r="P13" s="5">
        <v>-424.90239683716391</v>
      </c>
      <c r="Q13" s="5">
        <v>-3.5697337200105506</v>
      </c>
    </row>
    <row r="14" spans="1:17" x14ac:dyDescent="0.2">
      <c r="A14" s="4" t="s">
        <v>68</v>
      </c>
      <c r="B14" s="12">
        <v>2014</v>
      </c>
      <c r="C14" s="12" t="s">
        <v>67</v>
      </c>
      <c r="D14" s="4">
        <v>1</v>
      </c>
      <c r="E14" s="4">
        <v>4</v>
      </c>
      <c r="F14" s="4">
        <v>1</v>
      </c>
      <c r="G14" s="6" t="str">
        <f t="shared" si="0"/>
        <v>41</v>
      </c>
      <c r="H14" s="5">
        <v>27.54</v>
      </c>
      <c r="I14" s="5">
        <v>156.31</v>
      </c>
      <c r="J14" s="5">
        <v>9810.4126513466763</v>
      </c>
      <c r="K14" s="5">
        <v>42.28</v>
      </c>
      <c r="L14" s="5">
        <v>189.65</v>
      </c>
      <c r="M14" s="5">
        <v>11902.915740054361</v>
      </c>
      <c r="N14" s="5">
        <v>34.862819299905397</v>
      </c>
      <c r="O14" s="5">
        <v>-33.340000000000003</v>
      </c>
      <c r="P14" s="5">
        <v>-2092.5030887076846</v>
      </c>
      <c r="Q14" s="5">
        <v>-17.579752175059319</v>
      </c>
    </row>
    <row r="15" spans="1:17" x14ac:dyDescent="0.2">
      <c r="A15" s="4" t="s">
        <v>68</v>
      </c>
      <c r="B15" s="12">
        <v>2014</v>
      </c>
      <c r="C15" s="12" t="s">
        <v>67</v>
      </c>
      <c r="D15" s="4">
        <v>2</v>
      </c>
      <c r="E15" s="4">
        <v>4</v>
      </c>
      <c r="F15" s="4">
        <v>1</v>
      </c>
      <c r="G15" s="6" t="str">
        <f t="shared" si="0"/>
        <v>41</v>
      </c>
      <c r="H15" s="5">
        <v>38.42</v>
      </c>
      <c r="I15" s="5">
        <v>187.57</v>
      </c>
      <c r="J15" s="5">
        <v>11772.369656535704</v>
      </c>
      <c r="K15" s="5">
        <v>25.27</v>
      </c>
      <c r="L15" s="5">
        <v>161.52000000000001</v>
      </c>
      <c r="M15" s="5">
        <v>10137.405485544848</v>
      </c>
      <c r="N15" s="5">
        <v>-52.037989711119913</v>
      </c>
      <c r="O15" s="5">
        <v>26.049999999999983</v>
      </c>
      <c r="P15" s="5">
        <v>1634.9641709908556</v>
      </c>
      <c r="Q15" s="5">
        <v>16.128033680039604</v>
      </c>
    </row>
    <row r="16" spans="1:17" x14ac:dyDescent="0.2">
      <c r="A16" s="4" t="s">
        <v>68</v>
      </c>
      <c r="B16" s="12">
        <v>2014</v>
      </c>
      <c r="C16" s="12" t="s">
        <v>67</v>
      </c>
      <c r="D16" s="4">
        <v>3</v>
      </c>
      <c r="E16" s="4">
        <v>4</v>
      </c>
      <c r="F16" s="4">
        <v>1</v>
      </c>
      <c r="G16" s="6" t="str">
        <f t="shared" si="0"/>
        <v>41</v>
      </c>
      <c r="H16" s="5">
        <v>54.03</v>
      </c>
      <c r="I16" s="5">
        <v>206.33</v>
      </c>
      <c r="J16" s="5">
        <v>12949.794909809736</v>
      </c>
      <c r="K16" s="5">
        <v>41.93</v>
      </c>
      <c r="L16" s="5">
        <v>198.56</v>
      </c>
      <c r="M16" s="5">
        <v>12462.129972819372</v>
      </c>
      <c r="N16" s="5">
        <v>-28.857619842594808</v>
      </c>
      <c r="O16" s="5">
        <v>7.7700000000000102</v>
      </c>
      <c r="P16" s="5">
        <v>487.66493699036437</v>
      </c>
      <c r="Q16" s="5">
        <v>3.9131748589846991</v>
      </c>
    </row>
    <row r="17" spans="1:17" x14ac:dyDescent="0.2">
      <c r="A17" s="4" t="s">
        <v>68</v>
      </c>
      <c r="B17" s="12">
        <v>2014</v>
      </c>
      <c r="C17" s="12" t="s">
        <v>67</v>
      </c>
      <c r="D17" s="4">
        <v>4</v>
      </c>
      <c r="E17" s="4">
        <v>4</v>
      </c>
      <c r="F17" s="4">
        <v>1</v>
      </c>
      <c r="G17" s="6" t="str">
        <f t="shared" si="0"/>
        <v>41</v>
      </c>
      <c r="H17" s="5">
        <v>27.549999999999997</v>
      </c>
      <c r="I17" s="5">
        <v>164.64</v>
      </c>
      <c r="J17" s="5">
        <v>10333.22461082283</v>
      </c>
      <c r="K17" s="5">
        <v>31.41</v>
      </c>
      <c r="L17" s="5">
        <v>189.65</v>
      </c>
      <c r="M17" s="5">
        <v>11902.915740054361</v>
      </c>
      <c r="N17" s="5">
        <v>12.289079910856424</v>
      </c>
      <c r="O17" s="5">
        <v>-25.010000000000019</v>
      </c>
      <c r="P17" s="5">
        <v>-1569.6911292315308</v>
      </c>
      <c r="Q17" s="5">
        <v>-13.187450566833652</v>
      </c>
    </row>
    <row r="18" spans="1:17" x14ac:dyDescent="0.2">
      <c r="A18" s="4" t="s">
        <v>68</v>
      </c>
      <c r="B18" s="12">
        <v>2014</v>
      </c>
      <c r="C18" s="12" t="s">
        <v>67</v>
      </c>
      <c r="D18" s="4">
        <v>1</v>
      </c>
      <c r="E18" s="4">
        <v>5</v>
      </c>
      <c r="F18" s="4">
        <v>1</v>
      </c>
      <c r="G18" s="6" t="str">
        <f t="shared" si="0"/>
        <v>51</v>
      </c>
      <c r="H18" s="5">
        <v>31.060000000000002</v>
      </c>
      <c r="I18" s="5">
        <v>180.59</v>
      </c>
      <c r="J18" s="5">
        <v>11334.28712626637</v>
      </c>
      <c r="K18" s="5">
        <v>42.28</v>
      </c>
      <c r="L18" s="5">
        <v>189.65</v>
      </c>
      <c r="M18" s="5">
        <v>11902.915740054361</v>
      </c>
      <c r="N18" s="5">
        <v>26.537369914853354</v>
      </c>
      <c r="O18" s="5">
        <v>-9.0600000000000023</v>
      </c>
      <c r="P18" s="5">
        <v>-568.62861378799062</v>
      </c>
      <c r="Q18" s="5">
        <v>-4.7772211969417304</v>
      </c>
    </row>
    <row r="19" spans="1:17" x14ac:dyDescent="0.2">
      <c r="A19" s="4" t="s">
        <v>68</v>
      </c>
      <c r="B19" s="12">
        <v>2014</v>
      </c>
      <c r="C19" s="12" t="s">
        <v>67</v>
      </c>
      <c r="D19" s="4">
        <v>2</v>
      </c>
      <c r="E19" s="4">
        <v>5</v>
      </c>
      <c r="F19" s="4">
        <v>1</v>
      </c>
      <c r="G19" s="6" t="str">
        <f t="shared" si="0"/>
        <v>51</v>
      </c>
      <c r="H19" s="5">
        <v>17.02</v>
      </c>
      <c r="I19" s="5">
        <v>183.92</v>
      </c>
      <c r="J19" s="5">
        <v>11543.286384976525</v>
      </c>
      <c r="K19" s="5">
        <v>25.27</v>
      </c>
      <c r="L19" s="5">
        <v>161.52000000000001</v>
      </c>
      <c r="M19" s="5">
        <v>10137.405485544848</v>
      </c>
      <c r="N19" s="5">
        <v>32.647407993668381</v>
      </c>
      <c r="O19" s="5">
        <v>22.399999999999977</v>
      </c>
      <c r="P19" s="5">
        <v>1405.8808994316769</v>
      </c>
      <c r="Q19" s="5">
        <v>13.868251609707766</v>
      </c>
    </row>
    <row r="20" spans="1:17" x14ac:dyDescent="0.2">
      <c r="A20" s="4" t="s">
        <v>68</v>
      </c>
      <c r="B20" s="12">
        <v>2014</v>
      </c>
      <c r="C20" s="12" t="s">
        <v>67</v>
      </c>
      <c r="D20" s="4">
        <v>3</v>
      </c>
      <c r="E20" s="4">
        <v>5</v>
      </c>
      <c r="F20" s="4">
        <v>1</v>
      </c>
      <c r="G20" s="6" t="str">
        <f t="shared" si="0"/>
        <v>51</v>
      </c>
      <c r="H20" s="5">
        <v>42.629999999999995</v>
      </c>
      <c r="I20" s="5">
        <v>174.54</v>
      </c>
      <c r="J20" s="5">
        <v>10954.573758339509</v>
      </c>
      <c r="K20" s="5">
        <v>41.93</v>
      </c>
      <c r="L20" s="5">
        <v>198.56</v>
      </c>
      <c r="M20" s="5">
        <v>12462.129972819372</v>
      </c>
      <c r="N20" s="5">
        <v>-1.6694490818029948</v>
      </c>
      <c r="O20" s="5">
        <v>-24.02000000000001</v>
      </c>
      <c r="P20" s="5">
        <v>-1507.5562144798623</v>
      </c>
      <c r="Q20" s="5">
        <v>-12.097099113618057</v>
      </c>
    </row>
    <row r="21" spans="1:17" x14ac:dyDescent="0.2">
      <c r="A21" s="4" t="s">
        <v>68</v>
      </c>
      <c r="B21" s="12">
        <v>2014</v>
      </c>
      <c r="C21" s="12" t="s">
        <v>67</v>
      </c>
      <c r="D21" s="4">
        <v>4</v>
      </c>
      <c r="E21" s="4">
        <v>5</v>
      </c>
      <c r="F21" s="4">
        <v>1</v>
      </c>
      <c r="G21" s="6" t="str">
        <f t="shared" si="0"/>
        <v>51</v>
      </c>
      <c r="H21" s="5">
        <v>38.769999999999996</v>
      </c>
      <c r="I21" s="5">
        <v>211.02</v>
      </c>
      <c r="J21" s="5">
        <v>13244.151223128243</v>
      </c>
      <c r="K21" s="5">
        <v>31.41</v>
      </c>
      <c r="L21" s="5">
        <v>189.65</v>
      </c>
      <c r="M21" s="5">
        <v>11902.915740054361</v>
      </c>
      <c r="N21" s="5">
        <v>-23.432028016555222</v>
      </c>
      <c r="O21" s="5">
        <v>21.370000000000005</v>
      </c>
      <c r="P21" s="5">
        <v>1341.2354830738823</v>
      </c>
      <c r="Q21" s="5">
        <v>11.268125494331667</v>
      </c>
    </row>
    <row r="22" spans="1:17" x14ac:dyDescent="0.2">
      <c r="A22" s="4" t="s">
        <v>68</v>
      </c>
      <c r="B22" s="12">
        <v>2014</v>
      </c>
      <c r="C22" s="12" t="s">
        <v>67</v>
      </c>
      <c r="D22" s="4">
        <v>1</v>
      </c>
      <c r="E22" s="4">
        <v>6</v>
      </c>
      <c r="F22" s="4">
        <v>1</v>
      </c>
      <c r="G22" s="6" t="str">
        <f t="shared" si="0"/>
        <v>61</v>
      </c>
      <c r="H22" s="5">
        <v>53.16</v>
      </c>
      <c r="I22" s="5">
        <v>193.82</v>
      </c>
      <c r="J22" s="5">
        <v>12164.635532493205</v>
      </c>
      <c r="K22" s="5">
        <v>42.28</v>
      </c>
      <c r="L22" s="5">
        <v>189.65</v>
      </c>
      <c r="M22" s="5">
        <v>11902.915740054361</v>
      </c>
      <c r="N22" s="5">
        <v>-25.733207190160822</v>
      </c>
      <c r="O22" s="5">
        <v>4.1699999999999875</v>
      </c>
      <c r="P22" s="5">
        <v>261.7197924388438</v>
      </c>
      <c r="Q22" s="5">
        <v>2.1987872396519923</v>
      </c>
    </row>
    <row r="23" spans="1:17" x14ac:dyDescent="0.2">
      <c r="A23" s="4" t="s">
        <v>68</v>
      </c>
      <c r="B23" s="12">
        <v>2014</v>
      </c>
      <c r="C23" s="12" t="s">
        <v>67</v>
      </c>
      <c r="D23" s="4">
        <v>2</v>
      </c>
      <c r="E23" s="4">
        <v>6</v>
      </c>
      <c r="F23" s="4">
        <v>1</v>
      </c>
      <c r="G23" s="6" t="str">
        <f t="shared" si="0"/>
        <v>61</v>
      </c>
      <c r="H23" s="5">
        <v>30.52</v>
      </c>
      <c r="I23" s="5">
        <v>167.25</v>
      </c>
      <c r="J23" s="5">
        <v>10497.034840622684</v>
      </c>
      <c r="K23" s="5">
        <v>25.27</v>
      </c>
      <c r="L23" s="5">
        <v>161.52000000000001</v>
      </c>
      <c r="M23" s="5">
        <v>10137.405485544848</v>
      </c>
      <c r="N23" s="5">
        <v>-20.775623268698062</v>
      </c>
      <c r="O23" s="5">
        <v>5.7299999999999898</v>
      </c>
      <c r="P23" s="5">
        <v>359.6293550778355</v>
      </c>
      <c r="Q23" s="5">
        <v>3.5475482912332845</v>
      </c>
    </row>
    <row r="24" spans="1:17" x14ac:dyDescent="0.2">
      <c r="A24" s="4" t="s">
        <v>68</v>
      </c>
      <c r="B24" s="12">
        <v>2014</v>
      </c>
      <c r="C24" s="12" t="s">
        <v>67</v>
      </c>
      <c r="D24" s="4">
        <v>3</v>
      </c>
      <c r="E24" s="4">
        <v>6</v>
      </c>
      <c r="F24" s="4">
        <v>1</v>
      </c>
      <c r="G24" s="6" t="str">
        <f t="shared" si="0"/>
        <v>61</v>
      </c>
      <c r="H24" s="5">
        <v>34.03</v>
      </c>
      <c r="I24" s="5">
        <v>189.65</v>
      </c>
      <c r="J24" s="5">
        <v>11902.915740054361</v>
      </c>
      <c r="K24" s="5">
        <v>41.93</v>
      </c>
      <c r="L24" s="5">
        <v>198.56</v>
      </c>
      <c r="M24" s="5">
        <v>12462.129972819372</v>
      </c>
      <c r="N24" s="5">
        <v>18.840925351776768</v>
      </c>
      <c r="O24" s="5">
        <v>-8.9099999999999966</v>
      </c>
      <c r="P24" s="5">
        <v>-559.21423276501082</v>
      </c>
      <c r="Q24" s="5">
        <v>-4.4873086220789666</v>
      </c>
    </row>
    <row r="25" spans="1:17" x14ac:dyDescent="0.2">
      <c r="A25" s="4" t="s">
        <v>68</v>
      </c>
      <c r="B25" s="12">
        <v>2014</v>
      </c>
      <c r="C25" s="12" t="s">
        <v>67</v>
      </c>
      <c r="D25" s="4">
        <v>4</v>
      </c>
      <c r="E25" s="4">
        <v>6</v>
      </c>
      <c r="F25" s="4">
        <v>1</v>
      </c>
      <c r="G25" s="6" t="str">
        <f t="shared" si="0"/>
        <v>61</v>
      </c>
      <c r="H25" s="5">
        <v>48.769999999999996</v>
      </c>
      <c r="I25" s="5">
        <v>166.47</v>
      </c>
      <c r="J25" s="5">
        <v>10448.080059303187</v>
      </c>
      <c r="K25" s="5">
        <v>31.41</v>
      </c>
      <c r="L25" s="5">
        <v>189.65</v>
      </c>
      <c r="M25" s="5">
        <v>11902.915740054361</v>
      </c>
      <c r="N25" s="5">
        <v>-55.269022604266148</v>
      </c>
      <c r="O25" s="5">
        <v>-23.180000000000007</v>
      </c>
      <c r="P25" s="5">
        <v>-1454.8356807511736</v>
      </c>
      <c r="Q25" s="5">
        <v>-12.222515159504351</v>
      </c>
    </row>
    <row r="26" spans="1:17" x14ac:dyDescent="0.2">
      <c r="A26" s="4" t="s">
        <v>68</v>
      </c>
      <c r="B26" s="12">
        <v>2014</v>
      </c>
      <c r="C26" s="12" t="s">
        <v>67</v>
      </c>
      <c r="D26" s="4">
        <v>1</v>
      </c>
      <c r="E26" s="4">
        <v>7</v>
      </c>
      <c r="F26" s="4">
        <v>2</v>
      </c>
      <c r="G26" s="6" t="str">
        <f t="shared" si="0"/>
        <v>72</v>
      </c>
      <c r="H26" s="5">
        <v>27.009999999999998</v>
      </c>
      <c r="I26" s="5">
        <v>213.26</v>
      </c>
      <c r="J26" s="5">
        <v>13384.73931307141</v>
      </c>
      <c r="K26" s="5">
        <v>42.28</v>
      </c>
      <c r="L26" s="5">
        <v>189.65</v>
      </c>
      <c r="M26" s="5">
        <v>11902.915740054361</v>
      </c>
      <c r="N26" s="5">
        <v>36.116367076631981</v>
      </c>
      <c r="O26" s="5">
        <v>23.609999999999985</v>
      </c>
      <c r="P26" s="5">
        <v>1481.8235730170491</v>
      </c>
      <c r="Q26" s="5">
        <v>12.449248615871337</v>
      </c>
    </row>
    <row r="27" spans="1:17" x14ac:dyDescent="0.2">
      <c r="A27" s="4" t="s">
        <v>68</v>
      </c>
      <c r="B27" s="12">
        <v>2014</v>
      </c>
      <c r="C27" s="12" t="s">
        <v>67</v>
      </c>
      <c r="D27" s="4">
        <v>2</v>
      </c>
      <c r="E27" s="4">
        <v>7</v>
      </c>
      <c r="F27" s="4">
        <v>2</v>
      </c>
      <c r="G27" s="6" t="str">
        <f t="shared" si="0"/>
        <v>72</v>
      </c>
      <c r="H27" s="5">
        <v>21.4</v>
      </c>
      <c r="I27" s="5">
        <v>197.47</v>
      </c>
      <c r="J27" s="5">
        <v>12393.718804052383</v>
      </c>
      <c r="K27" s="5">
        <v>25.27</v>
      </c>
      <c r="L27" s="5">
        <v>161.52000000000001</v>
      </c>
      <c r="M27" s="5">
        <v>10137.405485544848</v>
      </c>
      <c r="N27" s="5">
        <v>15.314602295211719</v>
      </c>
      <c r="O27" s="5">
        <v>35.949999999999989</v>
      </c>
      <c r="P27" s="5">
        <v>2256.3133185075349</v>
      </c>
      <c r="Q27" s="5">
        <v>22.257305596830097</v>
      </c>
    </row>
    <row r="28" spans="1:17" x14ac:dyDescent="0.2">
      <c r="A28" s="4" t="s">
        <v>68</v>
      </c>
      <c r="B28" s="12">
        <v>2014</v>
      </c>
      <c r="C28" s="12" t="s">
        <v>67</v>
      </c>
      <c r="D28" s="4">
        <v>3</v>
      </c>
      <c r="E28" s="4">
        <v>7</v>
      </c>
      <c r="F28" s="4">
        <v>2</v>
      </c>
      <c r="G28" s="6" t="str">
        <f t="shared" si="0"/>
        <v>72</v>
      </c>
      <c r="H28" s="5">
        <v>31.4</v>
      </c>
      <c r="I28" s="5">
        <v>215.7</v>
      </c>
      <c r="J28" s="5">
        <v>13537.879911045218</v>
      </c>
      <c r="K28" s="5">
        <v>41.93</v>
      </c>
      <c r="L28" s="5">
        <v>198.56</v>
      </c>
      <c r="M28" s="5">
        <v>12462.129972819372</v>
      </c>
      <c r="N28" s="5">
        <v>25.113284044836636</v>
      </c>
      <c r="O28" s="5">
        <v>17.139999999999986</v>
      </c>
      <c r="P28" s="5">
        <v>1075.7499382258466</v>
      </c>
      <c r="Q28" s="5">
        <v>8.6321514907332819</v>
      </c>
    </row>
    <row r="29" spans="1:17" x14ac:dyDescent="0.2">
      <c r="A29" s="4" t="s">
        <v>68</v>
      </c>
      <c r="B29" s="12">
        <v>2014</v>
      </c>
      <c r="C29" s="12" t="s">
        <v>67</v>
      </c>
      <c r="D29" s="4">
        <v>4</v>
      </c>
      <c r="E29" s="4">
        <v>7</v>
      </c>
      <c r="F29" s="4">
        <v>2</v>
      </c>
      <c r="G29" s="6" t="str">
        <f t="shared" si="0"/>
        <v>72</v>
      </c>
      <c r="H29" s="5">
        <v>10.88</v>
      </c>
      <c r="I29" s="5">
        <v>189.65</v>
      </c>
      <c r="J29" s="5">
        <v>11902.915740054361</v>
      </c>
      <c r="K29" s="5">
        <v>31.41</v>
      </c>
      <c r="L29" s="5">
        <v>189.65</v>
      </c>
      <c r="M29" s="5">
        <v>11902.915740054361</v>
      </c>
      <c r="N29" s="5">
        <v>65.361349888570516</v>
      </c>
      <c r="O29" s="5">
        <v>0</v>
      </c>
      <c r="P29" s="5">
        <v>0</v>
      </c>
      <c r="Q29" s="5">
        <v>0</v>
      </c>
    </row>
    <row r="30" spans="1:17" x14ac:dyDescent="0.2">
      <c r="A30" s="4" t="s">
        <v>68</v>
      </c>
      <c r="B30" s="12">
        <v>2014</v>
      </c>
      <c r="C30" s="12" t="s">
        <v>67</v>
      </c>
      <c r="D30" s="4">
        <v>1</v>
      </c>
      <c r="E30" s="4">
        <v>8</v>
      </c>
      <c r="F30" s="4">
        <v>2</v>
      </c>
      <c r="G30" s="6" t="str">
        <f t="shared" si="0"/>
        <v>82</v>
      </c>
      <c r="H30" s="5">
        <v>19.649999999999999</v>
      </c>
      <c r="I30" s="5">
        <v>202.16</v>
      </c>
      <c r="J30" s="5">
        <v>12688.075117370892</v>
      </c>
      <c r="K30" s="5">
        <v>42.28</v>
      </c>
      <c r="L30" s="5">
        <v>189.65</v>
      </c>
      <c r="M30" s="5">
        <v>11902.915740054361</v>
      </c>
      <c r="N30" s="5">
        <v>53.524124881740775</v>
      </c>
      <c r="O30" s="5">
        <v>12.509999999999991</v>
      </c>
      <c r="P30" s="5">
        <v>785.15937731653139</v>
      </c>
      <c r="Q30" s="5">
        <v>6.5963617189559773</v>
      </c>
    </row>
    <row r="31" spans="1:17" x14ac:dyDescent="0.2">
      <c r="A31" s="4" t="s">
        <v>68</v>
      </c>
      <c r="B31" s="12">
        <v>2014</v>
      </c>
      <c r="C31" s="12" t="s">
        <v>67</v>
      </c>
      <c r="D31" s="4">
        <v>2</v>
      </c>
      <c r="E31" s="4">
        <v>8</v>
      </c>
      <c r="F31" s="4">
        <v>2</v>
      </c>
      <c r="G31" s="6" t="str">
        <f t="shared" si="0"/>
        <v>82</v>
      </c>
      <c r="H31" s="5">
        <v>19.64</v>
      </c>
      <c r="I31" s="5">
        <v>193.93</v>
      </c>
      <c r="J31" s="5">
        <v>12171.539411910057</v>
      </c>
      <c r="K31" s="5">
        <v>25.27</v>
      </c>
      <c r="L31" s="5">
        <v>161.52000000000001</v>
      </c>
      <c r="M31" s="5">
        <v>10137.405485544848</v>
      </c>
      <c r="N31" s="5">
        <v>22.279382667194298</v>
      </c>
      <c r="O31" s="5">
        <v>32.409999999999997</v>
      </c>
      <c r="P31" s="5">
        <v>2034.133926365208</v>
      </c>
      <c r="Q31" s="5">
        <v>20.065626547795929</v>
      </c>
    </row>
    <row r="32" spans="1:17" x14ac:dyDescent="0.2">
      <c r="A32" s="4" t="s">
        <v>68</v>
      </c>
      <c r="B32" s="12">
        <v>2014</v>
      </c>
      <c r="C32" s="12" t="s">
        <v>67</v>
      </c>
      <c r="D32" s="4">
        <v>3</v>
      </c>
      <c r="E32" s="4">
        <v>8</v>
      </c>
      <c r="F32" s="4">
        <v>2</v>
      </c>
      <c r="G32" s="6" t="str">
        <f t="shared" si="0"/>
        <v>82</v>
      </c>
      <c r="H32" s="5">
        <v>22.630000000000003</v>
      </c>
      <c r="I32" s="5">
        <v>201.59</v>
      </c>
      <c r="J32" s="5">
        <v>12652.300469483567</v>
      </c>
      <c r="K32" s="5">
        <v>41.93</v>
      </c>
      <c r="L32" s="5">
        <v>198.56</v>
      </c>
      <c r="M32" s="5">
        <v>12462.129972819372</v>
      </c>
      <c r="N32" s="5">
        <v>46.02909611256856</v>
      </c>
      <c r="O32" s="5">
        <v>3.0300000000000011</v>
      </c>
      <c r="P32" s="5">
        <v>190.17049666419553</v>
      </c>
      <c r="Q32" s="5">
        <v>1.5259871071716344</v>
      </c>
    </row>
    <row r="33" spans="1:17" x14ac:dyDescent="0.2">
      <c r="A33" s="4" t="s">
        <v>68</v>
      </c>
      <c r="B33" s="12">
        <v>2014</v>
      </c>
      <c r="C33" s="12" t="s">
        <v>67</v>
      </c>
      <c r="D33" s="4">
        <v>4</v>
      </c>
      <c r="E33" s="4">
        <v>8</v>
      </c>
      <c r="F33" s="4">
        <v>2</v>
      </c>
      <c r="G33" s="6" t="str">
        <f t="shared" si="0"/>
        <v>82</v>
      </c>
      <c r="H33" s="5">
        <v>20.880000000000003</v>
      </c>
      <c r="I33" s="5">
        <v>196.43</v>
      </c>
      <c r="J33" s="5">
        <v>12328.445762293057</v>
      </c>
      <c r="K33" s="5">
        <v>31.41</v>
      </c>
      <c r="L33" s="5">
        <v>189.65</v>
      </c>
      <c r="M33" s="5">
        <v>11902.915740054361</v>
      </c>
      <c r="N33" s="5">
        <v>33.52435530085959</v>
      </c>
      <c r="O33" s="5">
        <v>6.7800000000000011</v>
      </c>
      <c r="P33" s="5">
        <v>425.53002223869589</v>
      </c>
      <c r="Q33" s="5">
        <v>3.5750065910888527</v>
      </c>
    </row>
    <row r="34" spans="1:17" x14ac:dyDescent="0.2">
      <c r="A34" s="4" t="s">
        <v>68</v>
      </c>
      <c r="B34" s="12">
        <v>2014</v>
      </c>
      <c r="C34" s="12" t="s">
        <v>67</v>
      </c>
      <c r="D34" s="4">
        <v>1</v>
      </c>
      <c r="E34" s="4">
        <v>9</v>
      </c>
      <c r="F34" s="4">
        <v>2</v>
      </c>
      <c r="G34" s="6" t="str">
        <f t="shared" si="0"/>
        <v>92</v>
      </c>
      <c r="H34" s="5">
        <v>12.629999999999999</v>
      </c>
      <c r="I34" s="5">
        <v>196.95</v>
      </c>
      <c r="J34" s="5">
        <v>12361.08228317272</v>
      </c>
      <c r="K34" s="5">
        <v>42.28</v>
      </c>
      <c r="L34" s="5">
        <v>189.65</v>
      </c>
      <c r="M34" s="5">
        <v>11902.915740054361</v>
      </c>
      <c r="N34" s="5">
        <v>70.127719962157059</v>
      </c>
      <c r="O34" s="5">
        <v>7.2999999999999829</v>
      </c>
      <c r="P34" s="5">
        <v>458.16654311835919</v>
      </c>
      <c r="Q34" s="5">
        <v>3.8491958871605587</v>
      </c>
    </row>
    <row r="35" spans="1:17" x14ac:dyDescent="0.2">
      <c r="A35" s="4" t="s">
        <v>68</v>
      </c>
      <c r="B35" s="12">
        <v>2014</v>
      </c>
      <c r="C35" s="12" t="s">
        <v>67</v>
      </c>
      <c r="D35" s="4">
        <v>2</v>
      </c>
      <c r="E35" s="4">
        <v>9</v>
      </c>
      <c r="F35" s="4">
        <v>2</v>
      </c>
      <c r="G35" s="6" t="str">
        <f t="shared" si="0"/>
        <v>92</v>
      </c>
      <c r="H35" s="5">
        <v>15.26</v>
      </c>
      <c r="I35" s="5">
        <v>203.2</v>
      </c>
      <c r="J35" s="5">
        <v>12753.348159130219</v>
      </c>
      <c r="K35" s="5">
        <v>25.27</v>
      </c>
      <c r="L35" s="5">
        <v>161.52000000000001</v>
      </c>
      <c r="M35" s="5">
        <v>10137.405485544848</v>
      </c>
      <c r="N35" s="5">
        <v>39.612188365650965</v>
      </c>
      <c r="O35" s="5">
        <v>41.679999999999978</v>
      </c>
      <c r="P35" s="5">
        <v>2615.9426735853704</v>
      </c>
      <c r="Q35" s="5">
        <v>25.804853888063384</v>
      </c>
    </row>
    <row r="36" spans="1:17" x14ac:dyDescent="0.2">
      <c r="A36" s="4" t="s">
        <v>68</v>
      </c>
      <c r="B36" s="12">
        <v>2014</v>
      </c>
      <c r="C36" s="12" t="s">
        <v>67</v>
      </c>
      <c r="D36" s="4">
        <v>3</v>
      </c>
      <c r="E36" s="4">
        <v>9</v>
      </c>
      <c r="F36" s="4">
        <v>2</v>
      </c>
      <c r="G36" s="6" t="str">
        <f t="shared" si="0"/>
        <v>92</v>
      </c>
      <c r="H36" s="5">
        <v>17.009999999999998</v>
      </c>
      <c r="I36" s="5">
        <v>215.7</v>
      </c>
      <c r="J36" s="5">
        <v>13537.879911045218</v>
      </c>
      <c r="K36" s="5">
        <v>41.93</v>
      </c>
      <c r="L36" s="5">
        <v>198.56</v>
      </c>
      <c r="M36" s="5">
        <v>12462.129972819372</v>
      </c>
      <c r="N36" s="5">
        <v>59.432387312186982</v>
      </c>
      <c r="O36" s="5">
        <v>17.139999999999986</v>
      </c>
      <c r="P36" s="5">
        <v>1075.7499382258466</v>
      </c>
      <c r="Q36" s="5">
        <v>8.6321514907332819</v>
      </c>
    </row>
    <row r="37" spans="1:17" x14ac:dyDescent="0.2">
      <c r="A37" s="4" t="s">
        <v>68</v>
      </c>
      <c r="B37" s="12">
        <v>2014</v>
      </c>
      <c r="C37" s="12" t="s">
        <v>67</v>
      </c>
      <c r="D37" s="4">
        <v>4</v>
      </c>
      <c r="E37" s="4">
        <v>9</v>
      </c>
      <c r="F37" s="4">
        <v>2</v>
      </c>
      <c r="G37" s="6" t="str">
        <f t="shared" si="0"/>
        <v>92</v>
      </c>
      <c r="H37" s="5">
        <v>26.14</v>
      </c>
      <c r="I37" s="5">
        <v>168.45</v>
      </c>
      <c r="J37" s="5">
        <v>10572.349888806522</v>
      </c>
      <c r="K37" s="5">
        <v>31.41</v>
      </c>
      <c r="L37" s="5">
        <v>189.65</v>
      </c>
      <c r="M37" s="5">
        <v>11902.915740054361</v>
      </c>
      <c r="N37" s="5">
        <v>16.778096147723652</v>
      </c>
      <c r="O37" s="5">
        <v>-21.200000000000017</v>
      </c>
      <c r="P37" s="5">
        <v>-1330.5658512478385</v>
      </c>
      <c r="Q37" s="5">
        <v>-11.178486686000532</v>
      </c>
    </row>
    <row r="38" spans="1:17" x14ac:dyDescent="0.2">
      <c r="A38" s="4" t="s">
        <v>68</v>
      </c>
      <c r="B38" s="12">
        <v>2014</v>
      </c>
      <c r="C38" s="12" t="s">
        <v>67</v>
      </c>
      <c r="D38" s="4">
        <v>1</v>
      </c>
      <c r="E38" s="4">
        <v>10</v>
      </c>
      <c r="F38" s="4">
        <v>2</v>
      </c>
      <c r="G38" s="6" t="str">
        <f t="shared" si="0"/>
        <v>102</v>
      </c>
      <c r="H38" s="5">
        <v>31.4</v>
      </c>
      <c r="I38" s="5">
        <v>188.77</v>
      </c>
      <c r="J38" s="5">
        <v>11847.684704719546</v>
      </c>
      <c r="K38" s="5">
        <v>42.28</v>
      </c>
      <c r="L38" s="5">
        <v>189.65</v>
      </c>
      <c r="M38" s="5">
        <v>11902.915740054361</v>
      </c>
      <c r="N38" s="5">
        <v>25.73320719016084</v>
      </c>
      <c r="O38" s="5">
        <v>-0.87999999999999545</v>
      </c>
      <c r="P38" s="5">
        <v>-55.231035334814806</v>
      </c>
      <c r="Q38" s="5">
        <v>-0.46401265489057869</v>
      </c>
    </row>
    <row r="39" spans="1:17" x14ac:dyDescent="0.2">
      <c r="A39" s="4" t="s">
        <v>68</v>
      </c>
      <c r="B39" s="12">
        <v>2014</v>
      </c>
      <c r="C39" s="12" t="s">
        <v>67</v>
      </c>
      <c r="D39" s="4">
        <v>2</v>
      </c>
      <c r="E39" s="4">
        <v>10</v>
      </c>
      <c r="F39" s="4">
        <v>2</v>
      </c>
      <c r="G39" s="6" t="str">
        <f t="shared" si="0"/>
        <v>102</v>
      </c>
      <c r="H39" s="5">
        <v>28.77</v>
      </c>
      <c r="I39" s="5">
        <v>195.91</v>
      </c>
      <c r="J39" s="5">
        <v>12295.809241413392</v>
      </c>
      <c r="K39" s="5">
        <v>25.27</v>
      </c>
      <c r="L39" s="5">
        <v>161.52000000000001</v>
      </c>
      <c r="M39" s="5">
        <v>10137.405485544848</v>
      </c>
      <c r="N39" s="5">
        <v>-13.850415512465375</v>
      </c>
      <c r="O39" s="5">
        <v>34.389999999999986</v>
      </c>
      <c r="P39" s="5">
        <v>2158.4037558685432</v>
      </c>
      <c r="Q39" s="5">
        <v>21.291480931154023</v>
      </c>
    </row>
    <row r="40" spans="1:17" x14ac:dyDescent="0.2">
      <c r="A40" s="4" t="s">
        <v>68</v>
      </c>
      <c r="B40" s="12">
        <v>2014</v>
      </c>
      <c r="C40" s="12" t="s">
        <v>67</v>
      </c>
      <c r="D40" s="4">
        <v>3</v>
      </c>
      <c r="E40" s="4">
        <v>10</v>
      </c>
      <c r="F40" s="4">
        <v>2</v>
      </c>
      <c r="G40" s="6" t="str">
        <f t="shared" si="0"/>
        <v>102</v>
      </c>
      <c r="H40" s="5">
        <v>17.009999999999998</v>
      </c>
      <c r="I40" s="5">
        <v>200.02</v>
      </c>
      <c r="J40" s="5">
        <v>12553.763281443045</v>
      </c>
      <c r="K40" s="5">
        <v>41.93</v>
      </c>
      <c r="L40" s="5">
        <v>198.56</v>
      </c>
      <c r="M40" s="5">
        <v>12462.129972819372</v>
      </c>
      <c r="N40" s="5">
        <v>59.432387312186982</v>
      </c>
      <c r="O40" s="5">
        <v>1.460000000000008</v>
      </c>
      <c r="P40" s="5">
        <v>91.633308623673656</v>
      </c>
      <c r="Q40" s="5">
        <v>0.73529411764707331</v>
      </c>
    </row>
    <row r="41" spans="1:17" x14ac:dyDescent="0.2">
      <c r="A41" s="4" t="s">
        <v>68</v>
      </c>
      <c r="B41" s="12">
        <v>2014</v>
      </c>
      <c r="C41" s="12" t="s">
        <v>67</v>
      </c>
      <c r="D41" s="4">
        <v>4</v>
      </c>
      <c r="E41" s="4">
        <v>10</v>
      </c>
      <c r="F41" s="4">
        <v>2</v>
      </c>
      <c r="G41" s="6" t="str">
        <f t="shared" si="0"/>
        <v>102</v>
      </c>
      <c r="H41" s="5">
        <v>15.27</v>
      </c>
      <c r="I41" s="5">
        <v>197.99</v>
      </c>
      <c r="J41" s="5">
        <v>12426.355324932048</v>
      </c>
      <c r="K41" s="5">
        <v>31.41</v>
      </c>
      <c r="L41" s="5">
        <v>189.65</v>
      </c>
      <c r="M41" s="5">
        <v>11902.915740054361</v>
      </c>
      <c r="N41" s="5">
        <v>51.384909264565422</v>
      </c>
      <c r="O41" s="5">
        <v>8.3400000000000034</v>
      </c>
      <c r="P41" s="5">
        <v>523.43958487768759</v>
      </c>
      <c r="Q41" s="5">
        <v>4.3975744793039846</v>
      </c>
    </row>
    <row r="42" spans="1:17" x14ac:dyDescent="0.2">
      <c r="A42" s="4" t="s">
        <v>68</v>
      </c>
      <c r="B42" s="12">
        <v>2014</v>
      </c>
      <c r="C42" s="12" t="s">
        <v>67</v>
      </c>
      <c r="D42" s="4">
        <v>1</v>
      </c>
      <c r="E42" s="4">
        <v>11</v>
      </c>
      <c r="F42" s="4">
        <v>2</v>
      </c>
      <c r="G42" s="6" t="str">
        <f t="shared" si="0"/>
        <v>112</v>
      </c>
      <c r="H42" s="5">
        <v>15.26</v>
      </c>
      <c r="I42" s="5">
        <v>197.99</v>
      </c>
      <c r="J42" s="5">
        <v>12426.355324932048</v>
      </c>
      <c r="K42" s="5">
        <v>42.28</v>
      </c>
      <c r="L42" s="5">
        <v>189.65</v>
      </c>
      <c r="M42" s="5">
        <v>11902.915740054361</v>
      </c>
      <c r="N42" s="5">
        <v>63.907284768211923</v>
      </c>
      <c r="O42" s="5">
        <v>8.3400000000000034</v>
      </c>
      <c r="P42" s="5">
        <v>523.43958487768759</v>
      </c>
      <c r="Q42" s="5">
        <v>4.3975744793039846</v>
      </c>
    </row>
    <row r="43" spans="1:17" x14ac:dyDescent="0.2">
      <c r="A43" s="4" t="s">
        <v>68</v>
      </c>
      <c r="B43" s="12">
        <v>2014</v>
      </c>
      <c r="C43" s="12" t="s">
        <v>67</v>
      </c>
      <c r="D43" s="4">
        <v>2</v>
      </c>
      <c r="E43" s="4">
        <v>11</v>
      </c>
      <c r="F43" s="4">
        <v>2</v>
      </c>
      <c r="G43" s="6" t="str">
        <f t="shared" si="0"/>
        <v>112</v>
      </c>
      <c r="H43" s="5">
        <v>30.53</v>
      </c>
      <c r="I43" s="5">
        <v>212.58</v>
      </c>
      <c r="J43" s="5">
        <v>13342.060785767235</v>
      </c>
      <c r="K43" s="5">
        <v>25.27</v>
      </c>
      <c r="L43" s="5">
        <v>161.52000000000001</v>
      </c>
      <c r="M43" s="5">
        <v>10137.405485544848</v>
      </c>
      <c r="N43" s="5">
        <v>-20.815195884447967</v>
      </c>
      <c r="O43" s="5">
        <v>51.06</v>
      </c>
      <c r="P43" s="5">
        <v>3204.6553002223864</v>
      </c>
      <c r="Q43" s="5">
        <v>31.612184249628523</v>
      </c>
    </row>
    <row r="44" spans="1:17" x14ac:dyDescent="0.2">
      <c r="A44" s="4" t="s">
        <v>68</v>
      </c>
      <c r="B44" s="12">
        <v>2014</v>
      </c>
      <c r="C44" s="12" t="s">
        <v>67</v>
      </c>
      <c r="D44" s="4">
        <v>3</v>
      </c>
      <c r="E44" s="4">
        <v>11</v>
      </c>
      <c r="F44" s="4">
        <v>2</v>
      </c>
      <c r="G44" s="6" t="str">
        <f t="shared" si="0"/>
        <v>112</v>
      </c>
      <c r="H44" s="5">
        <v>31.75</v>
      </c>
      <c r="I44" s="5">
        <v>197.47</v>
      </c>
      <c r="J44" s="5">
        <v>12393.718804052383</v>
      </c>
      <c r="K44" s="5">
        <v>41.93</v>
      </c>
      <c r="L44" s="5">
        <v>198.56</v>
      </c>
      <c r="M44" s="5">
        <v>12462.129972819372</v>
      </c>
      <c r="N44" s="5">
        <v>24.278559503935128</v>
      </c>
      <c r="O44" s="5">
        <v>-1.0900000000000034</v>
      </c>
      <c r="P44" s="5">
        <v>-68.411168766988339</v>
      </c>
      <c r="Q44" s="5">
        <v>-0.54895245769541057</v>
      </c>
    </row>
    <row r="45" spans="1:17" x14ac:dyDescent="0.2">
      <c r="A45" s="4" t="s">
        <v>68</v>
      </c>
      <c r="B45" s="12">
        <v>2014</v>
      </c>
      <c r="C45" s="12" t="s">
        <v>67</v>
      </c>
      <c r="D45" s="4">
        <v>4</v>
      </c>
      <c r="E45" s="4">
        <v>11</v>
      </c>
      <c r="F45" s="4">
        <v>2</v>
      </c>
      <c r="G45" s="6" t="str">
        <f t="shared" si="0"/>
        <v>112</v>
      </c>
      <c r="H45" s="5">
        <v>16.14</v>
      </c>
      <c r="I45" s="5">
        <v>182.88</v>
      </c>
      <c r="J45" s="5">
        <v>11478.013343217197</v>
      </c>
      <c r="K45" s="5">
        <v>31.41</v>
      </c>
      <c r="L45" s="5">
        <v>189.65</v>
      </c>
      <c r="M45" s="5">
        <v>11902.915740054361</v>
      </c>
      <c r="N45" s="5">
        <v>48.615090735434578</v>
      </c>
      <c r="O45" s="5">
        <v>-6.7700000000000102</v>
      </c>
      <c r="P45" s="5">
        <v>-424.90239683716391</v>
      </c>
      <c r="Q45" s="5">
        <v>-3.5697337200105506</v>
      </c>
    </row>
    <row r="46" spans="1:17" x14ac:dyDescent="0.2">
      <c r="A46" s="4" t="s">
        <v>68</v>
      </c>
      <c r="B46" s="12">
        <v>2014</v>
      </c>
      <c r="C46" s="12" t="s">
        <v>67</v>
      </c>
      <c r="D46" s="4">
        <v>1</v>
      </c>
      <c r="E46" s="4">
        <v>12</v>
      </c>
      <c r="F46" s="4">
        <v>2</v>
      </c>
      <c r="G46" s="6" t="str">
        <f t="shared" si="0"/>
        <v>122</v>
      </c>
      <c r="H46" s="5">
        <v>15.26</v>
      </c>
      <c r="I46" s="5">
        <v>207.37</v>
      </c>
      <c r="J46" s="5">
        <v>13015.067951569064</v>
      </c>
      <c r="K46" s="5">
        <v>42.28</v>
      </c>
      <c r="L46" s="5">
        <v>189.65</v>
      </c>
      <c r="M46" s="5">
        <v>11902.915740054361</v>
      </c>
      <c r="N46" s="5">
        <v>63.907284768211923</v>
      </c>
      <c r="O46" s="5">
        <v>17.72</v>
      </c>
      <c r="P46" s="5">
        <v>1112.1522115147036</v>
      </c>
      <c r="Q46" s="5">
        <v>9.3435275507513964</v>
      </c>
    </row>
    <row r="47" spans="1:17" x14ac:dyDescent="0.2">
      <c r="A47" s="4" t="s">
        <v>68</v>
      </c>
      <c r="B47" s="12">
        <v>2014</v>
      </c>
      <c r="C47" s="12" t="s">
        <v>67</v>
      </c>
      <c r="D47" s="4">
        <v>2</v>
      </c>
      <c r="E47" s="4">
        <v>12</v>
      </c>
      <c r="F47" s="4">
        <v>2</v>
      </c>
      <c r="G47" s="6" t="str">
        <f t="shared" si="0"/>
        <v>122</v>
      </c>
      <c r="H47" s="5">
        <v>26.14</v>
      </c>
      <c r="I47" s="5">
        <v>217.27</v>
      </c>
      <c r="J47" s="5">
        <v>13636.417099085744</v>
      </c>
      <c r="K47" s="5">
        <v>25.27</v>
      </c>
      <c r="L47" s="5">
        <v>161.52000000000001</v>
      </c>
      <c r="M47" s="5">
        <v>10137.405485544848</v>
      </c>
      <c r="N47" s="5">
        <v>-3.4428175702413975</v>
      </c>
      <c r="O47" s="5">
        <v>55.75</v>
      </c>
      <c r="P47" s="5">
        <v>3499.0116135408953</v>
      </c>
      <c r="Q47" s="5">
        <v>34.515849430411102</v>
      </c>
    </row>
    <row r="48" spans="1:17" x14ac:dyDescent="0.2">
      <c r="A48" s="4" t="s">
        <v>68</v>
      </c>
      <c r="B48" s="12">
        <v>2014</v>
      </c>
      <c r="C48" s="12" t="s">
        <v>67</v>
      </c>
      <c r="D48" s="4">
        <v>3</v>
      </c>
      <c r="E48" s="4">
        <v>12</v>
      </c>
      <c r="F48" s="4">
        <v>2</v>
      </c>
      <c r="G48" s="6" t="str">
        <f t="shared" si="0"/>
        <v>122</v>
      </c>
      <c r="H48" s="5">
        <v>11.76</v>
      </c>
      <c r="I48" s="5">
        <v>199.03</v>
      </c>
      <c r="J48" s="5">
        <v>12491.628366691377</v>
      </c>
      <c r="K48" s="5">
        <v>41.93</v>
      </c>
      <c r="L48" s="5">
        <v>198.56</v>
      </c>
      <c r="M48" s="5">
        <v>12462.129972819372</v>
      </c>
      <c r="N48" s="5">
        <v>71.953255425709514</v>
      </c>
      <c r="O48" s="5">
        <v>0.46999999999999886</v>
      </c>
      <c r="P48" s="5">
        <v>29.498393872005181</v>
      </c>
      <c r="Q48" s="5">
        <v>0.23670427074940553</v>
      </c>
    </row>
    <row r="49" spans="1:17" x14ac:dyDescent="0.2">
      <c r="A49" s="4" t="s">
        <v>68</v>
      </c>
      <c r="B49" s="12">
        <v>2014</v>
      </c>
      <c r="C49" s="12" t="s">
        <v>67</v>
      </c>
      <c r="D49" s="4">
        <v>4</v>
      </c>
      <c r="E49" s="4">
        <v>12</v>
      </c>
      <c r="F49" s="4">
        <v>2</v>
      </c>
      <c r="G49" s="6" t="str">
        <f t="shared" si="0"/>
        <v>122</v>
      </c>
      <c r="H49" s="5">
        <v>14.379999999999999</v>
      </c>
      <c r="I49" s="5">
        <v>200.6</v>
      </c>
      <c r="J49" s="5">
        <v>12590.165554731899</v>
      </c>
      <c r="K49" s="5">
        <v>31.41</v>
      </c>
      <c r="L49" s="5">
        <v>189.65</v>
      </c>
      <c r="M49" s="5">
        <v>11902.915740054361</v>
      </c>
      <c r="N49" s="5">
        <v>54.218401782871709</v>
      </c>
      <c r="O49" s="5">
        <v>10.949999999999989</v>
      </c>
      <c r="P49" s="5">
        <v>687.24981467753787</v>
      </c>
      <c r="Q49" s="5">
        <v>5.7737938307408294</v>
      </c>
    </row>
    <row r="50" spans="1:17" x14ac:dyDescent="0.2">
      <c r="A50" s="4" t="s">
        <v>68</v>
      </c>
      <c r="B50" s="12">
        <v>2014</v>
      </c>
      <c r="C50" s="12" t="s">
        <v>67</v>
      </c>
      <c r="D50" s="4">
        <v>1</v>
      </c>
      <c r="E50" s="4">
        <v>13</v>
      </c>
      <c r="F50" s="4">
        <v>2</v>
      </c>
      <c r="G50" s="6" t="str">
        <f t="shared" si="0"/>
        <v>132</v>
      </c>
      <c r="H50" s="5">
        <v>27.9</v>
      </c>
      <c r="I50" s="5">
        <v>196.95</v>
      </c>
      <c r="J50" s="5">
        <v>12361.08228317272</v>
      </c>
      <c r="K50" s="5">
        <v>42.28</v>
      </c>
      <c r="L50" s="5">
        <v>189.65</v>
      </c>
      <c r="M50" s="5">
        <v>11902.915740054361</v>
      </c>
      <c r="N50" s="5">
        <v>34.011352885525078</v>
      </c>
      <c r="O50" s="5">
        <v>7.2999999999999829</v>
      </c>
      <c r="P50" s="5">
        <v>458.16654311835919</v>
      </c>
      <c r="Q50" s="5">
        <v>3.8491958871605587</v>
      </c>
    </row>
    <row r="51" spans="1:17" x14ac:dyDescent="0.2">
      <c r="A51" s="4" t="s">
        <v>68</v>
      </c>
      <c r="B51" s="12">
        <v>2014</v>
      </c>
      <c r="C51" s="12" t="s">
        <v>67</v>
      </c>
      <c r="D51" s="4">
        <v>2</v>
      </c>
      <c r="E51" s="4">
        <v>13</v>
      </c>
      <c r="F51" s="4">
        <v>2</v>
      </c>
      <c r="G51" s="6" t="str">
        <f t="shared" si="0"/>
        <v>132</v>
      </c>
      <c r="H51" s="5">
        <v>36.14</v>
      </c>
      <c r="I51" s="5">
        <v>188.87</v>
      </c>
      <c r="J51" s="5">
        <v>11853.960958734866</v>
      </c>
      <c r="K51" s="5">
        <v>25.27</v>
      </c>
      <c r="L51" s="5">
        <v>161.52000000000001</v>
      </c>
      <c r="M51" s="5">
        <v>10137.405485544848</v>
      </c>
      <c r="N51" s="5">
        <v>-43.015433320142463</v>
      </c>
      <c r="O51" s="5">
        <v>27.349999999999994</v>
      </c>
      <c r="P51" s="5">
        <v>1716.5554731900174</v>
      </c>
      <c r="Q51" s="5">
        <v>16.932887568103023</v>
      </c>
    </row>
    <row r="52" spans="1:17" x14ac:dyDescent="0.2">
      <c r="A52" s="4" t="s">
        <v>68</v>
      </c>
      <c r="B52" s="12">
        <v>2014</v>
      </c>
      <c r="C52" s="12" t="s">
        <v>67</v>
      </c>
      <c r="D52" s="4">
        <v>3</v>
      </c>
      <c r="E52" s="4">
        <v>13</v>
      </c>
      <c r="F52" s="4">
        <v>2</v>
      </c>
      <c r="G52" s="6" t="str">
        <f t="shared" si="0"/>
        <v>132</v>
      </c>
      <c r="H52" s="5">
        <v>13.5</v>
      </c>
      <c r="I52" s="5">
        <v>184.44</v>
      </c>
      <c r="J52" s="5">
        <v>11575.922905856189</v>
      </c>
      <c r="K52" s="5">
        <v>41.93</v>
      </c>
      <c r="L52" s="5">
        <v>198.56</v>
      </c>
      <c r="M52" s="5">
        <v>12462.129972819372</v>
      </c>
      <c r="N52" s="5">
        <v>67.803481993799181</v>
      </c>
      <c r="O52" s="5">
        <v>-14.120000000000005</v>
      </c>
      <c r="P52" s="5">
        <v>-886.20706696318302</v>
      </c>
      <c r="Q52" s="5">
        <v>-7.1112006446414213</v>
      </c>
    </row>
    <row r="53" spans="1:17" x14ac:dyDescent="0.2">
      <c r="A53" s="4" t="s">
        <v>68</v>
      </c>
      <c r="B53" s="12">
        <v>2014</v>
      </c>
      <c r="C53" s="12" t="s">
        <v>67</v>
      </c>
      <c r="D53" s="4">
        <v>4</v>
      </c>
      <c r="E53" s="4">
        <v>13</v>
      </c>
      <c r="F53" s="4">
        <v>2</v>
      </c>
      <c r="G53" s="6" t="str">
        <f t="shared" si="0"/>
        <v>132</v>
      </c>
      <c r="H53" s="5">
        <v>25.259999999999998</v>
      </c>
      <c r="I53" s="5">
        <v>198.09</v>
      </c>
      <c r="J53" s="5">
        <v>12432.631578947368</v>
      </c>
      <c r="K53" s="5">
        <v>31.41</v>
      </c>
      <c r="L53" s="5">
        <v>189.65</v>
      </c>
      <c r="M53" s="5">
        <v>11902.915740054361</v>
      </c>
      <c r="N53" s="5">
        <v>19.579751671442221</v>
      </c>
      <c r="O53" s="5">
        <v>8.4399999999999977</v>
      </c>
      <c r="P53" s="5">
        <v>529.71583889300746</v>
      </c>
      <c r="Q53" s="5">
        <v>4.4503031900870047</v>
      </c>
    </row>
    <row r="54" spans="1:17" x14ac:dyDescent="0.2">
      <c r="A54" s="4" t="s">
        <v>68</v>
      </c>
      <c r="B54" s="12">
        <v>2014</v>
      </c>
      <c r="C54" s="12" t="s">
        <v>67</v>
      </c>
      <c r="D54" s="4">
        <v>1</v>
      </c>
      <c r="E54" s="4">
        <v>14</v>
      </c>
      <c r="F54" s="4">
        <v>2</v>
      </c>
      <c r="G54" s="6" t="str">
        <f t="shared" si="0"/>
        <v>142</v>
      </c>
      <c r="H54" s="5">
        <v>27.02</v>
      </c>
      <c r="I54" s="5">
        <v>191.22</v>
      </c>
      <c r="J54" s="5">
        <v>12001.452928094885</v>
      </c>
      <c r="K54" s="5">
        <v>42.28</v>
      </c>
      <c r="L54" s="5">
        <v>189.65</v>
      </c>
      <c r="M54" s="5">
        <v>11902.915740054361</v>
      </c>
      <c r="N54" s="5">
        <v>36.092715231788084</v>
      </c>
      <c r="O54" s="5">
        <v>1.5699999999999932</v>
      </c>
      <c r="P54" s="5">
        <v>98.537188040523688</v>
      </c>
      <c r="Q54" s="5">
        <v>0.82784075929343404</v>
      </c>
    </row>
    <row r="55" spans="1:17" x14ac:dyDescent="0.2">
      <c r="A55" s="4" t="s">
        <v>68</v>
      </c>
      <c r="B55" s="12">
        <v>2014</v>
      </c>
      <c r="C55" s="12" t="s">
        <v>67</v>
      </c>
      <c r="D55" s="4">
        <v>2</v>
      </c>
      <c r="E55" s="4">
        <v>14</v>
      </c>
      <c r="F55" s="4">
        <v>2</v>
      </c>
      <c r="G55" s="6" t="str">
        <f t="shared" si="0"/>
        <v>142</v>
      </c>
      <c r="H55" s="5">
        <v>27.9</v>
      </c>
      <c r="I55" s="5">
        <v>187.57</v>
      </c>
      <c r="J55" s="5">
        <v>11772.369656535704</v>
      </c>
      <c r="K55" s="5">
        <v>25.27</v>
      </c>
      <c r="L55" s="5">
        <v>161.52000000000001</v>
      </c>
      <c r="M55" s="5">
        <v>10137.405485544848</v>
      </c>
      <c r="N55" s="5">
        <v>-10.407597942223976</v>
      </c>
      <c r="O55" s="5">
        <v>26.049999999999983</v>
      </c>
      <c r="P55" s="5">
        <v>1634.9641709908556</v>
      </c>
      <c r="Q55" s="5">
        <v>16.128033680039604</v>
      </c>
    </row>
    <row r="56" spans="1:17" x14ac:dyDescent="0.2">
      <c r="A56" s="4" t="s">
        <v>68</v>
      </c>
      <c r="B56" s="12">
        <v>2014</v>
      </c>
      <c r="C56" s="12" t="s">
        <v>67</v>
      </c>
      <c r="D56" s="4">
        <v>3</v>
      </c>
      <c r="E56" s="4">
        <v>14</v>
      </c>
      <c r="F56" s="4">
        <v>2</v>
      </c>
      <c r="G56" s="6" t="str">
        <f t="shared" si="0"/>
        <v>142</v>
      </c>
      <c r="H56" s="5">
        <v>20.88</v>
      </c>
      <c r="I56" s="5">
        <v>201.12</v>
      </c>
      <c r="J56" s="5">
        <v>12622.802075611564</v>
      </c>
      <c r="K56" s="5">
        <v>41.93</v>
      </c>
      <c r="L56" s="5">
        <v>198.56</v>
      </c>
      <c r="M56" s="5">
        <v>12462.129972819372</v>
      </c>
      <c r="N56" s="5">
        <v>50.202718817076089</v>
      </c>
      <c r="O56" s="5">
        <v>2.5600000000000023</v>
      </c>
      <c r="P56" s="5">
        <v>160.67210279219216</v>
      </c>
      <c r="Q56" s="5">
        <v>1.2892828364222435</v>
      </c>
    </row>
    <row r="57" spans="1:17" x14ac:dyDescent="0.2">
      <c r="A57" s="4" t="s">
        <v>68</v>
      </c>
      <c r="B57" s="12">
        <v>2014</v>
      </c>
      <c r="C57" s="12" t="s">
        <v>67</v>
      </c>
      <c r="D57" s="4">
        <v>4</v>
      </c>
      <c r="E57" s="4">
        <v>14</v>
      </c>
      <c r="F57" s="4">
        <v>2</v>
      </c>
      <c r="G57" s="6" t="str">
        <f t="shared" si="0"/>
        <v>142</v>
      </c>
      <c r="H57" s="5">
        <v>22.630000000000003</v>
      </c>
      <c r="I57" s="5">
        <v>201.64</v>
      </c>
      <c r="J57" s="5">
        <v>12655.438596491227</v>
      </c>
      <c r="K57" s="5">
        <v>31.41</v>
      </c>
      <c r="L57" s="5">
        <v>189.65</v>
      </c>
      <c r="M57" s="5">
        <v>11902.915740054361</v>
      </c>
      <c r="N57" s="5">
        <v>27.952881248010179</v>
      </c>
      <c r="O57" s="5">
        <v>11.989999999999981</v>
      </c>
      <c r="P57" s="5">
        <v>752.52285643686628</v>
      </c>
      <c r="Q57" s="5">
        <v>6.3221724228842566</v>
      </c>
    </row>
    <row r="58" spans="1:17" x14ac:dyDescent="0.2">
      <c r="A58" s="4" t="s">
        <v>68</v>
      </c>
      <c r="B58" s="12">
        <v>2014</v>
      </c>
      <c r="C58" s="12" t="s">
        <v>67</v>
      </c>
      <c r="D58" s="4">
        <v>1</v>
      </c>
      <c r="E58" s="4">
        <v>15</v>
      </c>
      <c r="F58" s="4">
        <v>3</v>
      </c>
      <c r="G58" s="6" t="str">
        <f t="shared" si="0"/>
        <v>153</v>
      </c>
      <c r="H58" s="5">
        <v>21.75</v>
      </c>
      <c r="I58" s="5">
        <v>216.75</v>
      </c>
      <c r="J58" s="5">
        <v>13603.780578206079</v>
      </c>
      <c r="K58" s="5">
        <v>42.28</v>
      </c>
      <c r="L58" s="5">
        <v>189.65</v>
      </c>
      <c r="M58" s="5">
        <v>11902.915740054361</v>
      </c>
      <c r="N58" s="5">
        <v>48.557237464522238</v>
      </c>
      <c r="O58" s="5">
        <v>27.099999999999994</v>
      </c>
      <c r="P58" s="5">
        <v>1700.8648381517178</v>
      </c>
      <c r="Q58" s="5">
        <v>14.289480622198791</v>
      </c>
    </row>
    <row r="59" spans="1:17" x14ac:dyDescent="0.2">
      <c r="A59" s="4" t="s">
        <v>68</v>
      </c>
      <c r="B59" s="12">
        <v>2014</v>
      </c>
      <c r="C59" s="12" t="s">
        <v>67</v>
      </c>
      <c r="D59" s="4">
        <v>2</v>
      </c>
      <c r="E59" s="4">
        <v>15</v>
      </c>
      <c r="F59" s="4">
        <v>3</v>
      </c>
      <c r="G59" s="6" t="str">
        <f t="shared" si="0"/>
        <v>153</v>
      </c>
      <c r="H59" s="5">
        <v>15.26</v>
      </c>
      <c r="I59" s="5">
        <v>191.74</v>
      </c>
      <c r="J59" s="5">
        <v>12034.08944897455</v>
      </c>
      <c r="K59" s="5">
        <v>25.27</v>
      </c>
      <c r="L59" s="5">
        <v>161.52000000000001</v>
      </c>
      <c r="M59" s="5">
        <v>10137.405485544848</v>
      </c>
      <c r="N59" s="5">
        <v>39.612188365650965</v>
      </c>
      <c r="O59" s="5">
        <v>30.22</v>
      </c>
      <c r="P59" s="5">
        <v>1896.6839634297012</v>
      </c>
      <c r="Q59" s="5">
        <v>18.709757305596831</v>
      </c>
    </row>
    <row r="60" spans="1:17" x14ac:dyDescent="0.2">
      <c r="A60" s="4" t="s">
        <v>68</v>
      </c>
      <c r="B60" s="12">
        <v>2014</v>
      </c>
      <c r="C60" s="12" t="s">
        <v>67</v>
      </c>
      <c r="D60" s="4">
        <v>3</v>
      </c>
      <c r="E60" s="4">
        <v>15</v>
      </c>
      <c r="F60" s="4">
        <v>3</v>
      </c>
      <c r="G60" s="6" t="str">
        <f t="shared" si="0"/>
        <v>153</v>
      </c>
      <c r="H60" s="5">
        <v>19.64</v>
      </c>
      <c r="I60" s="5">
        <v>203.41</v>
      </c>
      <c r="J60" s="5">
        <v>12766.528292562392</v>
      </c>
      <c r="K60" s="5">
        <v>41.93</v>
      </c>
      <c r="L60" s="5">
        <v>198.56</v>
      </c>
      <c r="M60" s="5">
        <v>12462.129972819372</v>
      </c>
      <c r="N60" s="5">
        <v>53.160028619127118</v>
      </c>
      <c r="O60" s="5">
        <v>4.8499999999999943</v>
      </c>
      <c r="P60" s="5">
        <v>304.39831974302069</v>
      </c>
      <c r="Q60" s="5">
        <v>2.4425866236905813</v>
      </c>
    </row>
    <row r="61" spans="1:17" x14ac:dyDescent="0.2">
      <c r="A61" s="4" t="s">
        <v>68</v>
      </c>
      <c r="B61" s="12">
        <v>2014</v>
      </c>
      <c r="C61" s="12" t="s">
        <v>67</v>
      </c>
      <c r="D61" s="4">
        <v>4</v>
      </c>
      <c r="E61" s="4">
        <v>15</v>
      </c>
      <c r="F61" s="4">
        <v>3</v>
      </c>
      <c r="G61" s="6" t="str">
        <f t="shared" si="0"/>
        <v>153</v>
      </c>
      <c r="H61" s="5">
        <v>17.009999999999998</v>
      </c>
      <c r="I61" s="5">
        <v>212.58</v>
      </c>
      <c r="J61" s="5">
        <v>13342.060785767235</v>
      </c>
      <c r="K61" s="5">
        <v>31.41</v>
      </c>
      <c r="L61" s="5">
        <v>189.65</v>
      </c>
      <c r="M61" s="5">
        <v>11902.915740054361</v>
      </c>
      <c r="N61" s="5">
        <v>45.845272206303733</v>
      </c>
      <c r="O61" s="5">
        <v>22.930000000000007</v>
      </c>
      <c r="P61" s="5">
        <v>1439.145045712874</v>
      </c>
      <c r="Q61" s="5">
        <v>12.090693382546799</v>
      </c>
    </row>
    <row r="62" spans="1:17" x14ac:dyDescent="0.2">
      <c r="A62" s="4" t="s">
        <v>68</v>
      </c>
      <c r="B62" s="12">
        <v>2014</v>
      </c>
      <c r="C62" s="12" t="s">
        <v>67</v>
      </c>
      <c r="D62" s="4">
        <v>1</v>
      </c>
      <c r="E62" s="4">
        <v>16</v>
      </c>
      <c r="F62" s="4">
        <v>3</v>
      </c>
      <c r="G62" s="6" t="str">
        <f t="shared" si="0"/>
        <v>163</v>
      </c>
      <c r="H62" s="5">
        <v>14.39</v>
      </c>
      <c r="I62" s="5">
        <v>204.76</v>
      </c>
      <c r="J62" s="5">
        <v>12851.257721769211</v>
      </c>
      <c r="K62" s="5">
        <v>42.28</v>
      </c>
      <c r="L62" s="5">
        <v>189.65</v>
      </c>
      <c r="M62" s="5">
        <v>11902.915740054361</v>
      </c>
      <c r="N62" s="5">
        <v>65.964995269631032</v>
      </c>
      <c r="O62" s="5">
        <v>15.109999999999985</v>
      </c>
      <c r="P62" s="5">
        <v>948.34198171484968</v>
      </c>
      <c r="Q62" s="5">
        <v>7.9673081993145196</v>
      </c>
    </row>
    <row r="63" spans="1:17" x14ac:dyDescent="0.2">
      <c r="A63" s="4" t="s">
        <v>68</v>
      </c>
      <c r="B63" s="12">
        <v>2014</v>
      </c>
      <c r="C63" s="12" t="s">
        <v>67</v>
      </c>
      <c r="D63" s="4">
        <v>2</v>
      </c>
      <c r="E63" s="4">
        <v>16</v>
      </c>
      <c r="F63" s="4">
        <v>3</v>
      </c>
      <c r="G63" s="6" t="str">
        <f t="shared" si="0"/>
        <v>163</v>
      </c>
      <c r="H63" s="5">
        <v>12.629999999999999</v>
      </c>
      <c r="I63" s="5">
        <v>195.38</v>
      </c>
      <c r="J63" s="5">
        <v>12262.545095132196</v>
      </c>
      <c r="K63" s="5">
        <v>25.27</v>
      </c>
      <c r="L63" s="5">
        <v>161.52000000000001</v>
      </c>
      <c r="M63" s="5">
        <v>10137.405485544848</v>
      </c>
      <c r="N63" s="5">
        <v>50.019786307874959</v>
      </c>
      <c r="O63" s="5">
        <v>33.859999999999985</v>
      </c>
      <c r="P63" s="5">
        <v>2125.1396095873479</v>
      </c>
      <c r="Q63" s="5">
        <v>20.963348192174337</v>
      </c>
    </row>
    <row r="64" spans="1:17" x14ac:dyDescent="0.2">
      <c r="A64" s="4" t="s">
        <v>68</v>
      </c>
      <c r="B64" s="12">
        <v>2014</v>
      </c>
      <c r="C64" s="12" t="s">
        <v>67</v>
      </c>
      <c r="D64" s="4">
        <v>3</v>
      </c>
      <c r="E64" s="4">
        <v>16</v>
      </c>
      <c r="F64" s="4">
        <v>3</v>
      </c>
      <c r="G64" s="6" t="str">
        <f t="shared" si="0"/>
        <v>163</v>
      </c>
      <c r="H64" s="5">
        <v>15.27</v>
      </c>
      <c r="I64" s="5">
        <v>203.1</v>
      </c>
      <c r="J64" s="5">
        <v>12747.071905114899</v>
      </c>
      <c r="K64" s="5">
        <v>41.93</v>
      </c>
      <c r="L64" s="5">
        <v>198.56</v>
      </c>
      <c r="M64" s="5">
        <v>12462.129972819372</v>
      </c>
      <c r="N64" s="5">
        <v>63.582160744097308</v>
      </c>
      <c r="O64" s="5">
        <v>4.539999999999992</v>
      </c>
      <c r="P64" s="5">
        <v>284.94193229552729</v>
      </c>
      <c r="Q64" s="5">
        <v>2.2864625302175643</v>
      </c>
    </row>
    <row r="65" spans="1:17" x14ac:dyDescent="0.2">
      <c r="A65" s="4" t="s">
        <v>68</v>
      </c>
      <c r="B65" s="12">
        <v>2014</v>
      </c>
      <c r="C65" s="12" t="s">
        <v>67</v>
      </c>
      <c r="D65" s="4">
        <v>4</v>
      </c>
      <c r="E65" s="4">
        <v>16</v>
      </c>
      <c r="F65" s="4">
        <v>3</v>
      </c>
      <c r="G65" s="6" t="str">
        <f t="shared" si="0"/>
        <v>163</v>
      </c>
      <c r="H65" s="5">
        <v>15.27</v>
      </c>
      <c r="I65" s="5">
        <v>200.07</v>
      </c>
      <c r="J65" s="5">
        <v>12556.901408450703</v>
      </c>
      <c r="K65" s="5">
        <v>31.41</v>
      </c>
      <c r="L65" s="5">
        <v>189.65</v>
      </c>
      <c r="M65" s="5">
        <v>11902.915740054361</v>
      </c>
      <c r="N65" s="5">
        <v>51.384909264565422</v>
      </c>
      <c r="O65" s="5">
        <v>10.419999999999987</v>
      </c>
      <c r="P65" s="5">
        <v>653.98566839634259</v>
      </c>
      <c r="Q65" s="5">
        <v>5.4943316635908221</v>
      </c>
    </row>
    <row r="66" spans="1:17" x14ac:dyDescent="0.2">
      <c r="A66" s="4" t="s">
        <v>68</v>
      </c>
      <c r="B66" s="12">
        <v>2014</v>
      </c>
      <c r="C66" s="12" t="s">
        <v>67</v>
      </c>
      <c r="D66" s="4">
        <v>1</v>
      </c>
      <c r="E66" s="4">
        <v>17</v>
      </c>
      <c r="F66" s="4">
        <v>3</v>
      </c>
      <c r="G66" s="6" t="str">
        <f t="shared" ref="G66:G129" si="1">E66&amp;F66</f>
        <v>173</v>
      </c>
      <c r="H66" s="5">
        <v>12.629999999999999</v>
      </c>
      <c r="I66" s="5">
        <v>204.76</v>
      </c>
      <c r="J66" s="5">
        <v>12851.257721769211</v>
      </c>
      <c r="K66" s="5">
        <v>42.28</v>
      </c>
      <c r="L66" s="5">
        <v>189.65</v>
      </c>
      <c r="M66" s="5">
        <v>11902.915740054361</v>
      </c>
      <c r="N66" s="5">
        <v>70.127719962157059</v>
      </c>
      <c r="O66" s="5">
        <v>15.109999999999985</v>
      </c>
      <c r="P66" s="5">
        <v>948.34198171484968</v>
      </c>
      <c r="Q66" s="5">
        <v>7.9673081993145196</v>
      </c>
    </row>
    <row r="67" spans="1:17" x14ac:dyDescent="0.2">
      <c r="A67" s="4" t="s">
        <v>68</v>
      </c>
      <c r="B67" s="12">
        <v>2014</v>
      </c>
      <c r="C67" s="12" t="s">
        <v>67</v>
      </c>
      <c r="D67" s="4">
        <v>2</v>
      </c>
      <c r="E67" s="4">
        <v>17</v>
      </c>
      <c r="F67" s="4">
        <v>3</v>
      </c>
      <c r="G67" s="6" t="str">
        <f t="shared" si="1"/>
        <v>173</v>
      </c>
      <c r="H67" s="5">
        <v>32.28</v>
      </c>
      <c r="I67" s="5">
        <v>199.55</v>
      </c>
      <c r="J67" s="5">
        <v>12524.26488757104</v>
      </c>
      <c r="K67" s="5">
        <v>25.27</v>
      </c>
      <c r="L67" s="5">
        <v>161.52000000000001</v>
      </c>
      <c r="M67" s="5">
        <v>10137.405485544848</v>
      </c>
      <c r="N67" s="5">
        <v>-27.740403640680654</v>
      </c>
      <c r="O67" s="5">
        <v>38.03</v>
      </c>
      <c r="P67" s="5">
        <v>2386.8594020261917</v>
      </c>
      <c r="Q67" s="5">
        <v>23.545071817731543</v>
      </c>
    </row>
    <row r="68" spans="1:17" x14ac:dyDescent="0.2">
      <c r="A68" s="4" t="s">
        <v>68</v>
      </c>
      <c r="B68" s="12">
        <v>2014</v>
      </c>
      <c r="C68" s="12" t="s">
        <v>67</v>
      </c>
      <c r="D68" s="4">
        <v>3</v>
      </c>
      <c r="E68" s="4">
        <v>17</v>
      </c>
      <c r="F68" s="4">
        <v>3</v>
      </c>
      <c r="G68" s="6" t="str">
        <f t="shared" si="1"/>
        <v>173</v>
      </c>
      <c r="H68" s="5">
        <v>17.89</v>
      </c>
      <c r="I68" s="5">
        <v>198.15</v>
      </c>
      <c r="J68" s="5">
        <v>12436.39733135656</v>
      </c>
      <c r="K68" s="5">
        <v>41.93</v>
      </c>
      <c r="L68" s="5">
        <v>198.56</v>
      </c>
      <c r="M68" s="5">
        <v>12462.129972819372</v>
      </c>
      <c r="N68" s="5">
        <v>57.333651323634626</v>
      </c>
      <c r="O68" s="5">
        <v>-0.40999999999999659</v>
      </c>
      <c r="P68" s="5">
        <v>-25.732641462811443</v>
      </c>
      <c r="Q68" s="5">
        <v>-0.20648670427074528</v>
      </c>
    </row>
    <row r="69" spans="1:17" x14ac:dyDescent="0.2">
      <c r="A69" s="4" t="s">
        <v>68</v>
      </c>
      <c r="B69" s="12">
        <v>2014</v>
      </c>
      <c r="C69" s="12" t="s">
        <v>67</v>
      </c>
      <c r="D69" s="4">
        <v>4</v>
      </c>
      <c r="E69" s="4">
        <v>17</v>
      </c>
      <c r="F69" s="4">
        <v>3</v>
      </c>
      <c r="G69" s="6" t="str">
        <f t="shared" si="1"/>
        <v>173</v>
      </c>
      <c r="H69" s="5">
        <v>12.629999999999999</v>
      </c>
      <c r="I69" s="5">
        <v>192.26</v>
      </c>
      <c r="J69" s="5">
        <v>12066.725969854213</v>
      </c>
      <c r="K69" s="5">
        <v>31.41</v>
      </c>
      <c r="L69" s="5">
        <v>189.65</v>
      </c>
      <c r="M69" s="5">
        <v>11902.915740054361</v>
      </c>
      <c r="N69" s="5">
        <v>59.789875835721105</v>
      </c>
      <c r="O69" s="5">
        <v>2.6099999999999852</v>
      </c>
      <c r="P69" s="5">
        <v>163.8102297998521</v>
      </c>
      <c r="Q69" s="5">
        <v>1.3762193514368604</v>
      </c>
    </row>
    <row r="70" spans="1:17" x14ac:dyDescent="0.2">
      <c r="A70" s="4" t="s">
        <v>68</v>
      </c>
      <c r="B70" s="12">
        <v>2014</v>
      </c>
      <c r="C70" s="12" t="s">
        <v>67</v>
      </c>
      <c r="D70" s="4">
        <v>1</v>
      </c>
      <c r="E70" s="4">
        <v>18</v>
      </c>
      <c r="F70" s="4">
        <v>3</v>
      </c>
      <c r="G70" s="6" t="str">
        <f t="shared" si="1"/>
        <v>183</v>
      </c>
      <c r="H70" s="5">
        <v>28.77</v>
      </c>
      <c r="I70" s="5">
        <v>201.64</v>
      </c>
      <c r="J70" s="5">
        <v>12655.438596491227</v>
      </c>
      <c r="K70" s="5">
        <v>42.28</v>
      </c>
      <c r="L70" s="5">
        <v>189.65</v>
      </c>
      <c r="M70" s="5">
        <v>11902.915740054361</v>
      </c>
      <c r="N70" s="5">
        <v>31.953642384105962</v>
      </c>
      <c r="O70" s="5">
        <v>11.989999999999981</v>
      </c>
      <c r="P70" s="5">
        <v>752.52285643686628</v>
      </c>
      <c r="Q70" s="5">
        <v>6.3221724228842566</v>
      </c>
    </row>
    <row r="71" spans="1:17" x14ac:dyDescent="0.2">
      <c r="A71" s="4" t="s">
        <v>68</v>
      </c>
      <c r="B71" s="12">
        <v>2014</v>
      </c>
      <c r="C71" s="12" t="s">
        <v>67</v>
      </c>
      <c r="D71" s="4">
        <v>2</v>
      </c>
      <c r="E71" s="4">
        <v>18</v>
      </c>
      <c r="F71" s="4">
        <v>3</v>
      </c>
      <c r="G71" s="6" t="str">
        <f t="shared" si="1"/>
        <v>183</v>
      </c>
      <c r="H71" s="5">
        <v>19.649999999999999</v>
      </c>
      <c r="I71" s="5">
        <v>188.66</v>
      </c>
      <c r="J71" s="5">
        <v>11840.780825302692</v>
      </c>
      <c r="K71" s="5">
        <v>25.27</v>
      </c>
      <c r="L71" s="5">
        <v>161.52000000000001</v>
      </c>
      <c r="M71" s="5">
        <v>10137.405485544848</v>
      </c>
      <c r="N71" s="5">
        <v>22.239810051444405</v>
      </c>
      <c r="O71" s="5">
        <v>27.139999999999986</v>
      </c>
      <c r="P71" s="5">
        <v>1703.3753397578439</v>
      </c>
      <c r="Q71" s="5">
        <v>16.802872709261997</v>
      </c>
    </row>
    <row r="72" spans="1:17" x14ac:dyDescent="0.2">
      <c r="A72" s="4" t="s">
        <v>68</v>
      </c>
      <c r="B72" s="12">
        <v>2014</v>
      </c>
      <c r="C72" s="12" t="s">
        <v>67</v>
      </c>
      <c r="D72" s="4">
        <v>3</v>
      </c>
      <c r="E72" s="4">
        <v>18</v>
      </c>
      <c r="F72" s="4">
        <v>3</v>
      </c>
      <c r="G72" s="6" t="str">
        <f t="shared" si="1"/>
        <v>183</v>
      </c>
      <c r="H72" s="5">
        <v>18.77</v>
      </c>
      <c r="I72" s="5">
        <v>197.47</v>
      </c>
      <c r="J72" s="5">
        <v>12393.718804052383</v>
      </c>
      <c r="K72" s="5">
        <v>41.93</v>
      </c>
      <c r="L72" s="5">
        <v>198.56</v>
      </c>
      <c r="M72" s="5">
        <v>12462.129972819372</v>
      </c>
      <c r="N72" s="5">
        <v>55.234915335082277</v>
      </c>
      <c r="O72" s="5">
        <v>-1.0900000000000034</v>
      </c>
      <c r="P72" s="5">
        <v>-68.411168766988339</v>
      </c>
      <c r="Q72" s="5">
        <v>-0.54895245769541057</v>
      </c>
    </row>
    <row r="73" spans="1:17" x14ac:dyDescent="0.2">
      <c r="A73" s="4" t="s">
        <v>68</v>
      </c>
      <c r="B73" s="12">
        <v>2014</v>
      </c>
      <c r="C73" s="12" t="s">
        <v>67</v>
      </c>
      <c r="D73" s="4">
        <v>4</v>
      </c>
      <c r="E73" s="4">
        <v>18</v>
      </c>
      <c r="F73" s="4">
        <v>3</v>
      </c>
      <c r="G73" s="6" t="str">
        <f t="shared" si="1"/>
        <v>183</v>
      </c>
      <c r="H73" s="5">
        <v>22.630000000000003</v>
      </c>
      <c r="I73" s="5">
        <v>209.97</v>
      </c>
      <c r="J73" s="5">
        <v>13178.250555967383</v>
      </c>
      <c r="K73" s="5">
        <v>31.41</v>
      </c>
      <c r="L73" s="5">
        <v>189.65</v>
      </c>
      <c r="M73" s="5">
        <v>11902.915740054361</v>
      </c>
      <c r="N73" s="5">
        <v>27.952881248010179</v>
      </c>
      <c r="O73" s="5">
        <v>20.319999999999993</v>
      </c>
      <c r="P73" s="5">
        <v>1275.3348159130219</v>
      </c>
      <c r="Q73" s="5">
        <v>10.714474031109939</v>
      </c>
    </row>
    <row r="74" spans="1:17" x14ac:dyDescent="0.2">
      <c r="A74" s="4" t="s">
        <v>68</v>
      </c>
      <c r="B74" s="12">
        <v>2014</v>
      </c>
      <c r="C74" s="12" t="s">
        <v>67</v>
      </c>
      <c r="D74" s="4">
        <v>1</v>
      </c>
      <c r="E74" s="4">
        <v>19</v>
      </c>
      <c r="F74" s="4">
        <v>3</v>
      </c>
      <c r="G74" s="6" t="str">
        <f t="shared" si="1"/>
        <v>193</v>
      </c>
      <c r="H74" s="5">
        <v>17.89</v>
      </c>
      <c r="I74" s="5">
        <v>199.55</v>
      </c>
      <c r="J74" s="5">
        <v>12524.26488757104</v>
      </c>
      <c r="K74" s="5">
        <v>42.28</v>
      </c>
      <c r="L74" s="5">
        <v>189.65</v>
      </c>
      <c r="M74" s="5">
        <v>11902.915740054361</v>
      </c>
      <c r="N74" s="5">
        <v>57.686849574266795</v>
      </c>
      <c r="O74" s="5">
        <v>9.9000000000000057</v>
      </c>
      <c r="P74" s="5">
        <v>621.3491475166793</v>
      </c>
      <c r="Q74" s="5">
        <v>5.2201423675191165</v>
      </c>
    </row>
    <row r="75" spans="1:17" x14ac:dyDescent="0.2">
      <c r="A75" s="4" t="s">
        <v>68</v>
      </c>
      <c r="B75" s="12">
        <v>2014</v>
      </c>
      <c r="C75" s="12" t="s">
        <v>67</v>
      </c>
      <c r="D75" s="4">
        <v>2</v>
      </c>
      <c r="E75" s="4">
        <v>19</v>
      </c>
      <c r="F75" s="4">
        <v>3</v>
      </c>
      <c r="G75" s="6" t="str">
        <f t="shared" si="1"/>
        <v>193</v>
      </c>
      <c r="H75" s="5">
        <v>12.629999999999999</v>
      </c>
      <c r="I75" s="5">
        <v>196.53</v>
      </c>
      <c r="J75" s="5">
        <v>12334.722016308377</v>
      </c>
      <c r="K75" s="5">
        <v>25.27</v>
      </c>
      <c r="L75" s="5">
        <v>161.52000000000001</v>
      </c>
      <c r="M75" s="5">
        <v>10137.405485544848</v>
      </c>
      <c r="N75" s="5">
        <v>50.019786307874959</v>
      </c>
      <c r="O75" s="5">
        <v>35.009999999999991</v>
      </c>
      <c r="P75" s="5">
        <v>2197.3165307635281</v>
      </c>
      <c r="Q75" s="5">
        <v>21.67533432392273</v>
      </c>
    </row>
    <row r="76" spans="1:17" x14ac:dyDescent="0.2">
      <c r="A76" s="4" t="s">
        <v>68</v>
      </c>
      <c r="B76" s="12">
        <v>2014</v>
      </c>
      <c r="C76" s="12" t="s">
        <v>67</v>
      </c>
      <c r="D76" s="4">
        <v>3</v>
      </c>
      <c r="E76" s="4">
        <v>19</v>
      </c>
      <c r="F76" s="4">
        <v>3</v>
      </c>
      <c r="G76" s="6" t="str">
        <f t="shared" si="1"/>
        <v>193</v>
      </c>
      <c r="H76" s="5">
        <v>10.88</v>
      </c>
      <c r="I76" s="5">
        <v>211.02</v>
      </c>
      <c r="J76" s="5">
        <v>13244.151223128243</v>
      </c>
      <c r="K76" s="5">
        <v>41.93</v>
      </c>
      <c r="L76" s="5">
        <v>198.56</v>
      </c>
      <c r="M76" s="5">
        <v>12462.129972819372</v>
      </c>
      <c r="N76" s="5">
        <v>74.051991414261863</v>
      </c>
      <c r="O76" s="5">
        <v>12.460000000000008</v>
      </c>
      <c r="P76" s="5">
        <v>782.02125030887146</v>
      </c>
      <c r="Q76" s="5">
        <v>6.2751813053988776</v>
      </c>
    </row>
    <row r="77" spans="1:17" s="7" customFormat="1" x14ac:dyDescent="0.2">
      <c r="A77" s="4" t="s">
        <v>68</v>
      </c>
      <c r="B77" s="13">
        <v>2014</v>
      </c>
      <c r="C77" s="13" t="s">
        <v>67</v>
      </c>
      <c r="D77" s="7">
        <v>4</v>
      </c>
      <c r="E77" s="7">
        <v>19</v>
      </c>
      <c r="F77" s="7">
        <v>3</v>
      </c>
      <c r="G77" s="6" t="str">
        <f t="shared" si="1"/>
        <v>193</v>
      </c>
      <c r="H77" s="9">
        <v>10</v>
      </c>
      <c r="I77" s="9">
        <v>187.57</v>
      </c>
      <c r="J77" s="9">
        <v>11772.369656535704</v>
      </c>
      <c r="K77" s="9">
        <v>31.41</v>
      </c>
      <c r="L77" s="9">
        <v>189.65</v>
      </c>
      <c r="M77" s="9">
        <v>11902.915740054361</v>
      </c>
      <c r="N77" s="9">
        <v>68.163005412289081</v>
      </c>
      <c r="O77" s="9">
        <v>-2.0800000000000125</v>
      </c>
      <c r="P77" s="9">
        <v>-130.54608351865681</v>
      </c>
      <c r="Q77" s="9">
        <v>-1.0967571842868526</v>
      </c>
    </row>
    <row r="78" spans="1:17" x14ac:dyDescent="0.2">
      <c r="A78" s="4" t="s">
        <v>26</v>
      </c>
      <c r="B78" s="15">
        <v>2014</v>
      </c>
      <c r="C78" s="15" t="s">
        <v>26</v>
      </c>
      <c r="D78" s="12">
        <v>1</v>
      </c>
      <c r="E78" s="12">
        <v>1</v>
      </c>
      <c r="F78" s="6">
        <v>0</v>
      </c>
      <c r="G78" s="6" t="str">
        <f t="shared" si="1"/>
        <v>10</v>
      </c>
      <c r="H78" s="5" t="s">
        <v>97</v>
      </c>
      <c r="I78" s="5">
        <v>121.7</v>
      </c>
      <c r="J78" s="5">
        <v>7638.2011366444276</v>
      </c>
      <c r="K78" s="5" t="s">
        <v>97</v>
      </c>
      <c r="L78" s="5">
        <v>121.7</v>
      </c>
      <c r="M78" s="5">
        <v>7638.2011366444276</v>
      </c>
      <c r="N78" s="5" t="s">
        <v>97</v>
      </c>
      <c r="O78" s="5">
        <v>0</v>
      </c>
      <c r="P78" s="5">
        <v>0</v>
      </c>
      <c r="Q78" s="5">
        <v>0</v>
      </c>
    </row>
    <row r="79" spans="1:17" x14ac:dyDescent="0.2">
      <c r="A79" s="4" t="s">
        <v>26</v>
      </c>
      <c r="B79" s="15">
        <v>2014</v>
      </c>
      <c r="C79" s="15" t="s">
        <v>26</v>
      </c>
      <c r="D79" s="12">
        <v>2</v>
      </c>
      <c r="E79" s="12">
        <v>1</v>
      </c>
      <c r="F79" s="6">
        <v>0</v>
      </c>
      <c r="G79" s="6" t="str">
        <f t="shared" si="1"/>
        <v>10</v>
      </c>
      <c r="H79" s="5" t="s">
        <v>97</v>
      </c>
      <c r="I79" s="5">
        <v>134.80000000000001</v>
      </c>
      <c r="J79" s="5">
        <v>8460.390412651348</v>
      </c>
      <c r="K79" s="5" t="s">
        <v>97</v>
      </c>
      <c r="L79" s="5">
        <v>134.80000000000001</v>
      </c>
      <c r="M79" s="5">
        <v>8460.390412651348</v>
      </c>
      <c r="N79" s="5" t="s">
        <v>97</v>
      </c>
      <c r="O79" s="5">
        <v>0</v>
      </c>
      <c r="P79" s="5">
        <v>0</v>
      </c>
      <c r="Q79" s="5">
        <v>0</v>
      </c>
    </row>
    <row r="80" spans="1:17" x14ac:dyDescent="0.2">
      <c r="A80" s="4" t="s">
        <v>26</v>
      </c>
      <c r="B80" s="15">
        <v>2014</v>
      </c>
      <c r="C80" s="15" t="s">
        <v>26</v>
      </c>
      <c r="D80" s="12">
        <v>3</v>
      </c>
      <c r="E80" s="12">
        <v>1</v>
      </c>
      <c r="F80" s="6">
        <v>0</v>
      </c>
      <c r="G80" s="6" t="str">
        <f t="shared" si="1"/>
        <v>10</v>
      </c>
      <c r="H80" s="5" t="s">
        <v>97</v>
      </c>
      <c r="I80" s="5">
        <v>128.80000000000001</v>
      </c>
      <c r="J80" s="5">
        <v>8083.815171732148</v>
      </c>
      <c r="K80" s="5" t="s">
        <v>97</v>
      </c>
      <c r="L80" s="5">
        <v>128.80000000000001</v>
      </c>
      <c r="M80" s="5">
        <v>8083.815171732148</v>
      </c>
      <c r="N80" s="5" t="s">
        <v>97</v>
      </c>
      <c r="O80" s="5">
        <v>0</v>
      </c>
      <c r="P80" s="5">
        <v>0</v>
      </c>
      <c r="Q80" s="5">
        <v>0</v>
      </c>
    </row>
    <row r="81" spans="1:17" x14ac:dyDescent="0.2">
      <c r="A81" s="4" t="s">
        <v>26</v>
      </c>
      <c r="B81" s="15">
        <v>2014</v>
      </c>
      <c r="C81" s="15" t="s">
        <v>26</v>
      </c>
      <c r="D81" s="12">
        <v>4</v>
      </c>
      <c r="E81" s="12">
        <v>1</v>
      </c>
      <c r="F81" s="6">
        <v>0</v>
      </c>
      <c r="G81" s="6" t="str">
        <f t="shared" si="1"/>
        <v>10</v>
      </c>
      <c r="H81" s="5" t="s">
        <v>97</v>
      </c>
      <c r="I81" s="5">
        <v>215.7</v>
      </c>
      <c r="J81" s="5">
        <v>13537.879911045218</v>
      </c>
      <c r="K81" s="5" t="s">
        <v>97</v>
      </c>
      <c r="L81" s="5">
        <v>215.7</v>
      </c>
      <c r="M81" s="5">
        <v>13537.879911045218</v>
      </c>
      <c r="N81" s="5" t="s">
        <v>97</v>
      </c>
      <c r="O81" s="5">
        <v>0</v>
      </c>
      <c r="P81" s="5">
        <v>0</v>
      </c>
      <c r="Q81" s="5">
        <v>0</v>
      </c>
    </row>
    <row r="82" spans="1:17" x14ac:dyDescent="0.2">
      <c r="A82" s="4" t="s">
        <v>26</v>
      </c>
      <c r="B82" s="15">
        <v>2014</v>
      </c>
      <c r="C82" s="15" t="s">
        <v>26</v>
      </c>
      <c r="D82" s="15">
        <v>1</v>
      </c>
      <c r="E82" s="16">
        <v>2</v>
      </c>
      <c r="F82" s="16">
        <v>1</v>
      </c>
      <c r="G82" s="6" t="str">
        <f t="shared" si="1"/>
        <v>21</v>
      </c>
      <c r="H82" s="5" t="s">
        <v>97</v>
      </c>
      <c r="I82" s="5">
        <v>187.3</v>
      </c>
      <c r="J82" s="5">
        <v>11755.423770694342</v>
      </c>
      <c r="K82" s="5" t="s">
        <v>97</v>
      </c>
      <c r="L82" s="5">
        <v>121.7</v>
      </c>
      <c r="M82" s="5">
        <v>7638.2011366444276</v>
      </c>
      <c r="N82" s="5" t="s">
        <v>97</v>
      </c>
      <c r="O82" s="5">
        <v>65.600000000000009</v>
      </c>
      <c r="P82" s="5">
        <v>4117.2226340499146</v>
      </c>
      <c r="Q82" s="5">
        <v>53.90304026294168</v>
      </c>
    </row>
    <row r="83" spans="1:17" x14ac:dyDescent="0.2">
      <c r="A83" s="4" t="s">
        <v>26</v>
      </c>
      <c r="B83" s="15">
        <v>2014</v>
      </c>
      <c r="C83" s="15" t="s">
        <v>26</v>
      </c>
      <c r="D83" s="15">
        <v>2</v>
      </c>
      <c r="E83" s="16">
        <v>2</v>
      </c>
      <c r="F83" s="16">
        <v>1</v>
      </c>
      <c r="G83" s="6" t="str">
        <f t="shared" si="1"/>
        <v>21</v>
      </c>
      <c r="H83" s="5" t="s">
        <v>97</v>
      </c>
      <c r="I83" s="5">
        <v>213.4</v>
      </c>
      <c r="J83" s="5">
        <v>13393.52606869286</v>
      </c>
      <c r="K83" s="5" t="s">
        <v>97</v>
      </c>
      <c r="L83" s="5">
        <v>134.80000000000001</v>
      </c>
      <c r="M83" s="5">
        <v>8460.390412651348</v>
      </c>
      <c r="N83" s="5" t="s">
        <v>97</v>
      </c>
      <c r="O83" s="5">
        <v>78.599999999999994</v>
      </c>
      <c r="P83" s="5">
        <v>4933.1356560415115</v>
      </c>
      <c r="Q83" s="5">
        <v>58.308605341246277</v>
      </c>
    </row>
    <row r="84" spans="1:17" x14ac:dyDescent="0.2">
      <c r="A84" s="4" t="s">
        <v>26</v>
      </c>
      <c r="B84" s="15">
        <v>2014</v>
      </c>
      <c r="C84" s="15" t="s">
        <v>26</v>
      </c>
      <c r="D84" s="15">
        <v>3</v>
      </c>
      <c r="E84" s="16">
        <v>2</v>
      </c>
      <c r="F84" s="16">
        <v>1</v>
      </c>
      <c r="G84" s="6" t="str">
        <f t="shared" si="1"/>
        <v>21</v>
      </c>
      <c r="H84" s="5" t="s">
        <v>97</v>
      </c>
      <c r="I84" s="5">
        <v>174.5</v>
      </c>
      <c r="J84" s="5">
        <v>10952.063256733383</v>
      </c>
      <c r="K84" s="5" t="s">
        <v>97</v>
      </c>
      <c r="L84" s="5">
        <v>128.80000000000001</v>
      </c>
      <c r="M84" s="5">
        <v>8083.815171732148</v>
      </c>
      <c r="N84" s="5" t="s">
        <v>97</v>
      </c>
      <c r="O84" s="5">
        <v>45.699999999999989</v>
      </c>
      <c r="P84" s="5">
        <v>2868.2480850012353</v>
      </c>
      <c r="Q84" s="5">
        <v>35.481366459627324</v>
      </c>
    </row>
    <row r="85" spans="1:17" x14ac:dyDescent="0.2">
      <c r="A85" s="4" t="s">
        <v>26</v>
      </c>
      <c r="B85" s="15">
        <v>2014</v>
      </c>
      <c r="C85" s="15" t="s">
        <v>26</v>
      </c>
      <c r="D85" s="15">
        <v>4</v>
      </c>
      <c r="E85" s="16">
        <v>2</v>
      </c>
      <c r="F85" s="16">
        <v>1</v>
      </c>
      <c r="G85" s="6" t="str">
        <f t="shared" si="1"/>
        <v>21</v>
      </c>
      <c r="H85" s="5" t="s">
        <v>97</v>
      </c>
      <c r="I85" s="5">
        <v>177.5</v>
      </c>
      <c r="J85" s="5">
        <v>11140.350877192983</v>
      </c>
      <c r="K85" s="5" t="s">
        <v>97</v>
      </c>
      <c r="L85" s="5">
        <v>215.7</v>
      </c>
      <c r="M85" s="5">
        <v>13537.879911045218</v>
      </c>
      <c r="N85" s="5" t="s">
        <v>97</v>
      </c>
      <c r="O85" s="5">
        <v>-38.199999999999989</v>
      </c>
      <c r="P85" s="5">
        <v>-2397.5290338522354</v>
      </c>
      <c r="Q85" s="5">
        <v>-17.709782104775147</v>
      </c>
    </row>
    <row r="86" spans="1:17" x14ac:dyDescent="0.2">
      <c r="A86" s="4" t="s">
        <v>26</v>
      </c>
      <c r="B86" s="15">
        <v>2014</v>
      </c>
      <c r="C86" s="15" t="s">
        <v>26</v>
      </c>
      <c r="D86" s="15">
        <v>1</v>
      </c>
      <c r="E86" s="16">
        <v>3</v>
      </c>
      <c r="F86" s="16">
        <v>1</v>
      </c>
      <c r="G86" s="6" t="str">
        <f t="shared" si="1"/>
        <v>31</v>
      </c>
      <c r="H86" s="5" t="s">
        <v>97</v>
      </c>
      <c r="I86" s="5">
        <v>194.5</v>
      </c>
      <c r="J86" s="5">
        <v>12207.31405979738</v>
      </c>
      <c r="K86" s="5" t="s">
        <v>97</v>
      </c>
      <c r="L86" s="5">
        <v>121.7</v>
      </c>
      <c r="M86" s="5">
        <v>7638.2011366444276</v>
      </c>
      <c r="N86" s="5" t="s">
        <v>97</v>
      </c>
      <c r="O86" s="5">
        <v>72.8</v>
      </c>
      <c r="P86" s="5">
        <v>4569.1129231529521</v>
      </c>
      <c r="Q86" s="5">
        <v>59.819227608874272</v>
      </c>
    </row>
    <row r="87" spans="1:17" x14ac:dyDescent="0.2">
      <c r="A87" s="4" t="s">
        <v>26</v>
      </c>
      <c r="B87" s="15">
        <v>2014</v>
      </c>
      <c r="C87" s="15" t="s">
        <v>26</v>
      </c>
      <c r="D87" s="15">
        <v>2</v>
      </c>
      <c r="E87" s="16">
        <v>3</v>
      </c>
      <c r="F87" s="16">
        <v>1</v>
      </c>
      <c r="G87" s="6" t="str">
        <f t="shared" si="1"/>
        <v>31</v>
      </c>
      <c r="H87" s="5" t="s">
        <v>97</v>
      </c>
      <c r="I87" s="5">
        <v>210.2</v>
      </c>
      <c r="J87" s="5">
        <v>13192.685940202618</v>
      </c>
      <c r="K87" s="5" t="s">
        <v>97</v>
      </c>
      <c r="L87" s="5">
        <v>134.80000000000001</v>
      </c>
      <c r="M87" s="5">
        <v>8460.390412651348</v>
      </c>
      <c r="N87" s="5" t="s">
        <v>97</v>
      </c>
      <c r="O87" s="5">
        <v>75.399999999999977</v>
      </c>
      <c r="P87" s="5">
        <v>4732.2955275512704</v>
      </c>
      <c r="Q87" s="5">
        <v>55.934718100890166</v>
      </c>
    </row>
    <row r="88" spans="1:17" x14ac:dyDescent="0.2">
      <c r="A88" s="4" t="s">
        <v>26</v>
      </c>
      <c r="B88" s="15">
        <v>2014</v>
      </c>
      <c r="C88" s="15" t="s">
        <v>26</v>
      </c>
      <c r="D88" s="15">
        <v>3</v>
      </c>
      <c r="E88" s="16">
        <v>3</v>
      </c>
      <c r="F88" s="16">
        <v>1</v>
      </c>
      <c r="G88" s="6" t="str">
        <f t="shared" si="1"/>
        <v>31</v>
      </c>
      <c r="H88" s="5" t="s">
        <v>97</v>
      </c>
      <c r="I88" s="5">
        <v>160</v>
      </c>
      <c r="J88" s="5">
        <v>10042.006424511985</v>
      </c>
      <c r="K88" s="5" t="s">
        <v>97</v>
      </c>
      <c r="L88" s="5">
        <v>128.80000000000001</v>
      </c>
      <c r="M88" s="5">
        <v>8083.815171732148</v>
      </c>
      <c r="N88" s="5" t="s">
        <v>97</v>
      </c>
      <c r="O88" s="5">
        <v>31.199999999999989</v>
      </c>
      <c r="P88" s="5">
        <v>1958.1912527798368</v>
      </c>
      <c r="Q88" s="5">
        <v>24.223602484472046</v>
      </c>
    </row>
    <row r="89" spans="1:17" x14ac:dyDescent="0.2">
      <c r="A89" s="4" t="s">
        <v>26</v>
      </c>
      <c r="B89" s="15">
        <v>2014</v>
      </c>
      <c r="C89" s="15" t="s">
        <v>26</v>
      </c>
      <c r="D89" s="15">
        <v>4</v>
      </c>
      <c r="E89" s="16">
        <v>3</v>
      </c>
      <c r="F89" s="16">
        <v>1</v>
      </c>
      <c r="G89" s="6" t="str">
        <f t="shared" si="1"/>
        <v>31</v>
      </c>
      <c r="H89" s="5" t="s">
        <v>97</v>
      </c>
      <c r="I89" s="5">
        <v>180</v>
      </c>
      <c r="J89" s="5">
        <v>11297.257227575981</v>
      </c>
      <c r="K89" s="5" t="s">
        <v>97</v>
      </c>
      <c r="L89" s="5">
        <v>215.7</v>
      </c>
      <c r="M89" s="5">
        <v>13537.879911045218</v>
      </c>
      <c r="N89" s="5" t="s">
        <v>97</v>
      </c>
      <c r="O89" s="5">
        <v>-35.699999999999989</v>
      </c>
      <c r="P89" s="5">
        <v>-2240.622683469237</v>
      </c>
      <c r="Q89" s="5">
        <v>-16.550764951321284</v>
      </c>
    </row>
    <row r="90" spans="1:17" x14ac:dyDescent="0.2">
      <c r="A90" s="4" t="s">
        <v>26</v>
      </c>
      <c r="B90" s="15">
        <v>2014</v>
      </c>
      <c r="C90" s="15" t="s">
        <v>26</v>
      </c>
      <c r="D90" s="15">
        <v>1</v>
      </c>
      <c r="E90" s="16">
        <v>4</v>
      </c>
      <c r="F90" s="16">
        <v>1</v>
      </c>
      <c r="G90" s="6" t="str">
        <f t="shared" si="1"/>
        <v>41</v>
      </c>
      <c r="H90" s="5" t="s">
        <v>97</v>
      </c>
      <c r="I90" s="5">
        <v>170.5</v>
      </c>
      <c r="J90" s="5">
        <v>10701.013096120583</v>
      </c>
      <c r="K90" s="5" t="s">
        <v>97</v>
      </c>
      <c r="L90" s="5">
        <v>121.7</v>
      </c>
      <c r="M90" s="5">
        <v>7638.2011366444276</v>
      </c>
      <c r="N90" s="5" t="s">
        <v>97</v>
      </c>
      <c r="O90" s="5">
        <v>48.8</v>
      </c>
      <c r="P90" s="5">
        <v>3062.8119594761556</v>
      </c>
      <c r="Q90" s="5">
        <v>40.098603122432216</v>
      </c>
    </row>
    <row r="91" spans="1:17" x14ac:dyDescent="0.2">
      <c r="A91" s="4" t="s">
        <v>26</v>
      </c>
      <c r="B91" s="15">
        <v>2014</v>
      </c>
      <c r="C91" s="15" t="s">
        <v>26</v>
      </c>
      <c r="D91" s="15">
        <v>2</v>
      </c>
      <c r="E91" s="16">
        <v>4</v>
      </c>
      <c r="F91" s="16">
        <v>1</v>
      </c>
      <c r="G91" s="6" t="str">
        <f t="shared" si="1"/>
        <v>41</v>
      </c>
      <c r="H91" s="5" t="s">
        <v>97</v>
      </c>
      <c r="I91" s="5">
        <v>192.5</v>
      </c>
      <c r="J91" s="5">
        <v>12081.788979490981</v>
      </c>
      <c r="K91" s="5" t="s">
        <v>97</v>
      </c>
      <c r="L91" s="5">
        <v>134.80000000000001</v>
      </c>
      <c r="M91" s="5">
        <v>8460.390412651348</v>
      </c>
      <c r="N91" s="5" t="s">
        <v>97</v>
      </c>
      <c r="O91" s="5">
        <v>57.699999999999989</v>
      </c>
      <c r="P91" s="5">
        <v>3621.3985668396326</v>
      </c>
      <c r="Q91" s="5">
        <v>42.804154302670597</v>
      </c>
    </row>
    <row r="92" spans="1:17" x14ac:dyDescent="0.2">
      <c r="A92" s="4" t="s">
        <v>26</v>
      </c>
      <c r="B92" s="15">
        <v>2014</v>
      </c>
      <c r="C92" s="15" t="s">
        <v>26</v>
      </c>
      <c r="D92" s="15">
        <v>3</v>
      </c>
      <c r="E92" s="16">
        <v>4</v>
      </c>
      <c r="F92" s="16">
        <v>1</v>
      </c>
      <c r="G92" s="6" t="str">
        <f t="shared" si="1"/>
        <v>41</v>
      </c>
      <c r="H92" s="5" t="s">
        <v>97</v>
      </c>
      <c r="I92" s="5">
        <v>149.4</v>
      </c>
      <c r="J92" s="5">
        <v>9376.7234988880646</v>
      </c>
      <c r="K92" s="5" t="s">
        <v>97</v>
      </c>
      <c r="L92" s="5">
        <v>128.80000000000001</v>
      </c>
      <c r="M92" s="5">
        <v>8083.815171732148</v>
      </c>
      <c r="N92" s="5" t="s">
        <v>97</v>
      </c>
      <c r="O92" s="5">
        <v>20.599999999999994</v>
      </c>
      <c r="P92" s="5">
        <v>1292.9083271559166</v>
      </c>
      <c r="Q92" s="5">
        <v>15.993788819875759</v>
      </c>
    </row>
    <row r="93" spans="1:17" x14ac:dyDescent="0.2">
      <c r="A93" s="4" t="s">
        <v>26</v>
      </c>
      <c r="B93" s="15">
        <v>2014</v>
      </c>
      <c r="C93" s="15" t="s">
        <v>26</v>
      </c>
      <c r="D93" s="15">
        <v>4</v>
      </c>
      <c r="E93" s="16">
        <v>4</v>
      </c>
      <c r="F93" s="16">
        <v>1</v>
      </c>
      <c r="G93" s="6" t="str">
        <f t="shared" si="1"/>
        <v>41</v>
      </c>
      <c r="H93" s="5" t="s">
        <v>97</v>
      </c>
      <c r="I93" s="5">
        <v>187.4</v>
      </c>
      <c r="J93" s="5">
        <v>11761.700024709662</v>
      </c>
      <c r="K93" s="5" t="s">
        <v>97</v>
      </c>
      <c r="L93" s="5">
        <v>215.7</v>
      </c>
      <c r="M93" s="5">
        <v>13537.879911045218</v>
      </c>
      <c r="N93" s="5" t="s">
        <v>97</v>
      </c>
      <c r="O93" s="5">
        <v>-28.299999999999983</v>
      </c>
      <c r="P93" s="5">
        <v>-1776.1798863355561</v>
      </c>
      <c r="Q93" s="5">
        <v>-13.120074177097813</v>
      </c>
    </row>
    <row r="94" spans="1:17" x14ac:dyDescent="0.2">
      <c r="A94" s="4" t="s">
        <v>26</v>
      </c>
      <c r="B94" s="15">
        <v>2014</v>
      </c>
      <c r="C94" s="15" t="s">
        <v>26</v>
      </c>
      <c r="D94" s="15">
        <v>1</v>
      </c>
      <c r="E94" s="16">
        <v>5</v>
      </c>
      <c r="F94" s="16">
        <v>1</v>
      </c>
      <c r="G94" s="6" t="str">
        <f t="shared" si="1"/>
        <v>51</v>
      </c>
      <c r="H94" s="5" t="s">
        <v>97</v>
      </c>
      <c r="I94" s="5">
        <v>175.2</v>
      </c>
      <c r="J94" s="5">
        <v>10995.997034840622</v>
      </c>
      <c r="K94" s="5" t="s">
        <v>97</v>
      </c>
      <c r="L94" s="5">
        <v>121.7</v>
      </c>
      <c r="M94" s="5">
        <v>7638.2011366444276</v>
      </c>
      <c r="N94" s="5" t="s">
        <v>97</v>
      </c>
      <c r="O94" s="5">
        <v>53.499999999999986</v>
      </c>
      <c r="P94" s="5">
        <v>3357.7958981961947</v>
      </c>
      <c r="Q94" s="5">
        <v>43.960558751027115</v>
      </c>
    </row>
    <row r="95" spans="1:17" x14ac:dyDescent="0.2">
      <c r="A95" s="4" t="s">
        <v>26</v>
      </c>
      <c r="B95" s="15">
        <v>2014</v>
      </c>
      <c r="C95" s="15" t="s">
        <v>26</v>
      </c>
      <c r="D95" s="15">
        <v>2</v>
      </c>
      <c r="E95" s="16">
        <v>5</v>
      </c>
      <c r="F95" s="16">
        <v>1</v>
      </c>
      <c r="G95" s="6" t="str">
        <f t="shared" si="1"/>
        <v>51</v>
      </c>
      <c r="H95" s="5" t="s">
        <v>97</v>
      </c>
      <c r="I95" s="5">
        <v>162.9</v>
      </c>
      <c r="J95" s="5">
        <v>10224.017790956264</v>
      </c>
      <c r="K95" s="5" t="s">
        <v>97</v>
      </c>
      <c r="L95" s="5">
        <v>134.80000000000001</v>
      </c>
      <c r="M95" s="5">
        <v>8460.390412651348</v>
      </c>
      <c r="N95" s="5" t="s">
        <v>97</v>
      </c>
      <c r="O95" s="5">
        <v>28.099999999999994</v>
      </c>
      <c r="P95" s="5">
        <v>1763.6273783049164</v>
      </c>
      <c r="Q95" s="5">
        <v>20.84569732937684</v>
      </c>
    </row>
    <row r="96" spans="1:17" x14ac:dyDescent="0.2">
      <c r="A96" s="4" t="s">
        <v>26</v>
      </c>
      <c r="B96" s="15">
        <v>2014</v>
      </c>
      <c r="C96" s="15" t="s">
        <v>26</v>
      </c>
      <c r="D96" s="15">
        <v>3</v>
      </c>
      <c r="E96" s="16">
        <v>5</v>
      </c>
      <c r="F96" s="16">
        <v>1</v>
      </c>
      <c r="G96" s="6" t="str">
        <f t="shared" si="1"/>
        <v>51</v>
      </c>
      <c r="H96" s="5" t="s">
        <v>97</v>
      </c>
      <c r="I96" s="5">
        <v>142.30000000000001</v>
      </c>
      <c r="J96" s="5">
        <v>8931.1094638003469</v>
      </c>
      <c r="K96" s="5" t="s">
        <v>97</v>
      </c>
      <c r="L96" s="5">
        <v>128.80000000000001</v>
      </c>
      <c r="M96" s="5">
        <v>8083.815171732148</v>
      </c>
      <c r="N96" s="5" t="s">
        <v>97</v>
      </c>
      <c r="O96" s="5">
        <v>13.5</v>
      </c>
      <c r="P96" s="5">
        <v>847.29429206819896</v>
      </c>
      <c r="Q96" s="5">
        <v>10.481366459627333</v>
      </c>
    </row>
    <row r="97" spans="1:17" x14ac:dyDescent="0.2">
      <c r="A97" s="4" t="s">
        <v>26</v>
      </c>
      <c r="B97" s="15">
        <v>2014</v>
      </c>
      <c r="C97" s="15" t="s">
        <v>26</v>
      </c>
      <c r="D97" s="15">
        <v>4</v>
      </c>
      <c r="E97" s="16">
        <v>5</v>
      </c>
      <c r="F97" s="16">
        <v>1</v>
      </c>
      <c r="G97" s="6" t="str">
        <f t="shared" si="1"/>
        <v>51</v>
      </c>
      <c r="H97" s="5" t="s">
        <v>97</v>
      </c>
      <c r="I97" s="5">
        <v>177.5</v>
      </c>
      <c r="J97" s="5">
        <v>11140.350877192983</v>
      </c>
      <c r="K97" s="5" t="s">
        <v>97</v>
      </c>
      <c r="L97" s="5">
        <v>215.7</v>
      </c>
      <c r="M97" s="5">
        <v>13537.879911045218</v>
      </c>
      <c r="N97" s="5" t="s">
        <v>97</v>
      </c>
      <c r="O97" s="5">
        <v>-38.199999999999989</v>
      </c>
      <c r="P97" s="5">
        <v>-2397.5290338522354</v>
      </c>
      <c r="Q97" s="5">
        <v>-17.709782104775147</v>
      </c>
    </row>
    <row r="98" spans="1:17" x14ac:dyDescent="0.2">
      <c r="A98" s="4" t="s">
        <v>26</v>
      </c>
      <c r="B98" s="15">
        <v>2014</v>
      </c>
      <c r="C98" s="15" t="s">
        <v>26</v>
      </c>
      <c r="D98" s="15">
        <v>1</v>
      </c>
      <c r="E98" s="16">
        <v>6</v>
      </c>
      <c r="F98" s="16">
        <v>1</v>
      </c>
      <c r="G98" s="6" t="str">
        <f t="shared" si="1"/>
        <v>61</v>
      </c>
      <c r="H98" s="5" t="s">
        <v>97</v>
      </c>
      <c r="I98" s="5">
        <v>177.4</v>
      </c>
      <c r="J98" s="5">
        <v>11134.074623177663</v>
      </c>
      <c r="K98" s="5" t="s">
        <v>97</v>
      </c>
      <c r="L98" s="5">
        <v>121.7</v>
      </c>
      <c r="M98" s="5">
        <v>7638.2011366444276</v>
      </c>
      <c r="N98" s="5" t="s">
        <v>97</v>
      </c>
      <c r="O98" s="5">
        <v>55.7</v>
      </c>
      <c r="P98" s="5">
        <v>3495.8734865332353</v>
      </c>
      <c r="Q98" s="5">
        <v>45.768282662284321</v>
      </c>
    </row>
    <row r="99" spans="1:17" x14ac:dyDescent="0.2">
      <c r="A99" s="4" t="s">
        <v>26</v>
      </c>
      <c r="B99" s="15">
        <v>2014</v>
      </c>
      <c r="C99" s="15" t="s">
        <v>26</v>
      </c>
      <c r="D99" s="15">
        <v>2</v>
      </c>
      <c r="E99" s="16">
        <v>6</v>
      </c>
      <c r="F99" s="16">
        <v>1</v>
      </c>
      <c r="G99" s="6" t="str">
        <f t="shared" si="1"/>
        <v>61</v>
      </c>
      <c r="H99" s="5" t="s">
        <v>97</v>
      </c>
      <c r="I99" s="5">
        <v>186.2</v>
      </c>
      <c r="J99" s="5">
        <v>11686.38497652582</v>
      </c>
      <c r="K99" s="5" t="s">
        <v>97</v>
      </c>
      <c r="L99" s="5">
        <v>134.80000000000001</v>
      </c>
      <c r="M99" s="5">
        <v>8460.390412651348</v>
      </c>
      <c r="N99" s="5" t="s">
        <v>97</v>
      </c>
      <c r="O99" s="5">
        <v>51.399999999999977</v>
      </c>
      <c r="P99" s="5">
        <v>3225.9945638744721</v>
      </c>
      <c r="Q99" s="5">
        <v>38.130563798219548</v>
      </c>
    </row>
    <row r="100" spans="1:17" x14ac:dyDescent="0.2">
      <c r="A100" s="4" t="s">
        <v>26</v>
      </c>
      <c r="B100" s="15">
        <v>2014</v>
      </c>
      <c r="C100" s="15" t="s">
        <v>26</v>
      </c>
      <c r="D100" s="15">
        <v>3</v>
      </c>
      <c r="E100" s="16">
        <v>6</v>
      </c>
      <c r="F100" s="16">
        <v>1</v>
      </c>
      <c r="G100" s="6" t="str">
        <f t="shared" si="1"/>
        <v>61</v>
      </c>
      <c r="H100" s="5" t="s">
        <v>97</v>
      </c>
      <c r="I100" s="5">
        <v>173.3</v>
      </c>
      <c r="J100" s="5">
        <v>10876.748208549543</v>
      </c>
      <c r="K100" s="5" t="s">
        <v>97</v>
      </c>
      <c r="L100" s="5">
        <v>128.80000000000001</v>
      </c>
      <c r="M100" s="5">
        <v>8083.815171732148</v>
      </c>
      <c r="N100" s="5" t="s">
        <v>97</v>
      </c>
      <c r="O100" s="5">
        <v>44.5</v>
      </c>
      <c r="P100" s="5">
        <v>2792.9330368173951</v>
      </c>
      <c r="Q100" s="5">
        <v>34.549689440993781</v>
      </c>
    </row>
    <row r="101" spans="1:17" x14ac:dyDescent="0.2">
      <c r="A101" s="4" t="s">
        <v>26</v>
      </c>
      <c r="B101" s="15">
        <v>2014</v>
      </c>
      <c r="C101" s="15" t="s">
        <v>26</v>
      </c>
      <c r="D101" s="15">
        <v>4</v>
      </c>
      <c r="E101" s="16">
        <v>6</v>
      </c>
      <c r="F101" s="16">
        <v>1</v>
      </c>
      <c r="G101" s="6" t="str">
        <f t="shared" si="1"/>
        <v>61</v>
      </c>
      <c r="H101" s="5" t="s">
        <v>97</v>
      </c>
      <c r="I101" s="5">
        <v>205.7</v>
      </c>
      <c r="J101" s="5">
        <v>12910.254509513219</v>
      </c>
      <c r="K101" s="5" t="s">
        <v>97</v>
      </c>
      <c r="L101" s="5">
        <v>215.7</v>
      </c>
      <c r="M101" s="5">
        <v>13537.879911045218</v>
      </c>
      <c r="N101" s="5" t="s">
        <v>97</v>
      </c>
      <c r="O101" s="5">
        <v>-10</v>
      </c>
      <c r="P101" s="5">
        <v>-627.62540153199916</v>
      </c>
      <c r="Q101" s="5">
        <v>-4.6360686138154854</v>
      </c>
    </row>
    <row r="102" spans="1:17" x14ac:dyDescent="0.2">
      <c r="A102" s="4" t="s">
        <v>26</v>
      </c>
      <c r="B102" s="15">
        <v>2014</v>
      </c>
      <c r="C102" s="15" t="s">
        <v>26</v>
      </c>
      <c r="D102" s="15">
        <v>1</v>
      </c>
      <c r="E102" s="16">
        <v>7</v>
      </c>
      <c r="F102" s="15">
        <v>2</v>
      </c>
      <c r="G102" s="6" t="str">
        <f t="shared" si="1"/>
        <v>72</v>
      </c>
      <c r="H102" s="5" t="s">
        <v>97</v>
      </c>
      <c r="I102" s="5">
        <v>228.6</v>
      </c>
      <c r="J102" s="5">
        <v>14347.516679021497</v>
      </c>
      <c r="K102" s="5" t="s">
        <v>97</v>
      </c>
      <c r="L102" s="5">
        <v>121.7</v>
      </c>
      <c r="M102" s="5">
        <v>7638.2011366444276</v>
      </c>
      <c r="N102" s="5" t="s">
        <v>97</v>
      </c>
      <c r="O102" s="5">
        <v>106.89999999999999</v>
      </c>
      <c r="P102" s="5">
        <v>6709.3155423770695</v>
      </c>
      <c r="Q102" s="5">
        <v>87.838948233360725</v>
      </c>
    </row>
    <row r="103" spans="1:17" x14ac:dyDescent="0.2">
      <c r="A103" s="4" t="s">
        <v>26</v>
      </c>
      <c r="B103" s="15">
        <v>2014</v>
      </c>
      <c r="C103" s="15" t="s">
        <v>26</v>
      </c>
      <c r="D103" s="15">
        <v>2</v>
      </c>
      <c r="E103" s="16">
        <v>7</v>
      </c>
      <c r="F103" s="15">
        <v>2</v>
      </c>
      <c r="G103" s="6" t="str">
        <f t="shared" si="1"/>
        <v>72</v>
      </c>
      <c r="H103" s="5" t="s">
        <v>97</v>
      </c>
      <c r="I103" s="5">
        <v>200.8</v>
      </c>
      <c r="J103" s="5">
        <v>12602.71806276254</v>
      </c>
      <c r="K103" s="5" t="s">
        <v>97</v>
      </c>
      <c r="L103" s="5">
        <v>134.80000000000001</v>
      </c>
      <c r="M103" s="5">
        <v>8460.390412651348</v>
      </c>
      <c r="N103" s="5" t="s">
        <v>97</v>
      </c>
      <c r="O103" s="5">
        <v>66</v>
      </c>
      <c r="P103" s="5">
        <v>4142.3276501111923</v>
      </c>
      <c r="Q103" s="5">
        <v>48.961424332344187</v>
      </c>
    </row>
    <row r="104" spans="1:17" x14ac:dyDescent="0.2">
      <c r="A104" s="4" t="s">
        <v>26</v>
      </c>
      <c r="B104" s="15">
        <v>2014</v>
      </c>
      <c r="C104" s="15" t="s">
        <v>26</v>
      </c>
      <c r="D104" s="15">
        <v>3</v>
      </c>
      <c r="E104" s="16">
        <v>7</v>
      </c>
      <c r="F104" s="15">
        <v>2</v>
      </c>
      <c r="G104" s="6" t="str">
        <f t="shared" si="1"/>
        <v>72</v>
      </c>
      <c r="H104" s="5" t="s">
        <v>97</v>
      </c>
      <c r="I104" s="5">
        <v>243.7</v>
      </c>
      <c r="J104" s="5">
        <v>15295.231035334815</v>
      </c>
      <c r="K104" s="5" t="s">
        <v>97</v>
      </c>
      <c r="L104" s="5">
        <v>128.80000000000001</v>
      </c>
      <c r="M104" s="5">
        <v>8083.815171732148</v>
      </c>
      <c r="N104" s="5" t="s">
        <v>97</v>
      </c>
      <c r="O104" s="5">
        <v>114.89999999999998</v>
      </c>
      <c r="P104" s="5">
        <v>7211.4158636026668</v>
      </c>
      <c r="Q104" s="5">
        <v>89.208074534161469</v>
      </c>
    </row>
    <row r="105" spans="1:17" x14ac:dyDescent="0.2">
      <c r="A105" s="4" t="s">
        <v>26</v>
      </c>
      <c r="B105" s="15">
        <v>2014</v>
      </c>
      <c r="C105" s="15" t="s">
        <v>26</v>
      </c>
      <c r="D105" s="15">
        <v>4</v>
      </c>
      <c r="E105" s="16">
        <v>7</v>
      </c>
      <c r="F105" s="15">
        <v>2</v>
      </c>
      <c r="G105" s="6" t="str">
        <f t="shared" si="1"/>
        <v>72</v>
      </c>
      <c r="H105" s="5" t="s">
        <v>97</v>
      </c>
      <c r="I105" s="5">
        <v>206.5</v>
      </c>
      <c r="J105" s="5">
        <v>12960.46454163578</v>
      </c>
      <c r="K105" s="5" t="s">
        <v>97</v>
      </c>
      <c r="L105" s="5">
        <v>215.7</v>
      </c>
      <c r="M105" s="5">
        <v>13537.879911045218</v>
      </c>
      <c r="N105" s="5" t="s">
        <v>97</v>
      </c>
      <c r="O105" s="5">
        <v>-9.1999999999999886</v>
      </c>
      <c r="P105" s="5">
        <v>-577.41536940943843</v>
      </c>
      <c r="Q105" s="5">
        <v>-4.2651831247102407</v>
      </c>
    </row>
    <row r="106" spans="1:17" x14ac:dyDescent="0.2">
      <c r="A106" s="4" t="s">
        <v>26</v>
      </c>
      <c r="B106" s="15">
        <v>2014</v>
      </c>
      <c r="C106" s="15" t="s">
        <v>26</v>
      </c>
      <c r="D106" s="15">
        <v>1</v>
      </c>
      <c r="E106" s="16">
        <v>8</v>
      </c>
      <c r="F106" s="15">
        <v>2</v>
      </c>
      <c r="G106" s="6" t="str">
        <f t="shared" si="1"/>
        <v>82</v>
      </c>
      <c r="H106" s="5" t="s">
        <v>97</v>
      </c>
      <c r="I106" s="5">
        <v>182.8</v>
      </c>
      <c r="J106" s="5">
        <v>11472.992340004943</v>
      </c>
      <c r="K106" s="5" t="s">
        <v>97</v>
      </c>
      <c r="L106" s="5">
        <v>121.7</v>
      </c>
      <c r="M106" s="5">
        <v>7638.2011366444276</v>
      </c>
      <c r="N106" s="5" t="s">
        <v>97</v>
      </c>
      <c r="O106" s="5">
        <v>61.100000000000009</v>
      </c>
      <c r="P106" s="5">
        <v>3834.7912033605153</v>
      </c>
      <c r="Q106" s="5">
        <v>50.205423171733784</v>
      </c>
    </row>
    <row r="107" spans="1:17" x14ac:dyDescent="0.2">
      <c r="A107" s="4" t="s">
        <v>26</v>
      </c>
      <c r="B107" s="15">
        <v>2014</v>
      </c>
      <c r="C107" s="15" t="s">
        <v>26</v>
      </c>
      <c r="D107" s="15">
        <v>2</v>
      </c>
      <c r="E107" s="16">
        <v>8</v>
      </c>
      <c r="F107" s="15">
        <v>2</v>
      </c>
      <c r="G107" s="6" t="str">
        <f t="shared" si="1"/>
        <v>82</v>
      </c>
      <c r="H107" s="5" t="s">
        <v>97</v>
      </c>
      <c r="I107" s="5">
        <v>158</v>
      </c>
      <c r="J107" s="5">
        <v>9916.4813442055838</v>
      </c>
      <c r="K107" s="5" t="s">
        <v>97</v>
      </c>
      <c r="L107" s="5">
        <v>134.80000000000001</v>
      </c>
      <c r="M107" s="5">
        <v>8460.390412651348</v>
      </c>
      <c r="N107" s="5" t="s">
        <v>97</v>
      </c>
      <c r="O107" s="5">
        <v>23.199999999999989</v>
      </c>
      <c r="P107" s="5">
        <v>1456.0909315542358</v>
      </c>
      <c r="Q107" s="5">
        <v>17.210682492581579</v>
      </c>
    </row>
    <row r="108" spans="1:17" x14ac:dyDescent="0.2">
      <c r="A108" s="4" t="s">
        <v>26</v>
      </c>
      <c r="B108" s="15">
        <v>2014</v>
      </c>
      <c r="C108" s="15" t="s">
        <v>26</v>
      </c>
      <c r="D108" s="15">
        <v>3</v>
      </c>
      <c r="E108" s="16">
        <v>8</v>
      </c>
      <c r="F108" s="15">
        <v>2</v>
      </c>
      <c r="G108" s="6" t="str">
        <f t="shared" si="1"/>
        <v>82</v>
      </c>
      <c r="H108" s="5" t="s">
        <v>97</v>
      </c>
      <c r="I108" s="5">
        <v>159.9</v>
      </c>
      <c r="J108" s="5">
        <v>10035.730170496665</v>
      </c>
      <c r="K108" s="5" t="s">
        <v>97</v>
      </c>
      <c r="L108" s="5">
        <v>128.80000000000001</v>
      </c>
      <c r="M108" s="5">
        <v>8083.815171732148</v>
      </c>
      <c r="N108" s="5" t="s">
        <v>97</v>
      </c>
      <c r="O108" s="5">
        <v>31.099999999999994</v>
      </c>
      <c r="P108" s="5">
        <v>1951.9149987645169</v>
      </c>
      <c r="Q108" s="5">
        <v>24.145962732919251</v>
      </c>
    </row>
    <row r="109" spans="1:17" x14ac:dyDescent="0.2">
      <c r="A109" s="4" t="s">
        <v>26</v>
      </c>
      <c r="B109" s="15">
        <v>2014</v>
      </c>
      <c r="C109" s="15" t="s">
        <v>26</v>
      </c>
      <c r="D109" s="15">
        <v>4</v>
      </c>
      <c r="E109" s="16">
        <v>8</v>
      </c>
      <c r="F109" s="15">
        <v>2</v>
      </c>
      <c r="G109" s="6" t="str">
        <f t="shared" si="1"/>
        <v>82</v>
      </c>
      <c r="H109" s="5" t="s">
        <v>97</v>
      </c>
      <c r="I109" s="5">
        <v>218.6</v>
      </c>
      <c r="J109" s="5">
        <v>13719.891277489498</v>
      </c>
      <c r="K109" s="5" t="s">
        <v>97</v>
      </c>
      <c r="L109" s="5">
        <v>215.7</v>
      </c>
      <c r="M109" s="5">
        <v>13537.879911045218</v>
      </c>
      <c r="N109" s="5" t="s">
        <v>97</v>
      </c>
      <c r="O109" s="5">
        <v>2.9000000000000057</v>
      </c>
      <c r="P109" s="5">
        <v>182.0113664442797</v>
      </c>
      <c r="Q109" s="5">
        <v>1.3444598980064904</v>
      </c>
    </row>
    <row r="110" spans="1:17" x14ac:dyDescent="0.2">
      <c r="A110" s="4" t="s">
        <v>26</v>
      </c>
      <c r="B110" s="15">
        <v>2014</v>
      </c>
      <c r="C110" s="15" t="s">
        <v>26</v>
      </c>
      <c r="D110" s="15">
        <v>1</v>
      </c>
      <c r="E110" s="16">
        <v>9</v>
      </c>
      <c r="F110" s="15">
        <v>2</v>
      </c>
      <c r="G110" s="6" t="str">
        <f t="shared" si="1"/>
        <v>92</v>
      </c>
      <c r="H110" s="5" t="s">
        <v>97</v>
      </c>
      <c r="I110" s="5">
        <v>227.1</v>
      </c>
      <c r="J110" s="5">
        <v>14253.372868791697</v>
      </c>
      <c r="K110" s="5" t="s">
        <v>97</v>
      </c>
      <c r="L110" s="5">
        <v>121.7</v>
      </c>
      <c r="M110" s="5">
        <v>7638.2011366444276</v>
      </c>
      <c r="N110" s="5" t="s">
        <v>97</v>
      </c>
      <c r="O110" s="5">
        <v>105.39999999999999</v>
      </c>
      <c r="P110" s="5">
        <v>6615.1717321472697</v>
      </c>
      <c r="Q110" s="5">
        <v>86.606409202958105</v>
      </c>
    </row>
    <row r="111" spans="1:17" x14ac:dyDescent="0.2">
      <c r="A111" s="4" t="s">
        <v>26</v>
      </c>
      <c r="B111" s="15">
        <v>2014</v>
      </c>
      <c r="C111" s="15" t="s">
        <v>26</v>
      </c>
      <c r="D111" s="15">
        <v>2</v>
      </c>
      <c r="E111" s="16">
        <v>9</v>
      </c>
      <c r="F111" s="15">
        <v>2</v>
      </c>
      <c r="G111" s="6" t="str">
        <f t="shared" si="1"/>
        <v>92</v>
      </c>
      <c r="H111" s="5" t="s">
        <v>97</v>
      </c>
      <c r="I111" s="5">
        <v>153.4</v>
      </c>
      <c r="J111" s="5">
        <v>9627.7736595008646</v>
      </c>
      <c r="K111" s="5" t="s">
        <v>97</v>
      </c>
      <c r="L111" s="5">
        <v>134.80000000000001</v>
      </c>
      <c r="M111" s="5">
        <v>8460.390412651348</v>
      </c>
      <c r="N111" s="5" t="s">
        <v>97</v>
      </c>
      <c r="O111" s="5">
        <v>18.599999999999994</v>
      </c>
      <c r="P111" s="5">
        <v>1167.3832468495166</v>
      </c>
      <c r="Q111" s="5">
        <v>13.798219584569713</v>
      </c>
    </row>
    <row r="112" spans="1:17" x14ac:dyDescent="0.2">
      <c r="A112" s="4" t="s">
        <v>26</v>
      </c>
      <c r="B112" s="15">
        <v>2014</v>
      </c>
      <c r="C112" s="15" t="s">
        <v>26</v>
      </c>
      <c r="D112" s="15">
        <v>3</v>
      </c>
      <c r="E112" s="16">
        <v>9</v>
      </c>
      <c r="F112" s="15">
        <v>2</v>
      </c>
      <c r="G112" s="6" t="str">
        <f t="shared" si="1"/>
        <v>92</v>
      </c>
      <c r="H112" s="5" t="s">
        <v>97</v>
      </c>
      <c r="I112" s="5">
        <v>216.4</v>
      </c>
      <c r="J112" s="5">
        <v>13581.813689152459</v>
      </c>
      <c r="K112" s="5" t="s">
        <v>97</v>
      </c>
      <c r="L112" s="5">
        <v>128.80000000000001</v>
      </c>
      <c r="M112" s="5">
        <v>8083.815171732148</v>
      </c>
      <c r="N112" s="5" t="s">
        <v>97</v>
      </c>
      <c r="O112" s="5">
        <v>87.6</v>
      </c>
      <c r="P112" s="5">
        <v>5497.9985174203111</v>
      </c>
      <c r="Q112" s="5">
        <v>68.012422360248436</v>
      </c>
    </row>
    <row r="113" spans="1:17" x14ac:dyDescent="0.2">
      <c r="A113" s="4" t="s">
        <v>26</v>
      </c>
      <c r="B113" s="15">
        <v>2014</v>
      </c>
      <c r="C113" s="15" t="s">
        <v>26</v>
      </c>
      <c r="D113" s="15">
        <v>4</v>
      </c>
      <c r="E113" s="16">
        <v>9</v>
      </c>
      <c r="F113" s="15">
        <v>2</v>
      </c>
      <c r="G113" s="6" t="str">
        <f t="shared" si="1"/>
        <v>92</v>
      </c>
      <c r="H113" s="5" t="s">
        <v>97</v>
      </c>
      <c r="I113" s="5">
        <v>208.1</v>
      </c>
      <c r="J113" s="5">
        <v>13060.884605880899</v>
      </c>
      <c r="K113" s="5" t="s">
        <v>97</v>
      </c>
      <c r="L113" s="5">
        <v>215.7</v>
      </c>
      <c r="M113" s="5">
        <v>13537.879911045218</v>
      </c>
      <c r="N113" s="5" t="s">
        <v>97</v>
      </c>
      <c r="O113" s="5">
        <v>-7.5999999999999943</v>
      </c>
      <c r="P113" s="5">
        <v>-476.99530516431878</v>
      </c>
      <c r="Q113" s="5">
        <v>-3.5234121464997652</v>
      </c>
    </row>
    <row r="114" spans="1:17" x14ac:dyDescent="0.2">
      <c r="A114" s="4" t="s">
        <v>26</v>
      </c>
      <c r="B114" s="15">
        <v>2014</v>
      </c>
      <c r="C114" s="15" t="s">
        <v>26</v>
      </c>
      <c r="D114" s="15">
        <v>1</v>
      </c>
      <c r="E114" s="16">
        <v>10</v>
      </c>
      <c r="F114" s="15">
        <v>2</v>
      </c>
      <c r="G114" s="6" t="str">
        <f t="shared" si="1"/>
        <v>102</v>
      </c>
      <c r="H114" s="5" t="s">
        <v>97</v>
      </c>
      <c r="I114" s="5" t="s">
        <v>97</v>
      </c>
      <c r="J114" s="5">
        <v>0</v>
      </c>
      <c r="K114" s="5" t="s">
        <v>97</v>
      </c>
      <c r="L114" s="5">
        <v>121.7</v>
      </c>
      <c r="M114" s="5">
        <v>7638.2011366444276</v>
      </c>
      <c r="N114" s="5" t="s">
        <v>97</v>
      </c>
      <c r="O114" s="5">
        <v>-121.7</v>
      </c>
      <c r="P114" s="5">
        <v>-7638.2011366444276</v>
      </c>
      <c r="Q114" s="5">
        <v>-100</v>
      </c>
    </row>
    <row r="115" spans="1:17" x14ac:dyDescent="0.2">
      <c r="A115" s="4" t="s">
        <v>26</v>
      </c>
      <c r="B115" s="15">
        <v>2014</v>
      </c>
      <c r="C115" s="15" t="s">
        <v>26</v>
      </c>
      <c r="D115" s="15">
        <v>2</v>
      </c>
      <c r="E115" s="16">
        <v>10</v>
      </c>
      <c r="F115" s="15">
        <v>2</v>
      </c>
      <c r="G115" s="6" t="str">
        <f t="shared" si="1"/>
        <v>102</v>
      </c>
      <c r="H115" s="5" t="s">
        <v>97</v>
      </c>
      <c r="I115" s="5">
        <v>193.6</v>
      </c>
      <c r="J115" s="5">
        <v>12150.827773659501</v>
      </c>
      <c r="K115" s="5" t="s">
        <v>97</v>
      </c>
      <c r="L115" s="5">
        <v>134.80000000000001</v>
      </c>
      <c r="M115" s="5">
        <v>8460.390412651348</v>
      </c>
      <c r="N115" s="5" t="s">
        <v>97</v>
      </c>
      <c r="O115" s="5">
        <v>58.799999999999983</v>
      </c>
      <c r="P115" s="5">
        <v>3690.4373610081529</v>
      </c>
      <c r="Q115" s="5">
        <v>43.620178041543006</v>
      </c>
    </row>
    <row r="116" spans="1:17" x14ac:dyDescent="0.2">
      <c r="A116" s="4" t="s">
        <v>26</v>
      </c>
      <c r="B116" s="15">
        <v>2014</v>
      </c>
      <c r="C116" s="15" t="s">
        <v>26</v>
      </c>
      <c r="D116" s="15">
        <v>3</v>
      </c>
      <c r="E116" s="16">
        <v>10</v>
      </c>
      <c r="F116" s="15">
        <v>2</v>
      </c>
      <c r="G116" s="6" t="str">
        <f t="shared" si="1"/>
        <v>102</v>
      </c>
      <c r="H116" s="5" t="s">
        <v>97</v>
      </c>
      <c r="I116" s="5">
        <v>145.19999999999999</v>
      </c>
      <c r="J116" s="5">
        <v>9113.1208302446248</v>
      </c>
      <c r="K116" s="5" t="s">
        <v>97</v>
      </c>
      <c r="L116" s="5">
        <v>128.80000000000001</v>
      </c>
      <c r="M116" s="5">
        <v>8083.815171732148</v>
      </c>
      <c r="N116" s="5" t="s">
        <v>97</v>
      </c>
      <c r="O116" s="5">
        <v>16.399999999999977</v>
      </c>
      <c r="P116" s="5">
        <v>1029.3056585124768</v>
      </c>
      <c r="Q116" s="5">
        <v>12.732919254658364</v>
      </c>
    </row>
    <row r="117" spans="1:17" x14ac:dyDescent="0.2">
      <c r="A117" s="4" t="s">
        <v>26</v>
      </c>
      <c r="B117" s="15">
        <v>2014</v>
      </c>
      <c r="C117" s="15" t="s">
        <v>26</v>
      </c>
      <c r="D117" s="15">
        <v>4</v>
      </c>
      <c r="E117" s="16">
        <v>10</v>
      </c>
      <c r="F117" s="15">
        <v>2</v>
      </c>
      <c r="G117" s="6" t="str">
        <f t="shared" si="1"/>
        <v>102</v>
      </c>
      <c r="H117" s="5" t="s">
        <v>97</v>
      </c>
      <c r="I117" s="5">
        <v>230</v>
      </c>
      <c r="J117" s="5">
        <v>14435.384235235977</v>
      </c>
      <c r="K117" s="5" t="s">
        <v>97</v>
      </c>
      <c r="L117" s="5">
        <v>215.7</v>
      </c>
      <c r="M117" s="5">
        <v>13537.879911045218</v>
      </c>
      <c r="N117" s="5" t="s">
        <v>97</v>
      </c>
      <c r="O117" s="5">
        <v>14.300000000000011</v>
      </c>
      <c r="P117" s="5">
        <v>897.50432419075878</v>
      </c>
      <c r="Q117" s="5">
        <v>6.6295781177561448</v>
      </c>
    </row>
    <row r="118" spans="1:17" x14ac:dyDescent="0.2">
      <c r="A118" s="4" t="s">
        <v>26</v>
      </c>
      <c r="B118" s="15">
        <v>2014</v>
      </c>
      <c r="C118" s="15" t="s">
        <v>26</v>
      </c>
      <c r="D118" s="15">
        <v>1</v>
      </c>
      <c r="E118" s="16">
        <v>11</v>
      </c>
      <c r="F118" s="15">
        <v>2</v>
      </c>
      <c r="G118" s="6" t="str">
        <f t="shared" si="1"/>
        <v>112</v>
      </c>
      <c r="H118" s="5" t="s">
        <v>97</v>
      </c>
      <c r="I118" s="5">
        <v>208</v>
      </c>
      <c r="J118" s="5">
        <v>13054.60835186558</v>
      </c>
      <c r="K118" s="5" t="s">
        <v>97</v>
      </c>
      <c r="L118" s="5">
        <v>121.7</v>
      </c>
      <c r="M118" s="5">
        <v>7638.2011366444276</v>
      </c>
      <c r="N118" s="5" t="s">
        <v>97</v>
      </c>
      <c r="O118" s="5">
        <v>86.3</v>
      </c>
      <c r="P118" s="5">
        <v>5416.407215221152</v>
      </c>
      <c r="Q118" s="5">
        <v>70.912078882497951</v>
      </c>
    </row>
    <row r="119" spans="1:17" x14ac:dyDescent="0.2">
      <c r="A119" s="4" t="s">
        <v>26</v>
      </c>
      <c r="B119" s="15">
        <v>2014</v>
      </c>
      <c r="C119" s="15" t="s">
        <v>26</v>
      </c>
      <c r="D119" s="15">
        <v>2</v>
      </c>
      <c r="E119" s="16">
        <v>11</v>
      </c>
      <c r="F119" s="15">
        <v>2</v>
      </c>
      <c r="G119" s="6" t="str">
        <f t="shared" si="1"/>
        <v>112</v>
      </c>
      <c r="H119" s="5" t="s">
        <v>97</v>
      </c>
      <c r="I119" s="5">
        <v>166.6</v>
      </c>
      <c r="J119" s="5">
        <v>10456.239189523103</v>
      </c>
      <c r="K119" s="5" t="s">
        <v>97</v>
      </c>
      <c r="L119" s="5">
        <v>134.80000000000001</v>
      </c>
      <c r="M119" s="5">
        <v>8460.390412651348</v>
      </c>
      <c r="N119" s="5" t="s">
        <v>97</v>
      </c>
      <c r="O119" s="5">
        <v>31.799999999999983</v>
      </c>
      <c r="P119" s="5">
        <v>1995.848776871755</v>
      </c>
      <c r="Q119" s="5">
        <v>23.590504451038548</v>
      </c>
    </row>
    <row r="120" spans="1:17" x14ac:dyDescent="0.2">
      <c r="A120" s="4" t="s">
        <v>26</v>
      </c>
      <c r="B120" s="15">
        <v>2014</v>
      </c>
      <c r="C120" s="15" t="s">
        <v>26</v>
      </c>
      <c r="D120" s="15">
        <v>3</v>
      </c>
      <c r="E120" s="16">
        <v>11</v>
      </c>
      <c r="F120" s="15">
        <v>2</v>
      </c>
      <c r="G120" s="6" t="str">
        <f t="shared" si="1"/>
        <v>112</v>
      </c>
      <c r="H120" s="5" t="s">
        <v>97</v>
      </c>
      <c r="I120" s="5">
        <v>168.2</v>
      </c>
      <c r="J120" s="5">
        <v>10556.659253768223</v>
      </c>
      <c r="K120" s="5" t="s">
        <v>97</v>
      </c>
      <c r="L120" s="5">
        <v>128.80000000000001</v>
      </c>
      <c r="M120" s="5">
        <v>8083.815171732148</v>
      </c>
      <c r="N120" s="5" t="s">
        <v>97</v>
      </c>
      <c r="O120" s="5">
        <v>39.399999999999977</v>
      </c>
      <c r="P120" s="5">
        <v>2472.8440820360747</v>
      </c>
      <c r="Q120" s="5">
        <v>30.590062111801224</v>
      </c>
    </row>
    <row r="121" spans="1:17" x14ac:dyDescent="0.2">
      <c r="A121" s="4" t="s">
        <v>26</v>
      </c>
      <c r="B121" s="15">
        <v>2014</v>
      </c>
      <c r="C121" s="15" t="s">
        <v>26</v>
      </c>
      <c r="D121" s="15">
        <v>4</v>
      </c>
      <c r="E121" s="16">
        <v>11</v>
      </c>
      <c r="F121" s="15">
        <v>2</v>
      </c>
      <c r="G121" s="6" t="str">
        <f t="shared" si="1"/>
        <v>112</v>
      </c>
      <c r="H121" s="5" t="s">
        <v>97</v>
      </c>
      <c r="I121" s="5">
        <v>182.3</v>
      </c>
      <c r="J121" s="5">
        <v>11441.611069928342</v>
      </c>
      <c r="K121" s="5" t="s">
        <v>97</v>
      </c>
      <c r="L121" s="5">
        <v>215.7</v>
      </c>
      <c r="M121" s="5">
        <v>13537.879911045218</v>
      </c>
      <c r="N121" s="5" t="s">
        <v>97</v>
      </c>
      <c r="O121" s="5">
        <v>-33.399999999999977</v>
      </c>
      <c r="P121" s="5">
        <v>-2096.2688411168765</v>
      </c>
      <c r="Q121" s="5">
        <v>-15.484469170143717</v>
      </c>
    </row>
    <row r="122" spans="1:17" x14ac:dyDescent="0.2">
      <c r="A122" s="4" t="s">
        <v>26</v>
      </c>
      <c r="B122" s="15">
        <v>2014</v>
      </c>
      <c r="C122" s="15" t="s">
        <v>26</v>
      </c>
      <c r="D122" s="15">
        <v>1</v>
      </c>
      <c r="E122" s="16">
        <v>12</v>
      </c>
      <c r="F122" s="15">
        <v>2</v>
      </c>
      <c r="G122" s="6" t="str">
        <f t="shared" si="1"/>
        <v>122</v>
      </c>
      <c r="H122" s="5" t="s">
        <v>97</v>
      </c>
      <c r="I122" s="5" t="s">
        <v>97</v>
      </c>
      <c r="J122" s="5">
        <v>0</v>
      </c>
      <c r="K122" s="5" t="s">
        <v>97</v>
      </c>
      <c r="L122" s="5">
        <v>121.7</v>
      </c>
      <c r="M122" s="5">
        <v>7638.2011366444276</v>
      </c>
      <c r="N122" s="5" t="s">
        <v>97</v>
      </c>
      <c r="O122" s="5">
        <v>-121.7</v>
      </c>
      <c r="P122" s="5">
        <v>-7638.2011366444276</v>
      </c>
      <c r="Q122" s="5">
        <v>-100</v>
      </c>
    </row>
    <row r="123" spans="1:17" x14ac:dyDescent="0.2">
      <c r="A123" s="4" t="s">
        <v>26</v>
      </c>
      <c r="B123" s="15">
        <v>2014</v>
      </c>
      <c r="C123" s="15" t="s">
        <v>26</v>
      </c>
      <c r="D123" s="15">
        <v>2</v>
      </c>
      <c r="E123" s="16">
        <v>12</v>
      </c>
      <c r="F123" s="15">
        <v>2</v>
      </c>
      <c r="G123" s="6" t="str">
        <f t="shared" si="1"/>
        <v>122</v>
      </c>
      <c r="H123" s="5" t="s">
        <v>97</v>
      </c>
      <c r="I123" s="5">
        <v>217</v>
      </c>
      <c r="J123" s="5">
        <v>13619.471213244378</v>
      </c>
      <c r="K123" s="5" t="s">
        <v>97</v>
      </c>
      <c r="L123" s="5">
        <v>134.80000000000001</v>
      </c>
      <c r="M123" s="5">
        <v>8460.390412651348</v>
      </c>
      <c r="N123" s="5" t="s">
        <v>97</v>
      </c>
      <c r="O123" s="5">
        <v>82.199999999999989</v>
      </c>
      <c r="P123" s="5">
        <v>5159.0808005930303</v>
      </c>
      <c r="Q123" s="5">
        <v>60.979228486646853</v>
      </c>
    </row>
    <row r="124" spans="1:17" x14ac:dyDescent="0.2">
      <c r="A124" s="4" t="s">
        <v>26</v>
      </c>
      <c r="B124" s="15">
        <v>2014</v>
      </c>
      <c r="C124" s="15" t="s">
        <v>26</v>
      </c>
      <c r="D124" s="15">
        <v>3</v>
      </c>
      <c r="E124" s="16">
        <v>12</v>
      </c>
      <c r="F124" s="15">
        <v>2</v>
      </c>
      <c r="G124" s="6" t="str">
        <f t="shared" si="1"/>
        <v>122</v>
      </c>
      <c r="H124" s="5" t="s">
        <v>97</v>
      </c>
      <c r="I124" s="5">
        <v>191</v>
      </c>
      <c r="J124" s="5">
        <v>11987.645169261181</v>
      </c>
      <c r="K124" s="5" t="s">
        <v>97</v>
      </c>
      <c r="L124" s="5">
        <v>128.80000000000001</v>
      </c>
      <c r="M124" s="5">
        <v>8083.815171732148</v>
      </c>
      <c r="N124" s="5" t="s">
        <v>97</v>
      </c>
      <c r="O124" s="5">
        <v>62.199999999999989</v>
      </c>
      <c r="P124" s="5">
        <v>3903.8299975290329</v>
      </c>
      <c r="Q124" s="5">
        <v>48.291925465838489</v>
      </c>
    </row>
    <row r="125" spans="1:17" x14ac:dyDescent="0.2">
      <c r="A125" s="4" t="s">
        <v>26</v>
      </c>
      <c r="B125" s="15">
        <v>2014</v>
      </c>
      <c r="C125" s="15" t="s">
        <v>26</v>
      </c>
      <c r="D125" s="15">
        <v>4</v>
      </c>
      <c r="E125" s="16">
        <v>12</v>
      </c>
      <c r="F125" s="15">
        <v>2</v>
      </c>
      <c r="G125" s="6" t="str">
        <f t="shared" si="1"/>
        <v>122</v>
      </c>
      <c r="H125" s="5" t="s">
        <v>97</v>
      </c>
      <c r="I125" s="5">
        <v>157.80000000000001</v>
      </c>
      <c r="J125" s="5">
        <v>9903.9288361749441</v>
      </c>
      <c r="K125" s="5" t="s">
        <v>97</v>
      </c>
      <c r="L125" s="5">
        <v>215.7</v>
      </c>
      <c r="M125" s="5">
        <v>13537.879911045218</v>
      </c>
      <c r="N125" s="5" t="s">
        <v>97</v>
      </c>
      <c r="O125" s="5">
        <v>-57.899999999999977</v>
      </c>
      <c r="P125" s="5">
        <v>-3633.9510748702742</v>
      </c>
      <c r="Q125" s="5">
        <v>-26.842837273991655</v>
      </c>
    </row>
    <row r="126" spans="1:17" x14ac:dyDescent="0.2">
      <c r="A126" s="4" t="s">
        <v>26</v>
      </c>
      <c r="B126" s="15">
        <v>2014</v>
      </c>
      <c r="C126" s="15" t="s">
        <v>26</v>
      </c>
      <c r="D126" s="15">
        <v>1</v>
      </c>
      <c r="E126" s="16">
        <v>13</v>
      </c>
      <c r="F126" s="15">
        <v>2</v>
      </c>
      <c r="G126" s="6" t="str">
        <f t="shared" si="1"/>
        <v>132</v>
      </c>
      <c r="H126" s="5" t="s">
        <v>97</v>
      </c>
      <c r="I126" s="5">
        <v>132.9</v>
      </c>
      <c r="J126" s="5">
        <v>8341.141586360267</v>
      </c>
      <c r="K126" s="5" t="s">
        <v>97</v>
      </c>
      <c r="L126" s="5">
        <v>121.7</v>
      </c>
      <c r="M126" s="5">
        <v>7638.2011366444276</v>
      </c>
      <c r="N126" s="5" t="s">
        <v>97</v>
      </c>
      <c r="O126" s="5">
        <v>11.200000000000003</v>
      </c>
      <c r="P126" s="5">
        <v>702.94044971583935</v>
      </c>
      <c r="Q126" s="5">
        <v>9.2029580936729722</v>
      </c>
    </row>
    <row r="127" spans="1:17" x14ac:dyDescent="0.2">
      <c r="A127" s="4" t="s">
        <v>26</v>
      </c>
      <c r="B127" s="15">
        <v>2014</v>
      </c>
      <c r="C127" s="15" t="s">
        <v>26</v>
      </c>
      <c r="D127" s="15">
        <v>2</v>
      </c>
      <c r="E127" s="16">
        <v>13</v>
      </c>
      <c r="F127" s="15">
        <v>2</v>
      </c>
      <c r="G127" s="6" t="str">
        <f t="shared" si="1"/>
        <v>132</v>
      </c>
      <c r="H127" s="5" t="s">
        <v>97</v>
      </c>
      <c r="I127" s="5">
        <v>153.4</v>
      </c>
      <c r="J127" s="5">
        <v>9627.7736595008646</v>
      </c>
      <c r="K127" s="5" t="s">
        <v>97</v>
      </c>
      <c r="L127" s="5">
        <v>134.80000000000001</v>
      </c>
      <c r="M127" s="5">
        <v>8460.390412651348</v>
      </c>
      <c r="N127" s="5" t="s">
        <v>97</v>
      </c>
      <c r="O127" s="5">
        <v>18.599999999999994</v>
      </c>
      <c r="P127" s="5">
        <v>1167.3832468495166</v>
      </c>
      <c r="Q127" s="5">
        <v>13.798219584569713</v>
      </c>
    </row>
    <row r="128" spans="1:17" x14ac:dyDescent="0.2">
      <c r="A128" s="4" t="s">
        <v>26</v>
      </c>
      <c r="B128" s="15">
        <v>2014</v>
      </c>
      <c r="C128" s="15" t="s">
        <v>26</v>
      </c>
      <c r="D128" s="15">
        <v>3</v>
      </c>
      <c r="E128" s="16">
        <v>13</v>
      </c>
      <c r="F128" s="15">
        <v>2</v>
      </c>
      <c r="G128" s="6" t="str">
        <f t="shared" si="1"/>
        <v>132</v>
      </c>
      <c r="H128" s="5" t="s">
        <v>97</v>
      </c>
      <c r="I128" s="5">
        <v>157.69999999999999</v>
      </c>
      <c r="J128" s="5">
        <v>9897.6525821596242</v>
      </c>
      <c r="K128" s="5" t="s">
        <v>97</v>
      </c>
      <c r="L128" s="5">
        <v>128.80000000000001</v>
      </c>
      <c r="M128" s="5">
        <v>8083.815171732148</v>
      </c>
      <c r="N128" s="5" t="s">
        <v>97</v>
      </c>
      <c r="O128" s="5">
        <v>28.899999999999977</v>
      </c>
      <c r="P128" s="5">
        <v>1813.8374104274762</v>
      </c>
      <c r="Q128" s="5">
        <v>22.437888198757751</v>
      </c>
    </row>
    <row r="129" spans="1:17" x14ac:dyDescent="0.2">
      <c r="A129" s="4" t="s">
        <v>26</v>
      </c>
      <c r="B129" s="15">
        <v>2014</v>
      </c>
      <c r="C129" s="15" t="s">
        <v>26</v>
      </c>
      <c r="D129" s="15">
        <v>4</v>
      </c>
      <c r="E129" s="16">
        <v>13</v>
      </c>
      <c r="F129" s="15">
        <v>2</v>
      </c>
      <c r="G129" s="6" t="str">
        <f t="shared" si="1"/>
        <v>132</v>
      </c>
      <c r="H129" s="5" t="s">
        <v>97</v>
      </c>
      <c r="I129" s="5">
        <v>167.9</v>
      </c>
      <c r="J129" s="5">
        <v>10537.830491722263</v>
      </c>
      <c r="K129" s="5" t="s">
        <v>97</v>
      </c>
      <c r="L129" s="5">
        <v>215.7</v>
      </c>
      <c r="M129" s="5">
        <v>13537.879911045218</v>
      </c>
      <c r="N129" s="5" t="s">
        <v>97</v>
      </c>
      <c r="O129" s="5">
        <v>-47.799999999999983</v>
      </c>
      <c r="P129" s="5">
        <v>-3000.0494193229551</v>
      </c>
      <c r="Q129" s="5">
        <v>-22.160407974038016</v>
      </c>
    </row>
    <row r="130" spans="1:17" x14ac:dyDescent="0.2">
      <c r="A130" s="4" t="s">
        <v>26</v>
      </c>
      <c r="B130" s="15">
        <v>2014</v>
      </c>
      <c r="C130" s="15" t="s">
        <v>26</v>
      </c>
      <c r="D130" s="15">
        <v>1</v>
      </c>
      <c r="E130" s="16">
        <v>14</v>
      </c>
      <c r="F130" s="15">
        <v>2</v>
      </c>
      <c r="G130" s="6" t="str">
        <f t="shared" ref="G130:G193" si="2">E130&amp;F130</f>
        <v>142</v>
      </c>
      <c r="H130" s="5" t="s">
        <v>97</v>
      </c>
      <c r="I130" s="5" t="s">
        <v>97</v>
      </c>
      <c r="J130" s="5">
        <v>0</v>
      </c>
      <c r="K130" s="5" t="s">
        <v>97</v>
      </c>
      <c r="L130" s="5">
        <v>121.7</v>
      </c>
      <c r="M130" s="5">
        <v>7638.2011366444276</v>
      </c>
      <c r="N130" s="5" t="s">
        <v>97</v>
      </c>
      <c r="O130" s="5">
        <v>-121.7</v>
      </c>
      <c r="P130" s="5">
        <v>-7638.2011366444276</v>
      </c>
      <c r="Q130" s="5">
        <v>-100</v>
      </c>
    </row>
    <row r="131" spans="1:17" x14ac:dyDescent="0.2">
      <c r="A131" s="4" t="s">
        <v>26</v>
      </c>
      <c r="B131" s="15">
        <v>2014</v>
      </c>
      <c r="C131" s="15" t="s">
        <v>26</v>
      </c>
      <c r="D131" s="15">
        <v>2</v>
      </c>
      <c r="E131" s="16">
        <v>14</v>
      </c>
      <c r="F131" s="15">
        <v>2</v>
      </c>
      <c r="G131" s="6" t="str">
        <f t="shared" si="2"/>
        <v>142</v>
      </c>
      <c r="H131" s="5" t="s">
        <v>97</v>
      </c>
      <c r="I131" s="5">
        <v>179</v>
      </c>
      <c r="J131" s="5">
        <v>11234.494687422783</v>
      </c>
      <c r="K131" s="5" t="s">
        <v>97</v>
      </c>
      <c r="L131" s="5">
        <v>134.80000000000001</v>
      </c>
      <c r="M131" s="5">
        <v>8460.390412651348</v>
      </c>
      <c r="N131" s="5" t="s">
        <v>97</v>
      </c>
      <c r="O131" s="5">
        <v>44.199999999999989</v>
      </c>
      <c r="P131" s="5">
        <v>2774.1042747714346</v>
      </c>
      <c r="Q131" s="5">
        <v>32.789317507418382</v>
      </c>
    </row>
    <row r="132" spans="1:17" x14ac:dyDescent="0.2">
      <c r="A132" s="4" t="s">
        <v>26</v>
      </c>
      <c r="B132" s="15">
        <v>2014</v>
      </c>
      <c r="C132" s="15" t="s">
        <v>26</v>
      </c>
      <c r="D132" s="15">
        <v>3</v>
      </c>
      <c r="E132" s="16">
        <v>14</v>
      </c>
      <c r="F132" s="15">
        <v>2</v>
      </c>
      <c r="G132" s="6" t="str">
        <f t="shared" si="2"/>
        <v>142</v>
      </c>
      <c r="H132" s="5" t="s">
        <v>97</v>
      </c>
      <c r="I132" s="5">
        <v>173.6</v>
      </c>
      <c r="J132" s="5">
        <v>10895.576970595503</v>
      </c>
      <c r="K132" s="5" t="s">
        <v>97</v>
      </c>
      <c r="L132" s="5">
        <v>128.80000000000001</v>
      </c>
      <c r="M132" s="5">
        <v>8083.815171732148</v>
      </c>
      <c r="N132" s="5" t="s">
        <v>97</v>
      </c>
      <c r="O132" s="5">
        <v>44.799999999999983</v>
      </c>
      <c r="P132" s="5">
        <v>2811.7617988633547</v>
      </c>
      <c r="Q132" s="5">
        <v>34.782608695652165</v>
      </c>
    </row>
    <row r="133" spans="1:17" x14ac:dyDescent="0.2">
      <c r="A133" s="4" t="s">
        <v>26</v>
      </c>
      <c r="B133" s="15">
        <v>2014</v>
      </c>
      <c r="C133" s="15" t="s">
        <v>26</v>
      </c>
      <c r="D133" s="15">
        <v>4</v>
      </c>
      <c r="E133" s="16">
        <v>14</v>
      </c>
      <c r="F133" s="15">
        <v>2</v>
      </c>
      <c r="G133" s="6" t="str">
        <f t="shared" si="2"/>
        <v>142</v>
      </c>
      <c r="H133" s="5" t="s">
        <v>97</v>
      </c>
      <c r="I133" s="5">
        <v>202.2</v>
      </c>
      <c r="J133" s="5">
        <v>12690.585618977018</v>
      </c>
      <c r="K133" s="5" t="s">
        <v>97</v>
      </c>
      <c r="L133" s="5">
        <v>215.7</v>
      </c>
      <c r="M133" s="5">
        <v>13537.879911045218</v>
      </c>
      <c r="N133" s="5" t="s">
        <v>97</v>
      </c>
      <c r="O133" s="5">
        <v>-13.5</v>
      </c>
      <c r="P133" s="5">
        <v>-847.29429206819987</v>
      </c>
      <c r="Q133" s="5">
        <v>-6.2586926286509135</v>
      </c>
    </row>
    <row r="134" spans="1:17" x14ac:dyDescent="0.2">
      <c r="A134" s="4" t="s">
        <v>26</v>
      </c>
      <c r="B134" s="15">
        <v>2014</v>
      </c>
      <c r="C134" s="15" t="s">
        <v>26</v>
      </c>
      <c r="D134" s="15">
        <v>1</v>
      </c>
      <c r="E134" s="15">
        <v>15</v>
      </c>
      <c r="F134" s="15">
        <v>3</v>
      </c>
      <c r="G134" s="6" t="str">
        <f t="shared" si="2"/>
        <v>153</v>
      </c>
      <c r="H134" s="5" t="s">
        <v>97</v>
      </c>
      <c r="I134" s="5" t="s">
        <v>97</v>
      </c>
      <c r="J134" s="5">
        <v>0</v>
      </c>
      <c r="K134" s="5" t="s">
        <v>97</v>
      </c>
      <c r="L134" s="5">
        <v>121.7</v>
      </c>
      <c r="M134" s="5">
        <v>7638.2011366444276</v>
      </c>
      <c r="N134" s="5" t="s">
        <v>97</v>
      </c>
      <c r="O134" s="5">
        <v>-121.7</v>
      </c>
      <c r="P134" s="5">
        <v>-7638.2011366444276</v>
      </c>
      <c r="Q134" s="5">
        <v>-100</v>
      </c>
    </row>
    <row r="135" spans="1:17" x14ac:dyDescent="0.2">
      <c r="A135" s="4" t="s">
        <v>26</v>
      </c>
      <c r="B135" s="15">
        <v>2014</v>
      </c>
      <c r="C135" s="15" t="s">
        <v>26</v>
      </c>
      <c r="D135" s="15">
        <v>2</v>
      </c>
      <c r="E135" s="15">
        <v>15</v>
      </c>
      <c r="F135" s="15">
        <v>3</v>
      </c>
      <c r="G135" s="6" t="str">
        <f t="shared" si="2"/>
        <v>153</v>
      </c>
      <c r="H135" s="5" t="s">
        <v>97</v>
      </c>
      <c r="I135" s="5">
        <v>167.9</v>
      </c>
      <c r="J135" s="5">
        <v>10537.830491722263</v>
      </c>
      <c r="K135" s="5" t="s">
        <v>97</v>
      </c>
      <c r="L135" s="5">
        <v>134.80000000000001</v>
      </c>
      <c r="M135" s="5">
        <v>8460.390412651348</v>
      </c>
      <c r="N135" s="5" t="s">
        <v>97</v>
      </c>
      <c r="O135" s="5">
        <v>33.099999999999994</v>
      </c>
      <c r="P135" s="5">
        <v>2077.4400790709151</v>
      </c>
      <c r="Q135" s="5">
        <v>24.554896142433211</v>
      </c>
    </row>
    <row r="136" spans="1:17" x14ac:dyDescent="0.2">
      <c r="A136" s="4" t="s">
        <v>26</v>
      </c>
      <c r="B136" s="15">
        <v>2014</v>
      </c>
      <c r="C136" s="15" t="s">
        <v>26</v>
      </c>
      <c r="D136" s="15">
        <v>3</v>
      </c>
      <c r="E136" s="15">
        <v>15</v>
      </c>
      <c r="F136" s="15">
        <v>3</v>
      </c>
      <c r="G136" s="6" t="str">
        <f t="shared" si="2"/>
        <v>153</v>
      </c>
      <c r="H136" s="5" t="s">
        <v>97</v>
      </c>
      <c r="I136" s="5">
        <v>166.3</v>
      </c>
      <c r="J136" s="5">
        <v>10437.410427477143</v>
      </c>
      <c r="K136" s="5" t="s">
        <v>97</v>
      </c>
      <c r="L136" s="5">
        <v>128.80000000000001</v>
      </c>
      <c r="M136" s="5">
        <v>8083.815171732148</v>
      </c>
      <c r="N136" s="5" t="s">
        <v>97</v>
      </c>
      <c r="O136" s="5">
        <v>37.5</v>
      </c>
      <c r="P136" s="5">
        <v>2353.5952557449955</v>
      </c>
      <c r="Q136" s="5">
        <v>29.114906832298125</v>
      </c>
    </row>
    <row r="137" spans="1:17" x14ac:dyDescent="0.2">
      <c r="A137" s="4" t="s">
        <v>26</v>
      </c>
      <c r="B137" s="15">
        <v>2014</v>
      </c>
      <c r="C137" s="15" t="s">
        <v>26</v>
      </c>
      <c r="D137" s="15">
        <v>4</v>
      </c>
      <c r="E137" s="15">
        <v>15</v>
      </c>
      <c r="F137" s="15">
        <v>3</v>
      </c>
      <c r="G137" s="6" t="str">
        <f t="shared" si="2"/>
        <v>153</v>
      </c>
      <c r="H137" s="5" t="s">
        <v>97</v>
      </c>
      <c r="I137" s="5">
        <v>188.3</v>
      </c>
      <c r="J137" s="5">
        <v>11818.186310847543</v>
      </c>
      <c r="K137" s="5" t="s">
        <v>97</v>
      </c>
      <c r="L137" s="5">
        <v>215.7</v>
      </c>
      <c r="M137" s="5">
        <v>13537.879911045218</v>
      </c>
      <c r="N137" s="5" t="s">
        <v>97</v>
      </c>
      <c r="O137" s="5">
        <v>-27.399999999999977</v>
      </c>
      <c r="P137" s="5">
        <v>-1719.6936001976756</v>
      </c>
      <c r="Q137" s="5">
        <v>-12.702828001854416</v>
      </c>
    </row>
    <row r="138" spans="1:17" x14ac:dyDescent="0.2">
      <c r="A138" s="4" t="s">
        <v>26</v>
      </c>
      <c r="B138" s="15">
        <v>2014</v>
      </c>
      <c r="C138" s="15" t="s">
        <v>26</v>
      </c>
      <c r="D138" s="15">
        <v>1</v>
      </c>
      <c r="E138" s="15">
        <v>16</v>
      </c>
      <c r="F138" s="15">
        <v>3</v>
      </c>
      <c r="G138" s="6" t="str">
        <f t="shared" si="2"/>
        <v>163</v>
      </c>
      <c r="H138" s="5" t="s">
        <v>97</v>
      </c>
      <c r="I138" s="5">
        <v>221.3</v>
      </c>
      <c r="J138" s="5">
        <v>13889.350135903138</v>
      </c>
      <c r="K138" s="5" t="s">
        <v>97</v>
      </c>
      <c r="L138" s="5">
        <v>121.7</v>
      </c>
      <c r="M138" s="5">
        <v>7638.2011366444276</v>
      </c>
      <c r="N138" s="5" t="s">
        <v>97</v>
      </c>
      <c r="O138" s="5">
        <v>99.600000000000009</v>
      </c>
      <c r="P138" s="5">
        <v>6251.1489992587103</v>
      </c>
      <c r="Q138" s="5">
        <v>81.840591618734607</v>
      </c>
    </row>
    <row r="139" spans="1:17" x14ac:dyDescent="0.2">
      <c r="A139" s="4" t="s">
        <v>26</v>
      </c>
      <c r="B139" s="15">
        <v>2014</v>
      </c>
      <c r="C139" s="15" t="s">
        <v>26</v>
      </c>
      <c r="D139" s="15">
        <v>2</v>
      </c>
      <c r="E139" s="15">
        <v>16</v>
      </c>
      <c r="F139" s="15">
        <v>3</v>
      </c>
      <c r="G139" s="6" t="str">
        <f t="shared" si="2"/>
        <v>163</v>
      </c>
      <c r="H139" s="5" t="s">
        <v>97</v>
      </c>
      <c r="I139" s="5">
        <v>160.6</v>
      </c>
      <c r="J139" s="5">
        <v>10079.663948603904</v>
      </c>
      <c r="K139" s="5" t="s">
        <v>97</v>
      </c>
      <c r="L139" s="5">
        <v>134.80000000000001</v>
      </c>
      <c r="M139" s="5">
        <v>8460.390412651348</v>
      </c>
      <c r="N139" s="5" t="s">
        <v>97</v>
      </c>
      <c r="O139" s="5">
        <v>25.799999999999983</v>
      </c>
      <c r="P139" s="5">
        <v>1619.2735359525559</v>
      </c>
      <c r="Q139" s="5">
        <v>19.139465875370899</v>
      </c>
    </row>
    <row r="140" spans="1:17" x14ac:dyDescent="0.2">
      <c r="A140" s="4" t="s">
        <v>26</v>
      </c>
      <c r="B140" s="15">
        <v>2014</v>
      </c>
      <c r="C140" s="15" t="s">
        <v>26</v>
      </c>
      <c r="D140" s="15">
        <v>3</v>
      </c>
      <c r="E140" s="15">
        <v>16</v>
      </c>
      <c r="F140" s="15">
        <v>3</v>
      </c>
      <c r="G140" s="6" t="str">
        <f t="shared" si="2"/>
        <v>163</v>
      </c>
      <c r="H140" s="5" t="s">
        <v>97</v>
      </c>
      <c r="I140" s="5">
        <v>196.5</v>
      </c>
      <c r="J140" s="5">
        <v>12332.839140103781</v>
      </c>
      <c r="K140" s="5" t="s">
        <v>97</v>
      </c>
      <c r="L140" s="5">
        <v>128.80000000000001</v>
      </c>
      <c r="M140" s="5">
        <v>8083.815171732148</v>
      </c>
      <c r="N140" s="5" t="s">
        <v>97</v>
      </c>
      <c r="O140" s="5">
        <v>67.699999999999989</v>
      </c>
      <c r="P140" s="5">
        <v>4249.0239683716327</v>
      </c>
      <c r="Q140" s="5">
        <v>52.562111801242231</v>
      </c>
    </row>
    <row r="141" spans="1:17" x14ac:dyDescent="0.2">
      <c r="A141" s="4" t="s">
        <v>26</v>
      </c>
      <c r="B141" s="15">
        <v>2014</v>
      </c>
      <c r="C141" s="15" t="s">
        <v>26</v>
      </c>
      <c r="D141" s="15">
        <v>4</v>
      </c>
      <c r="E141" s="15">
        <v>16</v>
      </c>
      <c r="F141" s="15">
        <v>3</v>
      </c>
      <c r="G141" s="6" t="str">
        <f t="shared" si="2"/>
        <v>163</v>
      </c>
      <c r="H141" s="5" t="s">
        <v>97</v>
      </c>
      <c r="I141" s="5">
        <v>192.4</v>
      </c>
      <c r="J141" s="5">
        <v>12075.512725475661</v>
      </c>
      <c r="K141" s="5" t="s">
        <v>97</v>
      </c>
      <c r="L141" s="5">
        <v>215.7</v>
      </c>
      <c r="M141" s="5">
        <v>13537.879911045218</v>
      </c>
      <c r="N141" s="5" t="s">
        <v>97</v>
      </c>
      <c r="O141" s="5">
        <v>-23.299999999999983</v>
      </c>
      <c r="P141" s="5">
        <v>-1462.3671855695575</v>
      </c>
      <c r="Q141" s="5">
        <v>-10.802039870190077</v>
      </c>
    </row>
    <row r="142" spans="1:17" x14ac:dyDescent="0.2">
      <c r="A142" s="4" t="s">
        <v>26</v>
      </c>
      <c r="B142" s="15">
        <v>2014</v>
      </c>
      <c r="C142" s="15" t="s">
        <v>26</v>
      </c>
      <c r="D142" s="15">
        <v>1</v>
      </c>
      <c r="E142" s="15">
        <v>17</v>
      </c>
      <c r="F142" s="15">
        <v>3</v>
      </c>
      <c r="G142" s="6" t="str">
        <f t="shared" si="2"/>
        <v>173</v>
      </c>
      <c r="H142" s="5" t="s">
        <v>97</v>
      </c>
      <c r="I142" s="5">
        <v>188.7</v>
      </c>
      <c r="J142" s="5">
        <v>11843.29132690882</v>
      </c>
      <c r="K142" s="5" t="s">
        <v>97</v>
      </c>
      <c r="L142" s="5">
        <v>121.7</v>
      </c>
      <c r="M142" s="5">
        <v>7638.2011366444276</v>
      </c>
      <c r="N142" s="5" t="s">
        <v>97</v>
      </c>
      <c r="O142" s="5">
        <v>66.999999999999986</v>
      </c>
      <c r="P142" s="5">
        <v>4205.0901902643927</v>
      </c>
      <c r="Q142" s="5">
        <v>55.053410024650773</v>
      </c>
    </row>
    <row r="143" spans="1:17" x14ac:dyDescent="0.2">
      <c r="A143" s="4" t="s">
        <v>26</v>
      </c>
      <c r="B143" s="15">
        <v>2014</v>
      </c>
      <c r="C143" s="15" t="s">
        <v>26</v>
      </c>
      <c r="D143" s="15">
        <v>2</v>
      </c>
      <c r="E143" s="15">
        <v>17</v>
      </c>
      <c r="F143" s="15">
        <v>3</v>
      </c>
      <c r="G143" s="6" t="str">
        <f t="shared" si="2"/>
        <v>173</v>
      </c>
      <c r="H143" s="5" t="s">
        <v>97</v>
      </c>
      <c r="I143" s="5">
        <v>196</v>
      </c>
      <c r="J143" s="5">
        <v>12301.457870027181</v>
      </c>
      <c r="K143" s="5" t="s">
        <v>97</v>
      </c>
      <c r="L143" s="5">
        <v>134.80000000000001</v>
      </c>
      <c r="M143" s="5">
        <v>8460.390412651348</v>
      </c>
      <c r="N143" s="5" t="s">
        <v>97</v>
      </c>
      <c r="O143" s="5">
        <v>61.199999999999989</v>
      </c>
      <c r="P143" s="5">
        <v>3841.0674573758333</v>
      </c>
      <c r="Q143" s="5">
        <v>45.400593471810076</v>
      </c>
    </row>
    <row r="144" spans="1:17" x14ac:dyDescent="0.2">
      <c r="A144" s="4" t="s">
        <v>26</v>
      </c>
      <c r="B144" s="15">
        <v>2014</v>
      </c>
      <c r="C144" s="15" t="s">
        <v>26</v>
      </c>
      <c r="D144" s="15">
        <v>3</v>
      </c>
      <c r="E144" s="15">
        <v>17</v>
      </c>
      <c r="F144" s="15">
        <v>3</v>
      </c>
      <c r="G144" s="6" t="str">
        <f t="shared" si="2"/>
        <v>173</v>
      </c>
      <c r="H144" s="5" t="s">
        <v>97</v>
      </c>
      <c r="I144" s="5">
        <v>213.1</v>
      </c>
      <c r="J144" s="5">
        <v>13374.697306646898</v>
      </c>
      <c r="K144" s="5" t="s">
        <v>97</v>
      </c>
      <c r="L144" s="5">
        <v>128.80000000000001</v>
      </c>
      <c r="M144" s="5">
        <v>8083.815171732148</v>
      </c>
      <c r="N144" s="5" t="s">
        <v>97</v>
      </c>
      <c r="O144" s="5">
        <v>84.299999999999983</v>
      </c>
      <c r="P144" s="5">
        <v>5290.8821349147502</v>
      </c>
      <c r="Q144" s="5">
        <v>65.450310559006184</v>
      </c>
    </row>
    <row r="145" spans="1:17" x14ac:dyDescent="0.2">
      <c r="A145" s="4" t="s">
        <v>26</v>
      </c>
      <c r="B145" s="15">
        <v>2014</v>
      </c>
      <c r="C145" s="15" t="s">
        <v>26</v>
      </c>
      <c r="D145" s="15">
        <v>4</v>
      </c>
      <c r="E145" s="15">
        <v>17</v>
      </c>
      <c r="F145" s="15">
        <v>3</v>
      </c>
      <c r="G145" s="6" t="str">
        <f t="shared" si="2"/>
        <v>173</v>
      </c>
      <c r="H145" s="5" t="s">
        <v>97</v>
      </c>
      <c r="I145" s="5">
        <v>236.7</v>
      </c>
      <c r="J145" s="5">
        <v>14855.893254262415</v>
      </c>
      <c r="K145" s="5" t="s">
        <v>97</v>
      </c>
      <c r="L145" s="5">
        <v>215.7</v>
      </c>
      <c r="M145" s="5">
        <v>13537.879911045218</v>
      </c>
      <c r="N145" s="5" t="s">
        <v>97</v>
      </c>
      <c r="O145" s="5">
        <v>21</v>
      </c>
      <c r="P145" s="5">
        <v>1318.013343217197</v>
      </c>
      <c r="Q145" s="5">
        <v>9.7357440890125098</v>
      </c>
    </row>
    <row r="146" spans="1:17" x14ac:dyDescent="0.2">
      <c r="A146" s="4" t="s">
        <v>26</v>
      </c>
      <c r="B146" s="15">
        <v>2014</v>
      </c>
      <c r="C146" s="15" t="s">
        <v>26</v>
      </c>
      <c r="D146" s="15">
        <v>1</v>
      </c>
      <c r="E146" s="15">
        <v>18</v>
      </c>
      <c r="F146" s="15">
        <v>3</v>
      </c>
      <c r="G146" s="6" t="str">
        <f t="shared" si="2"/>
        <v>183</v>
      </c>
      <c r="H146" s="5" t="s">
        <v>97</v>
      </c>
      <c r="I146" s="5" t="s">
        <v>97</v>
      </c>
      <c r="J146" s="5">
        <v>0</v>
      </c>
      <c r="K146" s="5" t="s">
        <v>97</v>
      </c>
      <c r="L146" s="5">
        <v>121.7</v>
      </c>
      <c r="M146" s="5">
        <v>7638.2011366444276</v>
      </c>
      <c r="N146" s="5" t="s">
        <v>97</v>
      </c>
      <c r="O146" s="5">
        <v>-121.7</v>
      </c>
      <c r="P146" s="5">
        <v>-7638.2011366444276</v>
      </c>
      <c r="Q146" s="5">
        <v>-100</v>
      </c>
    </row>
    <row r="147" spans="1:17" x14ac:dyDescent="0.2">
      <c r="A147" s="4" t="s">
        <v>26</v>
      </c>
      <c r="B147" s="15">
        <v>2014</v>
      </c>
      <c r="C147" s="15" t="s">
        <v>26</v>
      </c>
      <c r="D147" s="15">
        <v>2</v>
      </c>
      <c r="E147" s="15">
        <v>18</v>
      </c>
      <c r="F147" s="15">
        <v>3</v>
      </c>
      <c r="G147" s="6" t="str">
        <f t="shared" si="2"/>
        <v>183</v>
      </c>
      <c r="H147" s="5" t="s">
        <v>97</v>
      </c>
      <c r="I147" s="5">
        <v>180.6</v>
      </c>
      <c r="J147" s="5">
        <v>11334.914751667902</v>
      </c>
      <c r="K147" s="5" t="s">
        <v>97</v>
      </c>
      <c r="L147" s="5">
        <v>134.80000000000001</v>
      </c>
      <c r="M147" s="5">
        <v>8460.390412651348</v>
      </c>
      <c r="N147" s="5" t="s">
        <v>97</v>
      </c>
      <c r="O147" s="5">
        <v>45.799999999999983</v>
      </c>
      <c r="P147" s="5">
        <v>2874.5243390165542</v>
      </c>
      <c r="Q147" s="5">
        <v>33.976261127596416</v>
      </c>
    </row>
    <row r="148" spans="1:17" x14ac:dyDescent="0.2">
      <c r="A148" s="4" t="s">
        <v>26</v>
      </c>
      <c r="B148" s="15">
        <v>2014</v>
      </c>
      <c r="C148" s="15" t="s">
        <v>26</v>
      </c>
      <c r="D148" s="15">
        <v>3</v>
      </c>
      <c r="E148" s="15">
        <v>18</v>
      </c>
      <c r="F148" s="15">
        <v>3</v>
      </c>
      <c r="G148" s="6" t="str">
        <f t="shared" si="2"/>
        <v>183</v>
      </c>
      <c r="H148" s="5" t="s">
        <v>97</v>
      </c>
      <c r="I148" s="5">
        <v>183.4</v>
      </c>
      <c r="J148" s="5">
        <v>11510.649864096862</v>
      </c>
      <c r="K148" s="5" t="s">
        <v>97</v>
      </c>
      <c r="L148" s="5">
        <v>128.80000000000001</v>
      </c>
      <c r="M148" s="5">
        <v>8083.815171732148</v>
      </c>
      <c r="N148" s="5" t="s">
        <v>97</v>
      </c>
      <c r="O148" s="5">
        <v>54.599999999999994</v>
      </c>
      <c r="P148" s="5">
        <v>3426.8346923647141</v>
      </c>
      <c r="Q148" s="5">
        <v>42.391304347826079</v>
      </c>
    </row>
    <row r="149" spans="1:17" x14ac:dyDescent="0.2">
      <c r="A149" s="4" t="s">
        <v>26</v>
      </c>
      <c r="B149" s="15">
        <v>2014</v>
      </c>
      <c r="C149" s="15" t="s">
        <v>26</v>
      </c>
      <c r="D149" s="15">
        <v>4</v>
      </c>
      <c r="E149" s="15">
        <v>18</v>
      </c>
      <c r="F149" s="15">
        <v>3</v>
      </c>
      <c r="G149" s="6" t="str">
        <f t="shared" si="2"/>
        <v>183</v>
      </c>
      <c r="H149" s="5" t="s">
        <v>97</v>
      </c>
      <c r="I149" s="5">
        <v>164.2</v>
      </c>
      <c r="J149" s="5">
        <v>10305.609093155423</v>
      </c>
      <c r="K149" s="5" t="s">
        <v>97</v>
      </c>
      <c r="L149" s="5">
        <v>215.7</v>
      </c>
      <c r="M149" s="5">
        <v>13537.879911045218</v>
      </c>
      <c r="N149" s="5" t="s">
        <v>97</v>
      </c>
      <c r="O149" s="5">
        <v>-51.5</v>
      </c>
      <c r="P149" s="5">
        <v>-3232.2708178897956</v>
      </c>
      <c r="Q149" s="5">
        <v>-23.875753361149751</v>
      </c>
    </row>
    <row r="150" spans="1:17" x14ac:dyDescent="0.2">
      <c r="A150" s="4" t="s">
        <v>26</v>
      </c>
      <c r="B150" s="15">
        <v>2014</v>
      </c>
      <c r="C150" s="15" t="s">
        <v>26</v>
      </c>
      <c r="D150" s="15">
        <v>1</v>
      </c>
      <c r="E150" s="15">
        <v>19</v>
      </c>
      <c r="F150" s="15">
        <v>3</v>
      </c>
      <c r="G150" s="6" t="str">
        <f t="shared" si="2"/>
        <v>193</v>
      </c>
      <c r="H150" s="5" t="s">
        <v>97</v>
      </c>
      <c r="I150" s="5" t="s">
        <v>97</v>
      </c>
      <c r="J150" s="5">
        <v>0</v>
      </c>
      <c r="K150" s="5" t="s">
        <v>97</v>
      </c>
      <c r="L150" s="5">
        <v>121.7</v>
      </c>
      <c r="M150" s="5">
        <v>7638.2011366444276</v>
      </c>
      <c r="N150" s="5" t="s">
        <v>97</v>
      </c>
      <c r="O150" s="5">
        <v>-121.7</v>
      </c>
      <c r="P150" s="5">
        <v>-7638.2011366444276</v>
      </c>
      <c r="Q150" s="5">
        <v>-100</v>
      </c>
    </row>
    <row r="151" spans="1:17" x14ac:dyDescent="0.2">
      <c r="A151" s="4" t="s">
        <v>26</v>
      </c>
      <c r="B151" s="15">
        <v>2014</v>
      </c>
      <c r="C151" s="15" t="s">
        <v>26</v>
      </c>
      <c r="D151" s="15">
        <v>2</v>
      </c>
      <c r="E151" s="15">
        <v>19</v>
      </c>
      <c r="F151" s="15">
        <v>3</v>
      </c>
      <c r="G151" s="6" t="str">
        <f t="shared" si="2"/>
        <v>193</v>
      </c>
      <c r="H151" s="5" t="s">
        <v>97</v>
      </c>
      <c r="I151" s="5">
        <v>235.4</v>
      </c>
      <c r="J151" s="5">
        <v>14774.301952063257</v>
      </c>
      <c r="K151" s="5" t="s">
        <v>97</v>
      </c>
      <c r="L151" s="5">
        <v>134.80000000000001</v>
      </c>
      <c r="M151" s="5">
        <v>8460.390412651348</v>
      </c>
      <c r="N151" s="5" t="s">
        <v>97</v>
      </c>
      <c r="O151" s="5">
        <v>100.6</v>
      </c>
      <c r="P151" s="5">
        <v>6313.911539411909</v>
      </c>
      <c r="Q151" s="5">
        <v>74.629080118694333</v>
      </c>
    </row>
    <row r="152" spans="1:17" x14ac:dyDescent="0.2">
      <c r="A152" s="4" t="s">
        <v>26</v>
      </c>
      <c r="B152" s="15">
        <v>2014</v>
      </c>
      <c r="C152" s="15" t="s">
        <v>26</v>
      </c>
      <c r="D152" s="15">
        <v>3</v>
      </c>
      <c r="E152" s="15">
        <v>19</v>
      </c>
      <c r="F152" s="15">
        <v>3</v>
      </c>
      <c r="G152" s="6" t="str">
        <f t="shared" si="2"/>
        <v>193</v>
      </c>
      <c r="H152" s="5" t="s">
        <v>97</v>
      </c>
      <c r="I152" s="5">
        <v>162.1</v>
      </c>
      <c r="J152" s="5">
        <v>10173.807758833704</v>
      </c>
      <c r="K152" s="5" t="s">
        <v>97</v>
      </c>
      <c r="L152" s="5">
        <v>128.80000000000001</v>
      </c>
      <c r="M152" s="5">
        <v>8083.815171732148</v>
      </c>
      <c r="N152" s="5" t="s">
        <v>97</v>
      </c>
      <c r="O152" s="5">
        <v>33.299999999999983</v>
      </c>
      <c r="P152" s="5">
        <v>2089.9925871015557</v>
      </c>
      <c r="Q152" s="5">
        <v>25.854037267080731</v>
      </c>
    </row>
    <row r="153" spans="1:17" s="7" customFormat="1" x14ac:dyDescent="0.2">
      <c r="A153" s="4" t="s">
        <v>26</v>
      </c>
      <c r="B153" s="14">
        <v>2014</v>
      </c>
      <c r="C153" s="14" t="s">
        <v>26</v>
      </c>
      <c r="D153" s="14">
        <v>4</v>
      </c>
      <c r="E153" s="14">
        <v>19</v>
      </c>
      <c r="F153" s="14">
        <v>3</v>
      </c>
      <c r="G153" s="6" t="str">
        <f t="shared" si="2"/>
        <v>193</v>
      </c>
      <c r="H153" s="9" t="s">
        <v>97</v>
      </c>
      <c r="I153" s="9">
        <v>182.2</v>
      </c>
      <c r="J153" s="9">
        <v>11435.334815913022</v>
      </c>
      <c r="K153" s="9" t="s">
        <v>97</v>
      </c>
      <c r="L153" s="9">
        <v>215.7</v>
      </c>
      <c r="M153" s="9">
        <v>13537.879911045218</v>
      </c>
      <c r="N153" s="9" t="s">
        <v>97</v>
      </c>
      <c r="O153" s="9">
        <v>-33.5</v>
      </c>
      <c r="P153" s="9">
        <v>-2102.5450951321964</v>
      </c>
      <c r="Q153" s="9">
        <v>-15.530829856281873</v>
      </c>
    </row>
    <row r="154" spans="1:17" x14ac:dyDescent="0.2">
      <c r="A154" s="4" t="s">
        <v>70</v>
      </c>
      <c r="B154" s="4">
        <v>2014</v>
      </c>
      <c r="C154" s="4" t="s">
        <v>64</v>
      </c>
      <c r="D154" s="4">
        <v>1</v>
      </c>
      <c r="E154" s="4">
        <v>1</v>
      </c>
      <c r="F154" s="11">
        <v>0</v>
      </c>
      <c r="G154" s="6" t="str">
        <f t="shared" si="2"/>
        <v>10</v>
      </c>
      <c r="H154" s="5">
        <v>10</v>
      </c>
      <c r="I154" s="5">
        <v>214.51043392152775</v>
      </c>
      <c r="J154" s="5">
        <v>13463.219722280219</v>
      </c>
      <c r="K154" s="5">
        <v>10</v>
      </c>
      <c r="L154" s="5">
        <v>214.51043392152775</v>
      </c>
      <c r="M154" s="5">
        <v>13463.219722280219</v>
      </c>
      <c r="N154" s="5">
        <v>0</v>
      </c>
      <c r="O154" s="5">
        <v>0</v>
      </c>
      <c r="P154" s="5">
        <v>0</v>
      </c>
      <c r="Q154" s="5">
        <v>0</v>
      </c>
    </row>
    <row r="155" spans="1:17" x14ac:dyDescent="0.2">
      <c r="A155" s="4" t="s">
        <v>70</v>
      </c>
      <c r="B155" s="4">
        <v>2014</v>
      </c>
      <c r="C155" s="4" t="s">
        <v>64</v>
      </c>
      <c r="D155" s="4">
        <v>2</v>
      </c>
      <c r="E155" s="4">
        <v>1</v>
      </c>
      <c r="F155" s="11">
        <v>0</v>
      </c>
      <c r="G155" s="6" t="str">
        <f t="shared" si="2"/>
        <v>10</v>
      </c>
      <c r="H155" s="5">
        <v>10</v>
      </c>
      <c r="I155" s="5">
        <v>200.44774846597221</v>
      </c>
      <c r="J155" s="5">
        <v>12580.609861714094</v>
      </c>
      <c r="K155" s="5">
        <v>10</v>
      </c>
      <c r="L155" s="5">
        <v>200.44774846597221</v>
      </c>
      <c r="M155" s="5">
        <v>12580.609861714094</v>
      </c>
      <c r="N155" s="5">
        <v>0</v>
      </c>
      <c r="O155" s="5">
        <v>0</v>
      </c>
      <c r="P155" s="5">
        <v>0</v>
      </c>
      <c r="Q155" s="5">
        <v>0</v>
      </c>
    </row>
    <row r="156" spans="1:17" x14ac:dyDescent="0.2">
      <c r="A156" s="4" t="s">
        <v>70</v>
      </c>
      <c r="B156" s="4">
        <v>2014</v>
      </c>
      <c r="C156" s="4" t="s">
        <v>64</v>
      </c>
      <c r="D156" s="4">
        <v>3</v>
      </c>
      <c r="E156" s="4">
        <v>1</v>
      </c>
      <c r="F156" s="11">
        <v>0</v>
      </c>
      <c r="G156" s="6" t="str">
        <f t="shared" si="2"/>
        <v>10</v>
      </c>
      <c r="H156" s="5">
        <v>12.5</v>
      </c>
      <c r="I156" s="5">
        <v>224.63576321805556</v>
      </c>
      <c r="J156" s="5">
        <v>14098.711108817917</v>
      </c>
      <c r="K156" s="5">
        <v>12.5</v>
      </c>
      <c r="L156" s="5">
        <v>224.63576321805556</v>
      </c>
      <c r="M156" s="5">
        <v>14098.711108817917</v>
      </c>
      <c r="N156" s="5">
        <v>0</v>
      </c>
      <c r="O156" s="5">
        <v>0</v>
      </c>
      <c r="P156" s="5">
        <v>0</v>
      </c>
      <c r="Q156" s="5">
        <v>0</v>
      </c>
    </row>
    <row r="157" spans="1:17" x14ac:dyDescent="0.2">
      <c r="A157" s="4" t="s">
        <v>70</v>
      </c>
      <c r="B157" s="4">
        <v>2014</v>
      </c>
      <c r="C157" s="4" t="s">
        <v>64</v>
      </c>
      <c r="D157" s="4">
        <v>4</v>
      </c>
      <c r="E157" s="4">
        <v>1</v>
      </c>
      <c r="F157" s="11">
        <v>0</v>
      </c>
      <c r="G157" s="6" t="str">
        <f t="shared" si="2"/>
        <v>10</v>
      </c>
      <c r="H157" s="5">
        <v>7.5</v>
      </c>
      <c r="I157" s="5">
        <v>217.12300788333334</v>
      </c>
      <c r="J157" s="5">
        <v>13627.191500461247</v>
      </c>
      <c r="K157" s="5">
        <v>7.5</v>
      </c>
      <c r="L157" s="5">
        <v>217.12300788333334</v>
      </c>
      <c r="M157" s="5">
        <v>13627.191500461247</v>
      </c>
      <c r="N157" s="5">
        <v>0</v>
      </c>
      <c r="O157" s="5">
        <v>0</v>
      </c>
      <c r="P157" s="5">
        <v>0</v>
      </c>
      <c r="Q157" s="5">
        <v>0</v>
      </c>
    </row>
    <row r="158" spans="1:17" x14ac:dyDescent="0.2">
      <c r="A158" s="4" t="s">
        <v>65</v>
      </c>
      <c r="B158" s="4">
        <v>2014</v>
      </c>
      <c r="C158" s="4" t="s">
        <v>64</v>
      </c>
      <c r="D158" s="4">
        <v>1</v>
      </c>
      <c r="E158" s="4">
        <v>1</v>
      </c>
      <c r="F158" s="11">
        <v>0</v>
      </c>
      <c r="G158" s="6" t="str">
        <f t="shared" si="2"/>
        <v>10</v>
      </c>
      <c r="H158" s="5">
        <v>11</v>
      </c>
      <c r="I158" s="5">
        <v>200.53205195075759</v>
      </c>
      <c r="J158" s="5">
        <v>12585.900962562991</v>
      </c>
      <c r="K158" s="5">
        <v>11</v>
      </c>
      <c r="L158" s="5">
        <v>200.53205195075759</v>
      </c>
      <c r="M158" s="5">
        <v>12585.900962562991</v>
      </c>
      <c r="N158" s="5">
        <v>0</v>
      </c>
      <c r="O158" s="5">
        <v>0</v>
      </c>
      <c r="P158" s="5">
        <v>0</v>
      </c>
      <c r="Q158" s="5">
        <v>0</v>
      </c>
    </row>
    <row r="159" spans="1:17" x14ac:dyDescent="0.2">
      <c r="A159" s="4" t="s">
        <v>65</v>
      </c>
      <c r="B159" s="4">
        <v>2014</v>
      </c>
      <c r="C159" s="4" t="s">
        <v>64</v>
      </c>
      <c r="D159" s="4">
        <v>2</v>
      </c>
      <c r="E159" s="4">
        <v>1</v>
      </c>
      <c r="F159" s="11">
        <v>0</v>
      </c>
      <c r="G159" s="6" t="str">
        <f t="shared" si="2"/>
        <v>10</v>
      </c>
      <c r="H159" s="5">
        <v>12</v>
      </c>
      <c r="I159" s="5">
        <v>201.86809265151518</v>
      </c>
      <c r="J159" s="5">
        <v>12669.754270690599</v>
      </c>
      <c r="K159" s="5">
        <v>12</v>
      </c>
      <c r="L159" s="5">
        <v>201.86809265151518</v>
      </c>
      <c r="M159" s="5">
        <v>12669.754270690599</v>
      </c>
      <c r="N159" s="5">
        <v>0</v>
      </c>
      <c r="O159" s="5">
        <v>0</v>
      </c>
      <c r="P159" s="5">
        <v>0</v>
      </c>
      <c r="Q159" s="5">
        <v>0</v>
      </c>
    </row>
    <row r="160" spans="1:17" x14ac:dyDescent="0.2">
      <c r="A160" s="4" t="s">
        <v>65</v>
      </c>
      <c r="B160" s="4">
        <v>2014</v>
      </c>
      <c r="C160" s="4" t="s">
        <v>64</v>
      </c>
      <c r="D160" s="4">
        <v>3</v>
      </c>
      <c r="E160" s="4">
        <v>1</v>
      </c>
      <c r="F160" s="11">
        <v>0</v>
      </c>
      <c r="G160" s="6" t="str">
        <f t="shared" si="2"/>
        <v>10</v>
      </c>
      <c r="H160" s="5">
        <v>7.5</v>
      </c>
      <c r="I160" s="5">
        <v>198.79034527462122</v>
      </c>
      <c r="J160" s="5">
        <v>12476.587027366886</v>
      </c>
      <c r="K160" s="5">
        <v>7.5</v>
      </c>
      <c r="L160" s="5">
        <v>198.79034527462122</v>
      </c>
      <c r="M160" s="5">
        <v>12476.587027366886</v>
      </c>
      <c r="N160" s="5">
        <v>0</v>
      </c>
      <c r="O160" s="5">
        <v>0</v>
      </c>
      <c r="P160" s="5">
        <v>0</v>
      </c>
      <c r="Q160" s="5">
        <v>0</v>
      </c>
    </row>
    <row r="161" spans="1:17" x14ac:dyDescent="0.2">
      <c r="A161" s="4" t="s">
        <v>65</v>
      </c>
      <c r="B161" s="4">
        <v>2014</v>
      </c>
      <c r="C161" s="4" t="s">
        <v>64</v>
      </c>
      <c r="D161" s="4">
        <v>4</v>
      </c>
      <c r="E161" s="4">
        <v>1</v>
      </c>
      <c r="F161" s="11">
        <v>0</v>
      </c>
      <c r="G161" s="6" t="str">
        <f t="shared" si="2"/>
        <v>10</v>
      </c>
      <c r="H161" s="5">
        <v>9</v>
      </c>
      <c r="I161" s="5">
        <v>204.74373928977272</v>
      </c>
      <c r="J161" s="5">
        <v>12850.237158290653</v>
      </c>
      <c r="K161" s="5">
        <v>9</v>
      </c>
      <c r="L161" s="5">
        <v>204.74373928977272</v>
      </c>
      <c r="M161" s="5">
        <v>12850.237158290653</v>
      </c>
      <c r="N161" s="5">
        <v>0</v>
      </c>
      <c r="O161" s="5">
        <v>0</v>
      </c>
      <c r="P161" s="5">
        <v>0</v>
      </c>
      <c r="Q161" s="5">
        <v>0</v>
      </c>
    </row>
    <row r="162" spans="1:17" x14ac:dyDescent="0.2">
      <c r="A162" s="4" t="s">
        <v>91</v>
      </c>
      <c r="B162" s="4">
        <v>2014</v>
      </c>
      <c r="C162" s="4" t="s">
        <v>64</v>
      </c>
      <c r="D162" s="4">
        <v>2</v>
      </c>
      <c r="E162" s="4">
        <v>1</v>
      </c>
      <c r="F162" s="4">
        <v>0</v>
      </c>
      <c r="G162" s="6" t="str">
        <f t="shared" si="2"/>
        <v>10</v>
      </c>
      <c r="H162" s="30">
        <v>0</v>
      </c>
      <c r="I162" s="29">
        <v>203.3</v>
      </c>
      <c r="J162" s="29">
        <f>I162*(25.4/0.4047)</f>
        <v>12759.624413145541</v>
      </c>
      <c r="K162" s="30">
        <v>0</v>
      </c>
      <c r="L162" s="29">
        <v>203.3</v>
      </c>
      <c r="M162" s="29">
        <f>L162*(25.4/0.4047)</f>
        <v>12759.624413145541</v>
      </c>
      <c r="N162" s="5" t="s">
        <v>97</v>
      </c>
      <c r="O162" s="5">
        <f t="shared" ref="O162:P164" si="3">I162-L162</f>
        <v>0</v>
      </c>
      <c r="P162" s="5">
        <f t="shared" si="3"/>
        <v>0</v>
      </c>
      <c r="Q162" s="5">
        <f>SUM(P162/M162)*100</f>
        <v>0</v>
      </c>
    </row>
    <row r="163" spans="1:17" x14ac:dyDescent="0.2">
      <c r="A163" s="4" t="s">
        <v>91</v>
      </c>
      <c r="B163" s="4">
        <v>2014</v>
      </c>
      <c r="C163" s="4" t="s">
        <v>64</v>
      </c>
      <c r="D163" s="4">
        <v>3</v>
      </c>
      <c r="E163" s="4">
        <v>1</v>
      </c>
      <c r="F163" s="4">
        <v>0</v>
      </c>
      <c r="G163" s="6" t="str">
        <f t="shared" si="2"/>
        <v>10</v>
      </c>
      <c r="H163" s="30">
        <v>0.1</v>
      </c>
      <c r="I163" s="29">
        <v>199.7</v>
      </c>
      <c r="J163" s="29">
        <f>I163*(25.4/0.4047)</f>
        <v>12533.67926859402</v>
      </c>
      <c r="K163" s="30">
        <v>0.1</v>
      </c>
      <c r="L163" s="29">
        <v>199.7</v>
      </c>
      <c r="M163" s="29">
        <f>L163*(25.4/0.4047)</f>
        <v>12533.67926859402</v>
      </c>
      <c r="N163" s="5">
        <f>(K163-H163)/K163*100</f>
        <v>0</v>
      </c>
      <c r="O163" s="5">
        <f t="shared" si="3"/>
        <v>0</v>
      </c>
      <c r="P163" s="5">
        <f t="shared" si="3"/>
        <v>0</v>
      </c>
      <c r="Q163" s="5">
        <f>SUM(P163/M163)*100</f>
        <v>0</v>
      </c>
    </row>
    <row r="164" spans="1:17" x14ac:dyDescent="0.2">
      <c r="A164" s="4" t="s">
        <v>91</v>
      </c>
      <c r="B164" s="4">
        <v>2014</v>
      </c>
      <c r="C164" s="4" t="s">
        <v>64</v>
      </c>
      <c r="D164" s="4">
        <v>4</v>
      </c>
      <c r="E164" s="4">
        <v>1</v>
      </c>
      <c r="F164" s="4">
        <v>0</v>
      </c>
      <c r="G164" s="6" t="str">
        <f t="shared" si="2"/>
        <v>10</v>
      </c>
      <c r="H164" s="30">
        <v>0.1</v>
      </c>
      <c r="I164" s="29">
        <v>203.3</v>
      </c>
      <c r="J164" s="29">
        <f>I164*(25.4/0.4047)</f>
        <v>12759.624413145541</v>
      </c>
      <c r="K164" s="30">
        <v>0.1</v>
      </c>
      <c r="L164" s="29">
        <v>203.3</v>
      </c>
      <c r="M164" s="29">
        <f>L164*(25.4/0.4047)</f>
        <v>12759.624413145541</v>
      </c>
      <c r="N164" s="5">
        <f>(K164-H164)/K164*100</f>
        <v>0</v>
      </c>
      <c r="O164" s="5">
        <f t="shared" si="3"/>
        <v>0</v>
      </c>
      <c r="P164" s="5">
        <f t="shared" si="3"/>
        <v>0</v>
      </c>
      <c r="Q164" s="5">
        <f>SUM(P164/M164)*100</f>
        <v>0</v>
      </c>
    </row>
    <row r="165" spans="1:17" x14ac:dyDescent="0.2">
      <c r="A165" s="4" t="s">
        <v>78</v>
      </c>
      <c r="B165" s="4">
        <v>2014</v>
      </c>
      <c r="C165" s="4" t="s">
        <v>64</v>
      </c>
      <c r="D165" s="4">
        <v>1</v>
      </c>
      <c r="E165" s="4">
        <v>1</v>
      </c>
      <c r="F165" s="4">
        <v>0</v>
      </c>
      <c r="G165" s="6" t="str">
        <f t="shared" si="2"/>
        <v>10</v>
      </c>
      <c r="H165" s="5">
        <v>12</v>
      </c>
      <c r="I165" s="5">
        <v>186.603284</v>
      </c>
      <c r="J165" s="5">
        <v>11711.696104768964</v>
      </c>
      <c r="K165" s="5">
        <v>12</v>
      </c>
      <c r="L165" s="5">
        <v>186.603284</v>
      </c>
      <c r="M165" s="5">
        <v>11711.696104768964</v>
      </c>
      <c r="N165" s="5">
        <v>0</v>
      </c>
      <c r="O165" s="5">
        <v>0</v>
      </c>
      <c r="P165" s="5">
        <v>0</v>
      </c>
      <c r="Q165" s="5">
        <v>0</v>
      </c>
    </row>
    <row r="166" spans="1:17" x14ac:dyDescent="0.2">
      <c r="A166" s="4" t="s">
        <v>78</v>
      </c>
      <c r="B166" s="4">
        <v>2014</v>
      </c>
      <c r="C166" s="4" t="s">
        <v>64</v>
      </c>
      <c r="D166" s="4">
        <v>2</v>
      </c>
      <c r="E166" s="4">
        <v>1</v>
      </c>
      <c r="F166" s="4">
        <v>0</v>
      </c>
      <c r="G166" s="6" t="str">
        <f t="shared" si="2"/>
        <v>10</v>
      </c>
      <c r="H166" s="5">
        <v>14</v>
      </c>
      <c r="I166" s="5">
        <v>190.84363060000001</v>
      </c>
      <c r="J166" s="5">
        <v>11977.831028514949</v>
      </c>
      <c r="K166" s="5">
        <v>14</v>
      </c>
      <c r="L166" s="5">
        <v>190.84363060000001</v>
      </c>
      <c r="M166" s="5">
        <v>11977.831028514949</v>
      </c>
      <c r="N166" s="5">
        <v>0</v>
      </c>
      <c r="O166" s="5">
        <v>0</v>
      </c>
      <c r="P166" s="5">
        <v>0</v>
      </c>
      <c r="Q166" s="5">
        <v>0</v>
      </c>
    </row>
    <row r="167" spans="1:17" x14ac:dyDescent="0.2">
      <c r="A167" s="4" t="s">
        <v>78</v>
      </c>
      <c r="B167" s="4">
        <v>2014</v>
      </c>
      <c r="C167" s="4" t="s">
        <v>64</v>
      </c>
      <c r="D167" s="4">
        <v>3</v>
      </c>
      <c r="E167" s="4">
        <v>1</v>
      </c>
      <c r="F167" s="4">
        <v>0</v>
      </c>
      <c r="G167" s="6" t="str">
        <f t="shared" si="2"/>
        <v>10</v>
      </c>
      <c r="H167" s="5">
        <v>18</v>
      </c>
      <c r="I167" s="5">
        <v>191.81078445</v>
      </c>
      <c r="J167" s="5">
        <v>12038.532060859896</v>
      </c>
      <c r="K167" s="5">
        <v>18</v>
      </c>
      <c r="L167" s="5">
        <v>191.81078445</v>
      </c>
      <c r="M167" s="5">
        <v>12038.532060859896</v>
      </c>
      <c r="N167" s="5">
        <v>0</v>
      </c>
      <c r="O167" s="5">
        <v>0</v>
      </c>
      <c r="P167" s="5">
        <v>0</v>
      </c>
      <c r="Q167" s="5">
        <v>0</v>
      </c>
    </row>
    <row r="168" spans="1:17" x14ac:dyDescent="0.2">
      <c r="A168" s="4" t="s">
        <v>78</v>
      </c>
      <c r="B168" s="4">
        <v>2014</v>
      </c>
      <c r="C168" s="4" t="s">
        <v>64</v>
      </c>
      <c r="D168" s="4">
        <v>4</v>
      </c>
      <c r="E168" s="4">
        <v>1</v>
      </c>
      <c r="F168" s="4">
        <v>0</v>
      </c>
      <c r="G168" s="6" t="str">
        <f t="shared" si="2"/>
        <v>10</v>
      </c>
      <c r="H168" s="5">
        <v>16</v>
      </c>
      <c r="I168" s="5">
        <v>212.23650125</v>
      </c>
      <c r="J168" s="5">
        <v>13320.501931677785</v>
      </c>
      <c r="K168" s="5">
        <v>16</v>
      </c>
      <c r="L168" s="5">
        <v>212.23650125</v>
      </c>
      <c r="M168" s="5">
        <v>13320.501931677785</v>
      </c>
      <c r="N168" s="5">
        <v>0</v>
      </c>
      <c r="O168" s="5">
        <v>0</v>
      </c>
      <c r="P168" s="5">
        <v>0</v>
      </c>
      <c r="Q168" s="5">
        <v>0</v>
      </c>
    </row>
    <row r="169" spans="1:17" x14ac:dyDescent="0.2">
      <c r="A169" s="4" t="s">
        <v>70</v>
      </c>
      <c r="B169" s="4">
        <v>2014</v>
      </c>
      <c r="C169" s="4" t="s">
        <v>64</v>
      </c>
      <c r="D169" s="4">
        <v>1</v>
      </c>
      <c r="E169" s="4">
        <v>2</v>
      </c>
      <c r="F169" s="4">
        <v>1</v>
      </c>
      <c r="G169" s="6" t="str">
        <f t="shared" si="2"/>
        <v>21</v>
      </c>
      <c r="H169" s="5">
        <v>3</v>
      </c>
      <c r="I169" s="5" t="s">
        <v>97</v>
      </c>
      <c r="J169" s="5" t="s">
        <v>97</v>
      </c>
      <c r="K169" s="5">
        <v>10</v>
      </c>
      <c r="L169" s="5">
        <v>214.51043392152775</v>
      </c>
      <c r="M169" s="5">
        <v>13463.219722280219</v>
      </c>
      <c r="N169" s="5">
        <v>70</v>
      </c>
      <c r="O169" s="5" t="s">
        <v>97</v>
      </c>
      <c r="P169" s="5" t="s">
        <v>97</v>
      </c>
      <c r="Q169" s="5" t="s">
        <v>97</v>
      </c>
    </row>
    <row r="170" spans="1:17" x14ac:dyDescent="0.2">
      <c r="A170" s="4" t="s">
        <v>70</v>
      </c>
      <c r="B170" s="4">
        <v>2014</v>
      </c>
      <c r="C170" s="4" t="s">
        <v>64</v>
      </c>
      <c r="D170" s="4">
        <v>2</v>
      </c>
      <c r="E170" s="4">
        <v>2</v>
      </c>
      <c r="F170" s="4">
        <v>1</v>
      </c>
      <c r="G170" s="6" t="str">
        <f t="shared" si="2"/>
        <v>21</v>
      </c>
      <c r="H170" s="5">
        <v>5</v>
      </c>
      <c r="I170" s="5">
        <v>220.09534487083334</v>
      </c>
      <c r="J170" s="5">
        <v>13813.742919988057</v>
      </c>
      <c r="K170" s="5">
        <v>10</v>
      </c>
      <c r="L170" s="5">
        <v>200.44774846597221</v>
      </c>
      <c r="M170" s="5">
        <v>12580.609861714094</v>
      </c>
      <c r="N170" s="5">
        <v>50</v>
      </c>
      <c r="O170" s="5">
        <v>19.647596404861133</v>
      </c>
      <c r="P170" s="5">
        <v>1233.1330582739629</v>
      </c>
      <c r="Q170" s="5">
        <v>9.8018543761275954</v>
      </c>
    </row>
    <row r="171" spans="1:17" x14ac:dyDescent="0.2">
      <c r="A171" s="4" t="s">
        <v>70</v>
      </c>
      <c r="B171" s="4">
        <v>2014</v>
      </c>
      <c r="C171" s="4" t="s">
        <v>64</v>
      </c>
      <c r="D171" s="4">
        <v>3</v>
      </c>
      <c r="E171" s="4">
        <v>2</v>
      </c>
      <c r="F171" s="4">
        <v>1</v>
      </c>
      <c r="G171" s="6" t="str">
        <f t="shared" si="2"/>
        <v>21</v>
      </c>
      <c r="H171" s="5">
        <v>5</v>
      </c>
      <c r="I171" s="5">
        <v>215.26314550000001</v>
      </c>
      <c r="J171" s="5">
        <v>13510.461812947862</v>
      </c>
      <c r="K171" s="5">
        <v>12.5</v>
      </c>
      <c r="L171" s="5">
        <v>224.63576321805556</v>
      </c>
      <c r="M171" s="5">
        <v>14098.711108817917</v>
      </c>
      <c r="N171" s="5">
        <v>60</v>
      </c>
      <c r="O171" s="5">
        <v>-9.372617718055551</v>
      </c>
      <c r="P171" s="5">
        <v>-588.24929587005499</v>
      </c>
      <c r="Q171" s="5">
        <v>-4.1723622204170105</v>
      </c>
    </row>
    <row r="172" spans="1:17" x14ac:dyDescent="0.2">
      <c r="A172" s="4" t="s">
        <v>70</v>
      </c>
      <c r="B172" s="4">
        <v>2014</v>
      </c>
      <c r="C172" s="4" t="s">
        <v>64</v>
      </c>
      <c r="D172" s="4">
        <v>4</v>
      </c>
      <c r="E172" s="4">
        <v>2</v>
      </c>
      <c r="F172" s="4">
        <v>1</v>
      </c>
      <c r="G172" s="6" t="str">
        <f t="shared" si="2"/>
        <v>21</v>
      </c>
      <c r="H172" s="5">
        <v>8</v>
      </c>
      <c r="I172" s="5">
        <v>206.60637166666666</v>
      </c>
      <c r="J172" s="5">
        <v>12967.140697636109</v>
      </c>
      <c r="K172" s="5">
        <v>7.5</v>
      </c>
      <c r="L172" s="5">
        <v>217.12300788333334</v>
      </c>
      <c r="M172" s="5">
        <v>13627.191500461247</v>
      </c>
      <c r="N172" s="5">
        <v>-6.666666666666667</v>
      </c>
      <c r="O172" s="5">
        <v>-10.516636216666683</v>
      </c>
      <c r="P172" s="5">
        <v>-660.05080282513882</v>
      </c>
      <c r="Q172" s="5">
        <v>-4.8436304927746683</v>
      </c>
    </row>
    <row r="173" spans="1:17" x14ac:dyDescent="0.2">
      <c r="A173" s="4" t="s">
        <v>65</v>
      </c>
      <c r="B173" s="4">
        <v>2014</v>
      </c>
      <c r="C173" s="4" t="s">
        <v>64</v>
      </c>
      <c r="D173" s="4">
        <v>1</v>
      </c>
      <c r="E173" s="4">
        <v>2</v>
      </c>
      <c r="F173" s="4">
        <v>1</v>
      </c>
      <c r="G173" s="6" t="str">
        <f t="shared" si="2"/>
        <v>21</v>
      </c>
      <c r="H173" s="5">
        <v>10</v>
      </c>
      <c r="I173" s="5">
        <v>193.03068343749999</v>
      </c>
      <c r="J173" s="5">
        <v>12115.096020045712</v>
      </c>
      <c r="K173" s="5">
        <v>11</v>
      </c>
      <c r="L173" s="5">
        <v>200.53205195075759</v>
      </c>
      <c r="M173" s="5">
        <v>12585.900962562991</v>
      </c>
      <c r="N173" s="5">
        <v>9.0909090909090917</v>
      </c>
      <c r="O173" s="5">
        <v>-7.5013685132576029</v>
      </c>
      <c r="P173" s="5">
        <v>-470.80494251727941</v>
      </c>
      <c r="Q173" s="5">
        <v>-3.7407329353512155</v>
      </c>
    </row>
    <row r="174" spans="1:17" x14ac:dyDescent="0.2">
      <c r="A174" s="4" t="s">
        <v>65</v>
      </c>
      <c r="B174" s="4">
        <v>2014</v>
      </c>
      <c r="C174" s="4" t="s">
        <v>64</v>
      </c>
      <c r="D174" s="4">
        <v>2</v>
      </c>
      <c r="E174" s="4">
        <v>2</v>
      </c>
      <c r="F174" s="4">
        <v>1</v>
      </c>
      <c r="G174" s="6" t="str">
        <f t="shared" si="2"/>
        <v>21</v>
      </c>
      <c r="H174" s="5">
        <v>10</v>
      </c>
      <c r="I174" s="5">
        <v>211.07936731060605</v>
      </c>
      <c r="J174" s="5">
        <v>13247.877266343943</v>
      </c>
      <c r="K174" s="5">
        <v>12</v>
      </c>
      <c r="L174" s="5">
        <v>201.86809265151518</v>
      </c>
      <c r="M174" s="5">
        <v>12669.754270690599</v>
      </c>
      <c r="N174" s="5">
        <v>16.666666666666664</v>
      </c>
      <c r="O174" s="5">
        <v>9.2112746590908614</v>
      </c>
      <c r="P174" s="5">
        <v>578.12299565334433</v>
      </c>
      <c r="Q174" s="5">
        <v>4.5630166402732621</v>
      </c>
    </row>
    <row r="175" spans="1:17" x14ac:dyDescent="0.2">
      <c r="A175" s="4" t="s">
        <v>65</v>
      </c>
      <c r="B175" s="4">
        <v>2014</v>
      </c>
      <c r="C175" s="4" t="s">
        <v>64</v>
      </c>
      <c r="D175" s="4">
        <v>3</v>
      </c>
      <c r="E175" s="4">
        <v>2</v>
      </c>
      <c r="F175" s="4">
        <v>1</v>
      </c>
      <c r="G175" s="6" t="str">
        <f t="shared" si="2"/>
        <v>21</v>
      </c>
      <c r="H175" s="5">
        <v>5</v>
      </c>
      <c r="I175" s="5">
        <v>200.84419926136366</v>
      </c>
      <c r="J175" s="5">
        <v>12605.492120678618</v>
      </c>
      <c r="K175" s="5">
        <v>7.5</v>
      </c>
      <c r="L175" s="5">
        <v>198.79034527462122</v>
      </c>
      <c r="M175" s="5">
        <v>12476.587027366886</v>
      </c>
      <c r="N175" s="5">
        <v>33.333333333333329</v>
      </c>
      <c r="O175" s="5">
        <v>2.053853986742439</v>
      </c>
      <c r="P175" s="5">
        <v>128.90509331173234</v>
      </c>
      <c r="Q175" s="5">
        <v>1.0331759240646843</v>
      </c>
    </row>
    <row r="176" spans="1:17" x14ac:dyDescent="0.2">
      <c r="A176" s="4" t="s">
        <v>65</v>
      </c>
      <c r="B176" s="4">
        <v>2014</v>
      </c>
      <c r="C176" s="4" t="s">
        <v>64</v>
      </c>
      <c r="D176" s="4">
        <v>4</v>
      </c>
      <c r="E176" s="4">
        <v>2</v>
      </c>
      <c r="F176" s="4">
        <v>1</v>
      </c>
      <c r="G176" s="6" t="str">
        <f t="shared" si="2"/>
        <v>21</v>
      </c>
      <c r="H176" s="5">
        <v>6</v>
      </c>
      <c r="I176" s="5">
        <v>206.29150457386365</v>
      </c>
      <c r="J176" s="5">
        <v>12947.378839081139</v>
      </c>
      <c r="K176" s="5">
        <v>9</v>
      </c>
      <c r="L176" s="5">
        <v>204.74373928977272</v>
      </c>
      <c r="M176" s="5">
        <v>12850.237158290653</v>
      </c>
      <c r="N176" s="5">
        <v>33.333333333333329</v>
      </c>
      <c r="O176" s="5">
        <v>1.5477652840909286</v>
      </c>
      <c r="P176" s="5">
        <v>97.141680790486134</v>
      </c>
      <c r="Q176" s="5">
        <v>0.7559524356934747</v>
      </c>
    </row>
    <row r="177" spans="1:17" x14ac:dyDescent="0.2">
      <c r="A177" s="4" t="s">
        <v>91</v>
      </c>
      <c r="B177" s="4">
        <v>2014</v>
      </c>
      <c r="C177" s="4" t="s">
        <v>64</v>
      </c>
      <c r="D177" s="4">
        <v>1</v>
      </c>
      <c r="E177" s="4">
        <v>2</v>
      </c>
      <c r="F177" s="4">
        <v>1</v>
      </c>
      <c r="G177" s="6" t="str">
        <f t="shared" si="2"/>
        <v>21</v>
      </c>
      <c r="H177" s="5">
        <v>0.01</v>
      </c>
      <c r="I177" s="29">
        <v>214.4328376</v>
      </c>
      <c r="J177" s="29">
        <f>I177*(25.4/0.4047)</f>
        <v>13458.349580034594</v>
      </c>
      <c r="K177" s="30">
        <v>0.1</v>
      </c>
      <c r="L177" s="29">
        <v>199.7</v>
      </c>
      <c r="M177" s="29">
        <f>L177*(25.4/0.4047)</f>
        <v>12533.67926859402</v>
      </c>
      <c r="N177" s="5">
        <f>(K177-H177)/K177*100</f>
        <v>90</v>
      </c>
      <c r="O177" s="5">
        <f t="shared" ref="O177:P180" si="4">I177-L177</f>
        <v>14.732837600000011</v>
      </c>
      <c r="P177" s="5">
        <f t="shared" si="4"/>
        <v>924.67031144057364</v>
      </c>
      <c r="Q177" s="5">
        <f>SUM(P177/M177)*100</f>
        <v>7.3774850275413151</v>
      </c>
    </row>
    <row r="178" spans="1:17" x14ac:dyDescent="0.2">
      <c r="A178" s="4" t="s">
        <v>91</v>
      </c>
      <c r="B178" s="4">
        <v>2014</v>
      </c>
      <c r="C178" s="4" t="s">
        <v>64</v>
      </c>
      <c r="D178" s="4">
        <v>2</v>
      </c>
      <c r="E178" s="4">
        <v>2</v>
      </c>
      <c r="F178" s="4">
        <v>1</v>
      </c>
      <c r="G178" s="6" t="str">
        <f t="shared" si="2"/>
        <v>21</v>
      </c>
      <c r="H178" s="5">
        <v>2</v>
      </c>
      <c r="I178" s="29">
        <v>209.85219290000001</v>
      </c>
      <c r="J178" s="29">
        <f>I178*(25.4/0.4047)</f>
        <v>13170.856683123302</v>
      </c>
      <c r="K178" s="30">
        <v>0</v>
      </c>
      <c r="L178" s="29">
        <v>203.3</v>
      </c>
      <c r="M178" s="29">
        <f>L178*(25.4/0.4047)</f>
        <v>12759.624413145541</v>
      </c>
      <c r="N178" s="5" t="s">
        <v>97</v>
      </c>
      <c r="O178" s="5">
        <f t="shared" si="4"/>
        <v>6.5521928999999943</v>
      </c>
      <c r="P178" s="5">
        <f t="shared" si="4"/>
        <v>411.23226997776146</v>
      </c>
      <c r="Q178" s="5">
        <f>SUM(P178/M178)*100</f>
        <v>3.222918298081654</v>
      </c>
    </row>
    <row r="179" spans="1:17" x14ac:dyDescent="0.2">
      <c r="A179" s="4" t="s">
        <v>91</v>
      </c>
      <c r="B179" s="4">
        <v>2014</v>
      </c>
      <c r="C179" s="4" t="s">
        <v>64</v>
      </c>
      <c r="D179" s="4">
        <v>3</v>
      </c>
      <c r="E179" s="4">
        <v>2</v>
      </c>
      <c r="F179" s="4">
        <v>1</v>
      </c>
      <c r="G179" s="6" t="str">
        <f t="shared" si="2"/>
        <v>21</v>
      </c>
      <c r="H179" s="5">
        <v>2</v>
      </c>
      <c r="I179" s="29">
        <v>213.73333030000001</v>
      </c>
      <c r="J179" s="29">
        <f>I179*(25.4/0.4047)</f>
        <v>13414.446725030888</v>
      </c>
      <c r="K179" s="30">
        <v>0.1</v>
      </c>
      <c r="L179" s="29">
        <v>199.7</v>
      </c>
      <c r="M179" s="29">
        <f>L179*(25.4/0.4047)</f>
        <v>12533.67926859402</v>
      </c>
      <c r="N179" s="5">
        <f>(K179-H179)/K179*100</f>
        <v>-1899.9999999999995</v>
      </c>
      <c r="O179" s="5">
        <f t="shared" si="4"/>
        <v>14.033330300000017</v>
      </c>
      <c r="P179" s="5">
        <f t="shared" si="4"/>
        <v>880.76745643686809</v>
      </c>
      <c r="Q179" s="5">
        <f>SUM(P179/M179)*100</f>
        <v>7.0272059589384179</v>
      </c>
    </row>
    <row r="180" spans="1:17" x14ac:dyDescent="0.2">
      <c r="A180" s="4" t="s">
        <v>91</v>
      </c>
      <c r="B180" s="4">
        <v>2014</v>
      </c>
      <c r="C180" s="4" t="s">
        <v>64</v>
      </c>
      <c r="D180" s="4">
        <v>4</v>
      </c>
      <c r="E180" s="4">
        <v>2</v>
      </c>
      <c r="F180" s="4">
        <v>1</v>
      </c>
      <c r="G180" s="6" t="str">
        <f t="shared" si="2"/>
        <v>21</v>
      </c>
      <c r="H180" s="5">
        <v>0.1</v>
      </c>
      <c r="I180" s="29">
        <v>211.24870039999999</v>
      </c>
      <c r="J180" s="29">
        <f>I180*(25.4/0.4047)</f>
        <v>13258.505041166296</v>
      </c>
      <c r="K180" s="30">
        <v>0.1</v>
      </c>
      <c r="L180" s="29">
        <v>203.3</v>
      </c>
      <c r="M180" s="29">
        <f>L180*(25.4/0.4047)</f>
        <v>12759.624413145541</v>
      </c>
      <c r="N180" s="5">
        <f>(K180-H180)/K180*100</f>
        <v>0</v>
      </c>
      <c r="O180" s="5">
        <f t="shared" si="4"/>
        <v>7.9487003999999786</v>
      </c>
      <c r="P180" s="5">
        <f t="shared" si="4"/>
        <v>498.88062802075547</v>
      </c>
      <c r="Q180" s="5">
        <f>SUM(P180/M180)*100</f>
        <v>3.9098378750614802</v>
      </c>
    </row>
    <row r="181" spans="1:17" x14ac:dyDescent="0.2">
      <c r="A181" s="4" t="s">
        <v>78</v>
      </c>
      <c r="B181" s="4">
        <v>2014</v>
      </c>
      <c r="C181" s="4" t="s">
        <v>64</v>
      </c>
      <c r="D181" s="4">
        <v>1</v>
      </c>
      <c r="E181" s="4">
        <v>2</v>
      </c>
      <c r="F181" s="4">
        <v>1</v>
      </c>
      <c r="G181" s="6" t="str">
        <f t="shared" si="2"/>
        <v>21</v>
      </c>
      <c r="H181" s="5">
        <v>20</v>
      </c>
      <c r="I181" s="5">
        <v>222.35651060000001</v>
      </c>
      <c r="J181" s="5">
        <v>13955.65942485792</v>
      </c>
      <c r="K181" s="5">
        <v>12</v>
      </c>
      <c r="L181" s="5">
        <v>186.603284</v>
      </c>
      <c r="M181" s="5">
        <v>11711.696104768964</v>
      </c>
      <c r="N181" s="5">
        <v>-66.666666666666657</v>
      </c>
      <c r="O181" s="5">
        <v>35.753226600000005</v>
      </c>
      <c r="P181" s="5">
        <v>2243.9633200889566</v>
      </c>
      <c r="Q181" s="5">
        <v>19.160020034802834</v>
      </c>
    </row>
    <row r="182" spans="1:17" x14ac:dyDescent="0.2">
      <c r="A182" s="4" t="s">
        <v>78</v>
      </c>
      <c r="B182" s="4">
        <v>2014</v>
      </c>
      <c r="C182" s="4" t="s">
        <v>64</v>
      </c>
      <c r="D182" s="4">
        <v>2</v>
      </c>
      <c r="E182" s="4">
        <v>2</v>
      </c>
      <c r="F182" s="4">
        <v>1</v>
      </c>
      <c r="G182" s="6" t="str">
        <f t="shared" si="2"/>
        <v>21</v>
      </c>
      <c r="H182" s="5">
        <v>8</v>
      </c>
      <c r="I182" s="5">
        <v>199.00807610000001</v>
      </c>
      <c r="J182" s="5">
        <v>12490.252367037312</v>
      </c>
      <c r="K182" s="5">
        <v>14</v>
      </c>
      <c r="L182" s="5">
        <v>190.84363060000001</v>
      </c>
      <c r="M182" s="5">
        <v>11977.831028514949</v>
      </c>
      <c r="N182" s="5">
        <v>42.857142857142854</v>
      </c>
      <c r="O182" s="5">
        <v>8.1644454999999994</v>
      </c>
      <c r="P182" s="5">
        <v>512.42133852236293</v>
      </c>
      <c r="Q182" s="5">
        <v>4.278081209381484</v>
      </c>
    </row>
    <row r="183" spans="1:17" x14ac:dyDescent="0.2">
      <c r="A183" s="4" t="s">
        <v>78</v>
      </c>
      <c r="B183" s="4">
        <v>2014</v>
      </c>
      <c r="C183" s="4" t="s">
        <v>64</v>
      </c>
      <c r="D183" s="4">
        <v>3</v>
      </c>
      <c r="E183" s="4">
        <v>2</v>
      </c>
      <c r="F183" s="4">
        <v>1</v>
      </c>
      <c r="G183" s="6" t="str">
        <f t="shared" si="2"/>
        <v>21</v>
      </c>
      <c r="H183" s="5">
        <v>20</v>
      </c>
      <c r="I183" s="5">
        <v>180.8529992</v>
      </c>
      <c r="J183" s="5">
        <v>11350.79362411663</v>
      </c>
      <c r="K183" s="5">
        <v>18</v>
      </c>
      <c r="L183" s="5">
        <v>191.81078445</v>
      </c>
      <c r="M183" s="5">
        <v>12038.532060859896</v>
      </c>
      <c r="N183" s="5">
        <v>-11.111111111111111</v>
      </c>
      <c r="O183" s="5">
        <v>-10.957785250000001</v>
      </c>
      <c r="P183" s="5">
        <v>-687.73843674326599</v>
      </c>
      <c r="Q183" s="5">
        <v>-5.7128097783554992</v>
      </c>
    </row>
    <row r="184" spans="1:17" x14ac:dyDescent="0.2">
      <c r="A184" s="4" t="s">
        <v>78</v>
      </c>
      <c r="B184" s="4">
        <v>2014</v>
      </c>
      <c r="C184" s="4" t="s">
        <v>64</v>
      </c>
      <c r="D184" s="4">
        <v>4</v>
      </c>
      <c r="E184" s="4">
        <v>2</v>
      </c>
      <c r="F184" s="4">
        <v>1</v>
      </c>
      <c r="G184" s="6" t="str">
        <f t="shared" si="2"/>
        <v>21</v>
      </c>
      <c r="H184" s="5">
        <v>8</v>
      </c>
      <c r="I184" s="5">
        <v>192.38034830000001</v>
      </c>
      <c r="J184" s="5">
        <v>12074.279334865332</v>
      </c>
      <c r="K184" s="5">
        <v>16</v>
      </c>
      <c r="L184" s="5">
        <v>212.23650125</v>
      </c>
      <c r="M184" s="5">
        <v>13320.501931677785</v>
      </c>
      <c r="N184" s="5">
        <v>50</v>
      </c>
      <c r="O184" s="5">
        <v>-19.856152949999995</v>
      </c>
      <c r="P184" s="5">
        <v>-1246.222596812453</v>
      </c>
      <c r="Q184" s="5">
        <v>-9.3556729559025325</v>
      </c>
    </row>
    <row r="185" spans="1:17" x14ac:dyDescent="0.2">
      <c r="A185" s="4" t="s">
        <v>70</v>
      </c>
      <c r="B185" s="4">
        <v>2014</v>
      </c>
      <c r="C185" s="4" t="s">
        <v>64</v>
      </c>
      <c r="D185" s="4">
        <v>1</v>
      </c>
      <c r="E185" s="4">
        <v>4</v>
      </c>
      <c r="F185" s="4">
        <v>1</v>
      </c>
      <c r="G185" s="6" t="str">
        <f t="shared" si="2"/>
        <v>41</v>
      </c>
      <c r="H185" s="5">
        <v>3</v>
      </c>
      <c r="I185" s="5">
        <v>220.85098684027778</v>
      </c>
      <c r="J185" s="5">
        <v>13861.168929436757</v>
      </c>
      <c r="K185" s="5">
        <v>10</v>
      </c>
      <c r="L185" s="5">
        <v>214.51043392152775</v>
      </c>
      <c r="M185" s="5">
        <v>13463.219722280219</v>
      </c>
      <c r="N185" s="5">
        <v>70</v>
      </c>
      <c r="O185" s="5">
        <v>6.3405529187500349</v>
      </c>
      <c r="P185" s="5">
        <v>397.94920715653825</v>
      </c>
      <c r="Q185" s="5">
        <v>2.9558249465243001</v>
      </c>
    </row>
    <row r="186" spans="1:17" x14ac:dyDescent="0.2">
      <c r="A186" s="4" t="s">
        <v>70</v>
      </c>
      <c r="B186" s="4">
        <v>2014</v>
      </c>
      <c r="C186" s="4" t="s">
        <v>64</v>
      </c>
      <c r="D186" s="4">
        <v>2</v>
      </c>
      <c r="E186" s="4">
        <v>4</v>
      </c>
      <c r="F186" s="4">
        <v>1</v>
      </c>
      <c r="G186" s="6" t="str">
        <f t="shared" si="2"/>
        <v>41</v>
      </c>
      <c r="H186" s="5">
        <v>3</v>
      </c>
      <c r="I186" s="5">
        <v>207.80470212361112</v>
      </c>
      <c r="J186" s="5">
        <v>13042.350961056887</v>
      </c>
      <c r="K186" s="5">
        <v>10</v>
      </c>
      <c r="L186" s="5">
        <v>200.44774846597221</v>
      </c>
      <c r="M186" s="5">
        <v>12580.609861714094</v>
      </c>
      <c r="N186" s="5">
        <v>70</v>
      </c>
      <c r="O186" s="5">
        <v>7.3569536576389112</v>
      </c>
      <c r="P186" s="5">
        <v>461.74109934279295</v>
      </c>
      <c r="Q186" s="5">
        <v>3.6702600622564829</v>
      </c>
    </row>
    <row r="187" spans="1:17" x14ac:dyDescent="0.2">
      <c r="A187" s="4" t="s">
        <v>70</v>
      </c>
      <c r="B187" s="4">
        <v>2014</v>
      </c>
      <c r="C187" s="4" t="s">
        <v>64</v>
      </c>
      <c r="D187" s="4">
        <v>3</v>
      </c>
      <c r="E187" s="4">
        <v>4</v>
      </c>
      <c r="F187" s="4">
        <v>1</v>
      </c>
      <c r="G187" s="6" t="str">
        <f t="shared" si="2"/>
        <v>41</v>
      </c>
      <c r="H187" s="5">
        <v>7</v>
      </c>
      <c r="I187" s="5">
        <v>224.42946983055558</v>
      </c>
      <c r="J187" s="5">
        <v>14085.763611801611</v>
      </c>
      <c r="K187" s="5">
        <v>12.5</v>
      </c>
      <c r="L187" s="5">
        <v>224.63576321805556</v>
      </c>
      <c r="M187" s="5">
        <v>14098.711108817917</v>
      </c>
      <c r="N187" s="5">
        <v>44</v>
      </c>
      <c r="O187" s="5">
        <v>-0.20629338749998283</v>
      </c>
      <c r="P187" s="5">
        <v>-12.947497016306443</v>
      </c>
      <c r="Q187" s="5">
        <v>-9.1834614642245863E-2</v>
      </c>
    </row>
    <row r="188" spans="1:17" x14ac:dyDescent="0.2">
      <c r="A188" s="4" t="s">
        <v>70</v>
      </c>
      <c r="B188" s="4">
        <v>2014</v>
      </c>
      <c r="C188" s="4" t="s">
        <v>64</v>
      </c>
      <c r="D188" s="4">
        <v>4</v>
      </c>
      <c r="E188" s="4">
        <v>4</v>
      </c>
      <c r="F188" s="4">
        <v>1</v>
      </c>
      <c r="G188" s="6" t="str">
        <f t="shared" si="2"/>
        <v>41</v>
      </c>
      <c r="H188" s="5">
        <v>3</v>
      </c>
      <c r="I188" s="5">
        <v>221.89733586805559</v>
      </c>
      <c r="J188" s="5">
        <v>13926.840452306924</v>
      </c>
      <c r="K188" s="5">
        <v>7.5</v>
      </c>
      <c r="L188" s="5">
        <v>217.12300788333334</v>
      </c>
      <c r="M188" s="5">
        <v>13627.191500461247</v>
      </c>
      <c r="N188" s="5">
        <v>60</v>
      </c>
      <c r="O188" s="5">
        <v>4.7743279847222482</v>
      </c>
      <c r="P188" s="5">
        <v>299.64895184567649</v>
      </c>
      <c r="Q188" s="5">
        <v>2.1989046813903959</v>
      </c>
    </row>
    <row r="189" spans="1:17" x14ac:dyDescent="0.2">
      <c r="A189" s="4" t="s">
        <v>65</v>
      </c>
      <c r="B189" s="4">
        <v>2014</v>
      </c>
      <c r="C189" s="4" t="s">
        <v>64</v>
      </c>
      <c r="D189" s="4">
        <v>1</v>
      </c>
      <c r="E189" s="4">
        <v>4</v>
      </c>
      <c r="F189" s="4">
        <v>1</v>
      </c>
      <c r="G189" s="6" t="str">
        <f t="shared" si="2"/>
        <v>41</v>
      </c>
      <c r="H189" s="5">
        <v>5</v>
      </c>
      <c r="I189" s="5">
        <v>209.51109905303034</v>
      </c>
      <c r="J189" s="5">
        <v>13149.448766856858</v>
      </c>
      <c r="K189" s="5">
        <v>11</v>
      </c>
      <c r="L189" s="5">
        <v>200.53205195075759</v>
      </c>
      <c r="M189" s="5">
        <v>12585.900962562991</v>
      </c>
      <c r="N189" s="5">
        <v>54.54545454545454</v>
      </c>
      <c r="O189" s="5">
        <v>8.9790471022727445</v>
      </c>
      <c r="P189" s="5">
        <v>563.54780429386665</v>
      </c>
      <c r="Q189" s="5">
        <v>4.4776119402985186</v>
      </c>
    </row>
    <row r="190" spans="1:17" x14ac:dyDescent="0.2">
      <c r="A190" s="4" t="s">
        <v>65</v>
      </c>
      <c r="B190" s="4">
        <v>2014</v>
      </c>
      <c r="C190" s="4" t="s">
        <v>64</v>
      </c>
      <c r="D190" s="4">
        <v>2</v>
      </c>
      <c r="E190" s="4">
        <v>4</v>
      </c>
      <c r="F190" s="4">
        <v>1</v>
      </c>
      <c r="G190" s="6" t="str">
        <f t="shared" si="2"/>
        <v>41</v>
      </c>
      <c r="H190" s="5">
        <v>5</v>
      </c>
      <c r="I190" s="5">
        <v>218.79769075757574</v>
      </c>
      <c r="J190" s="5">
        <v>13732.298851599762</v>
      </c>
      <c r="K190" s="5">
        <v>12</v>
      </c>
      <c r="L190" s="5">
        <v>201.86809265151518</v>
      </c>
      <c r="M190" s="5">
        <v>12669.754270690599</v>
      </c>
      <c r="N190" s="5">
        <v>58.333333333333336</v>
      </c>
      <c r="O190" s="5">
        <v>16.929598106060553</v>
      </c>
      <c r="P190" s="5">
        <v>1062.5445809091634</v>
      </c>
      <c r="Q190" s="5">
        <v>8.3864655794247422</v>
      </c>
    </row>
    <row r="191" spans="1:17" x14ac:dyDescent="0.2">
      <c r="A191" s="4" t="s">
        <v>65</v>
      </c>
      <c r="B191" s="4">
        <v>2014</v>
      </c>
      <c r="C191" s="4" t="s">
        <v>64</v>
      </c>
      <c r="D191" s="4">
        <v>3</v>
      </c>
      <c r="E191" s="4">
        <v>4</v>
      </c>
      <c r="F191" s="4">
        <v>1</v>
      </c>
      <c r="G191" s="6" t="str">
        <f t="shared" si="2"/>
        <v>41</v>
      </c>
      <c r="H191" s="5">
        <v>8</v>
      </c>
      <c r="I191" s="5">
        <v>210.33456541666663</v>
      </c>
      <c r="J191" s="5">
        <v>13201.13160756939</v>
      </c>
      <c r="K191" s="5">
        <v>7.5</v>
      </c>
      <c r="L191" s="5">
        <v>198.79034527462122</v>
      </c>
      <c r="M191" s="5">
        <v>12476.587027366886</v>
      </c>
      <c r="N191" s="5">
        <v>-6.666666666666667</v>
      </c>
      <c r="O191" s="5">
        <v>11.544220142045418</v>
      </c>
      <c r="P191" s="5">
        <v>724.54458020250422</v>
      </c>
      <c r="Q191" s="5">
        <v>5.8072338101216721</v>
      </c>
    </row>
    <row r="192" spans="1:17" x14ac:dyDescent="0.2">
      <c r="A192" s="4" t="s">
        <v>65</v>
      </c>
      <c r="B192" s="4">
        <v>2014</v>
      </c>
      <c r="C192" s="4" t="s">
        <v>64</v>
      </c>
      <c r="D192" s="4">
        <v>4</v>
      </c>
      <c r="E192" s="4">
        <v>4</v>
      </c>
      <c r="F192" s="4">
        <v>1</v>
      </c>
      <c r="G192" s="6" t="str">
        <f t="shared" si="2"/>
        <v>41</v>
      </c>
      <c r="H192" s="5">
        <v>8</v>
      </c>
      <c r="I192" s="5">
        <v>204.7033609848485</v>
      </c>
      <c r="J192" s="5">
        <v>12847.702913306528</v>
      </c>
      <c r="K192" s="5">
        <v>9</v>
      </c>
      <c r="L192" s="5">
        <v>204.74373928977272</v>
      </c>
      <c r="M192" s="5">
        <v>12850.237158290653</v>
      </c>
      <c r="N192" s="5">
        <v>11.111111111111111</v>
      </c>
      <c r="O192" s="5">
        <v>-4.03783049242179E-2</v>
      </c>
      <c r="P192" s="5">
        <v>-2.534244984124598</v>
      </c>
      <c r="Q192" s="5">
        <v>-1.9721386873312034E-2</v>
      </c>
    </row>
    <row r="193" spans="1:17" x14ac:dyDescent="0.2">
      <c r="A193" s="4" t="s">
        <v>91</v>
      </c>
      <c r="B193" s="4">
        <v>2014</v>
      </c>
      <c r="C193" s="4" t="s">
        <v>64</v>
      </c>
      <c r="D193" s="4">
        <v>1</v>
      </c>
      <c r="E193" s="31">
        <v>4</v>
      </c>
      <c r="F193" s="4">
        <v>1</v>
      </c>
      <c r="G193" s="6" t="str">
        <f t="shared" si="2"/>
        <v>41</v>
      </c>
      <c r="H193" s="5">
        <v>0.1</v>
      </c>
      <c r="I193" s="29">
        <v>218.59603430000001</v>
      </c>
      <c r="J193" s="29">
        <f>I193*(25.4/0.4047)</f>
        <v>13719.642380084013</v>
      </c>
      <c r="K193" s="30">
        <v>0.1</v>
      </c>
      <c r="L193" s="29">
        <v>199.7</v>
      </c>
      <c r="M193" s="29">
        <f>L193*(25.4/0.4047)</f>
        <v>12533.67926859402</v>
      </c>
      <c r="N193" s="5">
        <f>(K193-H193)/K193*100</f>
        <v>0</v>
      </c>
      <c r="O193" s="5">
        <f t="shared" ref="O193:P196" si="5">I193-L193</f>
        <v>18.896034300000025</v>
      </c>
      <c r="P193" s="5">
        <f t="shared" si="5"/>
        <v>1185.963111489993</v>
      </c>
      <c r="Q193" s="5">
        <f>SUM(P193/M193)*100</f>
        <v>9.4622104656985524</v>
      </c>
    </row>
    <row r="194" spans="1:17" x14ac:dyDescent="0.2">
      <c r="A194" s="4" t="s">
        <v>91</v>
      </c>
      <c r="B194" s="4">
        <v>2014</v>
      </c>
      <c r="C194" s="4" t="s">
        <v>64</v>
      </c>
      <c r="D194" s="4">
        <v>2</v>
      </c>
      <c r="E194" s="31">
        <v>4</v>
      </c>
      <c r="F194" s="4">
        <v>1</v>
      </c>
      <c r="G194" s="6" t="str">
        <f t="shared" ref="G194:G257" si="6">E194&amp;F194</f>
        <v>41</v>
      </c>
      <c r="H194" s="5">
        <v>2</v>
      </c>
      <c r="I194" s="29">
        <v>207.20459539999999</v>
      </c>
      <c r="J194" s="29">
        <f>I194*(25.4/0.4047)</f>
        <v>13004.686738720038</v>
      </c>
      <c r="K194" s="30">
        <v>0</v>
      </c>
      <c r="L194" s="29">
        <v>203.3</v>
      </c>
      <c r="M194" s="29">
        <f>L194*(25.4/0.4047)</f>
        <v>12759.624413145541</v>
      </c>
      <c r="N194" s="5" t="s">
        <v>97</v>
      </c>
      <c r="O194" s="5">
        <f t="shared" si="5"/>
        <v>3.9045953999999767</v>
      </c>
      <c r="P194" s="5">
        <f t="shared" si="5"/>
        <v>245.06232557449766</v>
      </c>
      <c r="Q194" s="5">
        <f>SUM(P194/M194)*100</f>
        <v>1.9206076733890645</v>
      </c>
    </row>
    <row r="195" spans="1:17" x14ac:dyDescent="0.2">
      <c r="A195" s="4" t="s">
        <v>91</v>
      </c>
      <c r="B195" s="4">
        <v>2014</v>
      </c>
      <c r="C195" s="4" t="s">
        <v>64</v>
      </c>
      <c r="D195" s="4">
        <v>3</v>
      </c>
      <c r="E195" s="31">
        <v>4</v>
      </c>
      <c r="F195" s="4">
        <v>1</v>
      </c>
      <c r="G195" s="6" t="str">
        <f t="shared" si="6"/>
        <v>41</v>
      </c>
      <c r="H195" s="5">
        <v>0.5</v>
      </c>
      <c r="I195" s="29">
        <v>218.6336422</v>
      </c>
      <c r="J195" s="29">
        <f>I195*(25.4/0.4047)</f>
        <v>13722.002747417841</v>
      </c>
      <c r="K195" s="30">
        <v>0.1</v>
      </c>
      <c r="L195" s="29">
        <v>199.7</v>
      </c>
      <c r="M195" s="29">
        <f>L195*(25.4/0.4047)</f>
        <v>12533.67926859402</v>
      </c>
      <c r="N195" s="5">
        <f>(K195-H195)/K195*100</f>
        <v>-400</v>
      </c>
      <c r="O195" s="5">
        <f t="shared" si="5"/>
        <v>18.933642200000008</v>
      </c>
      <c r="P195" s="5">
        <f t="shared" si="5"/>
        <v>1188.3234788238206</v>
      </c>
      <c r="Q195" s="5">
        <f>SUM(P195/M195)*100</f>
        <v>9.4810426639959982</v>
      </c>
    </row>
    <row r="196" spans="1:17" x14ac:dyDescent="0.2">
      <c r="A196" s="4" t="s">
        <v>91</v>
      </c>
      <c r="B196" s="4">
        <v>2014</v>
      </c>
      <c r="C196" s="4" t="s">
        <v>64</v>
      </c>
      <c r="D196" s="4">
        <v>4</v>
      </c>
      <c r="E196" s="31">
        <v>4</v>
      </c>
      <c r="F196" s="4">
        <v>1</v>
      </c>
      <c r="G196" s="6" t="str">
        <f t="shared" si="6"/>
        <v>41</v>
      </c>
      <c r="H196" s="5">
        <v>0.5</v>
      </c>
      <c r="I196" s="29">
        <v>212.06855300000001</v>
      </c>
      <c r="J196" s="29">
        <f>I196*(25.4/0.4047)</f>
        <v>13309.961072893502</v>
      </c>
      <c r="K196" s="30">
        <v>0.1</v>
      </c>
      <c r="L196" s="29">
        <v>203.3</v>
      </c>
      <c r="M196" s="29">
        <f>L196*(25.4/0.4047)</f>
        <v>12759.624413145541</v>
      </c>
      <c r="N196" s="5">
        <f>(K196-H196)/K196*100</f>
        <v>-400</v>
      </c>
      <c r="O196" s="5">
        <f t="shared" si="5"/>
        <v>8.7685529999999972</v>
      </c>
      <c r="P196" s="5">
        <f t="shared" si="5"/>
        <v>550.33665974796168</v>
      </c>
      <c r="Q196" s="5">
        <f>SUM(P196/M196)*100</f>
        <v>4.3131101819970503</v>
      </c>
    </row>
    <row r="197" spans="1:17" x14ac:dyDescent="0.2">
      <c r="A197" s="4" t="s">
        <v>78</v>
      </c>
      <c r="B197" s="4">
        <v>2014</v>
      </c>
      <c r="C197" s="4" t="s">
        <v>64</v>
      </c>
      <c r="D197" s="4">
        <v>1</v>
      </c>
      <c r="E197" s="4">
        <v>4</v>
      </c>
      <c r="F197" s="4">
        <v>1</v>
      </c>
      <c r="G197" s="6" t="str">
        <f t="shared" si="6"/>
        <v>41</v>
      </c>
      <c r="H197" s="5">
        <v>20</v>
      </c>
      <c r="I197" s="5">
        <v>212.7599544</v>
      </c>
      <c r="J197" s="5">
        <v>13353.35518102298</v>
      </c>
      <c r="K197" s="5">
        <v>12</v>
      </c>
      <c r="L197" s="5">
        <v>186.603284</v>
      </c>
      <c r="M197" s="5">
        <v>11711.696104768964</v>
      </c>
      <c r="N197" s="5">
        <v>-66.666666666666657</v>
      </c>
      <c r="O197" s="5">
        <v>26.156670399999996</v>
      </c>
      <c r="P197" s="5">
        <v>1641.6590762540163</v>
      </c>
      <c r="Q197" s="5">
        <v>14.017261561163103</v>
      </c>
    </row>
    <row r="198" spans="1:17" x14ac:dyDescent="0.2">
      <c r="A198" s="4" t="s">
        <v>78</v>
      </c>
      <c r="B198" s="4">
        <v>2014</v>
      </c>
      <c r="C198" s="4" t="s">
        <v>64</v>
      </c>
      <c r="D198" s="4">
        <v>2</v>
      </c>
      <c r="E198" s="4">
        <v>4</v>
      </c>
      <c r="F198" s="4">
        <v>1</v>
      </c>
      <c r="G198" s="6" t="str">
        <f t="shared" si="6"/>
        <v>41</v>
      </c>
      <c r="H198" s="5">
        <v>12</v>
      </c>
      <c r="I198" s="5">
        <v>214.5538377</v>
      </c>
      <c r="J198" s="5">
        <v>13465.943853669385</v>
      </c>
      <c r="K198" s="5">
        <v>14</v>
      </c>
      <c r="L198" s="5">
        <v>190.84363060000001</v>
      </c>
      <c r="M198" s="5">
        <v>11977.831028514949</v>
      </c>
      <c r="N198" s="5">
        <v>14.285714285714285</v>
      </c>
      <c r="O198" s="5">
        <v>23.710207099999991</v>
      </c>
      <c r="P198" s="5">
        <v>1488.112825154436</v>
      </c>
      <c r="Q198" s="5">
        <v>12.423892285771684</v>
      </c>
    </row>
    <row r="199" spans="1:17" x14ac:dyDescent="0.2">
      <c r="A199" s="4" t="s">
        <v>78</v>
      </c>
      <c r="B199" s="4">
        <v>2014</v>
      </c>
      <c r="C199" s="4" t="s">
        <v>64</v>
      </c>
      <c r="D199" s="4">
        <v>3</v>
      </c>
      <c r="E199" s="4">
        <v>4</v>
      </c>
      <c r="F199" s="4">
        <v>1</v>
      </c>
      <c r="G199" s="6" t="str">
        <f t="shared" si="6"/>
        <v>41</v>
      </c>
      <c r="H199" s="5">
        <v>8</v>
      </c>
      <c r="I199" s="5">
        <v>218.34094339999999</v>
      </c>
      <c r="J199" s="5">
        <v>13703.632227230046</v>
      </c>
      <c r="K199" s="5">
        <v>18</v>
      </c>
      <c r="L199" s="5">
        <v>191.81078445</v>
      </c>
      <c r="M199" s="5">
        <v>12038.532060859896</v>
      </c>
      <c r="N199" s="5">
        <v>55.555555555555557</v>
      </c>
      <c r="O199" s="5">
        <v>26.530158949999986</v>
      </c>
      <c r="P199" s="5">
        <v>1665.10016637015</v>
      </c>
      <c r="Q199" s="5">
        <v>13.831421953709647</v>
      </c>
    </row>
    <row r="200" spans="1:17" x14ac:dyDescent="0.2">
      <c r="A200" s="4" t="s">
        <v>78</v>
      </c>
      <c r="B200" s="4">
        <v>2014</v>
      </c>
      <c r="C200" s="4" t="s">
        <v>64</v>
      </c>
      <c r="D200" s="4">
        <v>4</v>
      </c>
      <c r="E200" s="4">
        <v>4</v>
      </c>
      <c r="F200" s="4">
        <v>1</v>
      </c>
      <c r="G200" s="6" t="str">
        <f t="shared" si="6"/>
        <v>41</v>
      </c>
      <c r="H200" s="5">
        <v>4</v>
      </c>
      <c r="I200" s="5">
        <v>196.8315824</v>
      </c>
      <c r="J200" s="5">
        <v>12353.650093797874</v>
      </c>
      <c r="K200" s="5">
        <v>16</v>
      </c>
      <c r="L200" s="5">
        <v>212.23650125</v>
      </c>
      <c r="M200" s="5">
        <v>13320.501931677785</v>
      </c>
      <c r="N200" s="5">
        <v>75</v>
      </c>
      <c r="O200" s="5">
        <v>-15.404918850000001</v>
      </c>
      <c r="P200" s="5">
        <v>-966.85183787991082</v>
      </c>
      <c r="Q200" s="5">
        <v>-7.2583739174318858</v>
      </c>
    </row>
    <row r="201" spans="1:17" x14ac:dyDescent="0.2">
      <c r="A201" s="4" t="s">
        <v>70</v>
      </c>
      <c r="B201" s="4">
        <v>2014</v>
      </c>
      <c r="C201" s="4" t="s">
        <v>64</v>
      </c>
      <c r="D201" s="4">
        <v>1</v>
      </c>
      <c r="E201" s="4">
        <v>6</v>
      </c>
      <c r="F201" s="4">
        <v>1</v>
      </c>
      <c r="G201" s="6" t="str">
        <f t="shared" si="6"/>
        <v>61</v>
      </c>
      <c r="H201" s="5">
        <v>8</v>
      </c>
      <c r="I201" s="5">
        <v>217.56081750000004</v>
      </c>
      <c r="J201" s="5">
        <v>13654.669544106748</v>
      </c>
      <c r="K201" s="5">
        <v>10</v>
      </c>
      <c r="L201" s="5">
        <v>214.51043392152775</v>
      </c>
      <c r="M201" s="5">
        <v>13463.219722280219</v>
      </c>
      <c r="N201" s="5">
        <v>20</v>
      </c>
      <c r="O201" s="5">
        <v>3.0503835784722924</v>
      </c>
      <c r="P201" s="5">
        <v>191.44982182652893</v>
      </c>
      <c r="Q201" s="5">
        <v>1.4220210750159528</v>
      </c>
    </row>
    <row r="202" spans="1:17" x14ac:dyDescent="0.2">
      <c r="A202" s="4" t="s">
        <v>70</v>
      </c>
      <c r="B202" s="4">
        <v>2014</v>
      </c>
      <c r="C202" s="4" t="s">
        <v>64</v>
      </c>
      <c r="D202" s="4">
        <v>2</v>
      </c>
      <c r="E202" s="4">
        <v>6</v>
      </c>
      <c r="F202" s="4">
        <v>1</v>
      </c>
      <c r="G202" s="6" t="str">
        <f t="shared" si="6"/>
        <v>61</v>
      </c>
      <c r="H202" s="5">
        <v>8</v>
      </c>
      <c r="I202" s="5">
        <v>200.09869440833333</v>
      </c>
      <c r="J202" s="5">
        <v>12558.702342405897</v>
      </c>
      <c r="K202" s="5">
        <v>10</v>
      </c>
      <c r="L202" s="5">
        <v>200.44774846597221</v>
      </c>
      <c r="M202" s="5">
        <v>12580.609861714094</v>
      </c>
      <c r="N202" s="5">
        <v>20</v>
      </c>
      <c r="O202" s="5">
        <v>-0.34905405763888098</v>
      </c>
      <c r="P202" s="5">
        <v>-21.907519308197152</v>
      </c>
      <c r="Q202" s="5">
        <v>-0.17413718054215438</v>
      </c>
    </row>
    <row r="203" spans="1:17" x14ac:dyDescent="0.2">
      <c r="A203" s="4" t="s">
        <v>70</v>
      </c>
      <c r="B203" s="4">
        <v>2014</v>
      </c>
      <c r="C203" s="4" t="s">
        <v>64</v>
      </c>
      <c r="D203" s="4">
        <v>3</v>
      </c>
      <c r="E203" s="4">
        <v>6</v>
      </c>
      <c r="F203" s="4">
        <v>1</v>
      </c>
      <c r="G203" s="6" t="str">
        <f t="shared" si="6"/>
        <v>61</v>
      </c>
      <c r="H203" s="5">
        <v>8</v>
      </c>
      <c r="I203" s="5">
        <v>219.93728786666665</v>
      </c>
      <c r="J203" s="5">
        <v>13803.822860917551</v>
      </c>
      <c r="K203" s="5">
        <v>12.5</v>
      </c>
      <c r="L203" s="5">
        <v>224.63576321805556</v>
      </c>
      <c r="M203" s="5">
        <v>14098.711108817917</v>
      </c>
      <c r="N203" s="5">
        <v>36</v>
      </c>
      <c r="O203" s="5">
        <v>-4.6984753513889075</v>
      </c>
      <c r="P203" s="5">
        <v>-294.88824790036597</v>
      </c>
      <c r="Q203" s="5">
        <v>-2.0915972078889582</v>
      </c>
    </row>
    <row r="204" spans="1:17" x14ac:dyDescent="0.2">
      <c r="A204" s="4" t="s">
        <v>70</v>
      </c>
      <c r="B204" s="4">
        <v>2014</v>
      </c>
      <c r="C204" s="4" t="s">
        <v>64</v>
      </c>
      <c r="D204" s="4">
        <v>4</v>
      </c>
      <c r="E204" s="4">
        <v>6</v>
      </c>
      <c r="F204" s="4">
        <v>1</v>
      </c>
      <c r="G204" s="6" t="str">
        <f t="shared" si="6"/>
        <v>61</v>
      </c>
      <c r="H204" s="5">
        <v>6</v>
      </c>
      <c r="I204" s="5">
        <v>228.66270342361111</v>
      </c>
      <c r="J204" s="5">
        <v>14351.452105163633</v>
      </c>
      <c r="K204" s="5">
        <v>7.5</v>
      </c>
      <c r="L204" s="5">
        <v>217.12300788333334</v>
      </c>
      <c r="M204" s="5">
        <v>13627.191500461247</v>
      </c>
      <c r="N204" s="5">
        <v>20</v>
      </c>
      <c r="O204" s="5">
        <v>11.539695540277762</v>
      </c>
      <c r="P204" s="5">
        <v>724.26060470238554</v>
      </c>
      <c r="Q204" s="5">
        <v>5.3148193057819073</v>
      </c>
    </row>
    <row r="205" spans="1:17" x14ac:dyDescent="0.2">
      <c r="A205" s="4" t="s">
        <v>65</v>
      </c>
      <c r="B205" s="4">
        <v>2014</v>
      </c>
      <c r="C205" s="4" t="s">
        <v>64</v>
      </c>
      <c r="D205" s="4">
        <v>1</v>
      </c>
      <c r="E205" s="4">
        <v>6</v>
      </c>
      <c r="F205" s="4">
        <v>1</v>
      </c>
      <c r="G205" s="6" t="str">
        <f t="shared" si="6"/>
        <v>61</v>
      </c>
      <c r="H205" s="5">
        <v>10</v>
      </c>
      <c r="I205" s="5">
        <v>202.77461697916667</v>
      </c>
      <c r="J205" s="5">
        <v>12726.650040204679</v>
      </c>
      <c r="K205" s="5">
        <v>11</v>
      </c>
      <c r="L205" s="5">
        <v>200.53205195075759</v>
      </c>
      <c r="M205" s="5">
        <v>12585.900962562991</v>
      </c>
      <c r="N205" s="5">
        <v>9.0909090909090917</v>
      </c>
      <c r="O205" s="5">
        <v>2.242565028409075</v>
      </c>
      <c r="P205" s="5">
        <v>140.74907764168711</v>
      </c>
      <c r="Q205" s="5">
        <v>1.1183075257015607</v>
      </c>
    </row>
    <row r="206" spans="1:17" x14ac:dyDescent="0.2">
      <c r="A206" s="4" t="s">
        <v>65</v>
      </c>
      <c r="B206" s="4">
        <v>2014</v>
      </c>
      <c r="C206" s="4" t="s">
        <v>64</v>
      </c>
      <c r="D206" s="4">
        <v>2</v>
      </c>
      <c r="E206" s="4">
        <v>6</v>
      </c>
      <c r="F206" s="4">
        <v>1</v>
      </c>
      <c r="G206" s="6" t="str">
        <f t="shared" si="6"/>
        <v>61</v>
      </c>
      <c r="H206" s="5">
        <v>5</v>
      </c>
      <c r="I206" s="5">
        <v>205.62118286931818</v>
      </c>
      <c r="J206" s="5">
        <v>12905.307746184042</v>
      </c>
      <c r="K206" s="5">
        <v>12</v>
      </c>
      <c r="L206" s="5">
        <v>201.86809265151518</v>
      </c>
      <c r="M206" s="5">
        <v>12669.754270690599</v>
      </c>
      <c r="N206" s="5">
        <v>58.333333333333336</v>
      </c>
      <c r="O206" s="5">
        <v>3.7530902178029919</v>
      </c>
      <c r="P206" s="5">
        <v>235.55347549344333</v>
      </c>
      <c r="Q206" s="5">
        <v>1.8591795109898674</v>
      </c>
    </row>
    <row r="207" spans="1:17" x14ac:dyDescent="0.2">
      <c r="A207" s="4" t="s">
        <v>65</v>
      </c>
      <c r="B207" s="4">
        <v>2014</v>
      </c>
      <c r="C207" s="4" t="s">
        <v>64</v>
      </c>
      <c r="D207" s="4">
        <v>3</v>
      </c>
      <c r="E207" s="4">
        <v>6</v>
      </c>
      <c r="F207" s="4">
        <v>1</v>
      </c>
      <c r="G207" s="6" t="str">
        <f t="shared" si="6"/>
        <v>61</v>
      </c>
      <c r="H207" s="5">
        <v>4</v>
      </c>
      <c r="I207" s="5">
        <v>202.10262156249999</v>
      </c>
      <c r="J207" s="5">
        <v>12684.473900883369</v>
      </c>
      <c r="K207" s="5">
        <v>7.5</v>
      </c>
      <c r="L207" s="5">
        <v>198.79034527462122</v>
      </c>
      <c r="M207" s="5">
        <v>12476.587027366886</v>
      </c>
      <c r="N207" s="5">
        <v>46.666666666666664</v>
      </c>
      <c r="O207" s="5">
        <v>3.3122762878787739</v>
      </c>
      <c r="P207" s="5">
        <v>207.88687351648332</v>
      </c>
      <c r="Q207" s="5">
        <v>1.6662158734635675</v>
      </c>
    </row>
    <row r="208" spans="1:17" x14ac:dyDescent="0.2">
      <c r="A208" s="4" t="s">
        <v>65</v>
      </c>
      <c r="B208" s="4">
        <v>2014</v>
      </c>
      <c r="C208" s="4" t="s">
        <v>64</v>
      </c>
      <c r="D208" s="4">
        <v>4</v>
      </c>
      <c r="E208" s="4">
        <v>6</v>
      </c>
      <c r="F208" s="4">
        <v>1</v>
      </c>
      <c r="G208" s="6" t="str">
        <f t="shared" si="6"/>
        <v>61</v>
      </c>
      <c r="H208" s="5">
        <v>5</v>
      </c>
      <c r="I208" s="5">
        <v>219.80442859848489</v>
      </c>
      <c r="J208" s="5">
        <v>13795.484275763569</v>
      </c>
      <c r="K208" s="5">
        <v>9</v>
      </c>
      <c r="L208" s="5">
        <v>204.74373928977272</v>
      </c>
      <c r="M208" s="5">
        <v>12850.237158290653</v>
      </c>
      <c r="N208" s="5">
        <v>44.444444444444443</v>
      </c>
      <c r="O208" s="5">
        <v>15.06068930871217</v>
      </c>
      <c r="P208" s="5">
        <v>945.24711747291622</v>
      </c>
      <c r="Q208" s="5">
        <v>7.3558729370458851</v>
      </c>
    </row>
    <row r="209" spans="1:17" x14ac:dyDescent="0.2">
      <c r="A209" s="4" t="s">
        <v>91</v>
      </c>
      <c r="B209" s="4">
        <v>2014</v>
      </c>
      <c r="C209" s="4" t="s">
        <v>64</v>
      </c>
      <c r="D209" s="4">
        <v>1</v>
      </c>
      <c r="E209" s="31">
        <v>6</v>
      </c>
      <c r="F209" s="4">
        <v>1</v>
      </c>
      <c r="G209" s="6" t="str">
        <f t="shared" si="6"/>
        <v>61</v>
      </c>
      <c r="H209" s="5">
        <v>0.1</v>
      </c>
      <c r="I209" s="29">
        <v>219.22408659999999</v>
      </c>
      <c r="J209" s="29">
        <f>I209*(25.4/0.4047)</f>
        <v>13759.060537781072</v>
      </c>
      <c r="K209" s="30">
        <v>0.1</v>
      </c>
      <c r="L209" s="29">
        <v>199.7</v>
      </c>
      <c r="M209" s="29">
        <f>L209*(25.4/0.4047)</f>
        <v>12533.67926859402</v>
      </c>
      <c r="N209" s="5">
        <f>(K209-H209)/K209*100</f>
        <v>0</v>
      </c>
      <c r="O209" s="5">
        <f t="shared" ref="O209:P212" si="7">I209-L209</f>
        <v>19.524086600000004</v>
      </c>
      <c r="P209" s="5">
        <f t="shared" si="7"/>
        <v>1225.3812691870517</v>
      </c>
      <c r="Q209" s="5">
        <f>SUM(P209/M209)*100</f>
        <v>9.7767083625438129</v>
      </c>
    </row>
    <row r="210" spans="1:17" x14ac:dyDescent="0.2">
      <c r="A210" s="4" t="s">
        <v>91</v>
      </c>
      <c r="B210" s="4">
        <v>2014</v>
      </c>
      <c r="C210" s="4" t="s">
        <v>64</v>
      </c>
      <c r="D210" s="4">
        <v>2</v>
      </c>
      <c r="E210" s="31">
        <v>6</v>
      </c>
      <c r="F210" s="4">
        <v>1</v>
      </c>
      <c r="G210" s="6" t="str">
        <f t="shared" si="6"/>
        <v>61</v>
      </c>
      <c r="H210" s="5">
        <v>3</v>
      </c>
      <c r="I210" s="29">
        <v>209.03986190000001</v>
      </c>
      <c r="J210" s="29">
        <f>I210*(25.4/0.4047)</f>
        <v>13119.872726118112</v>
      </c>
      <c r="K210" s="30">
        <v>0</v>
      </c>
      <c r="L210" s="29">
        <v>203.3</v>
      </c>
      <c r="M210" s="29">
        <f>L210*(25.4/0.4047)</f>
        <v>12759.624413145541</v>
      </c>
      <c r="N210" s="5" t="s">
        <v>97</v>
      </c>
      <c r="O210" s="5">
        <f t="shared" si="7"/>
        <v>5.739861899999994</v>
      </c>
      <c r="P210" s="5">
        <f t="shared" si="7"/>
        <v>360.24831297257151</v>
      </c>
      <c r="Q210" s="5">
        <f>SUM(P210/M210)*100</f>
        <v>2.8233457452041257</v>
      </c>
    </row>
    <row r="211" spans="1:17" x14ac:dyDescent="0.2">
      <c r="A211" s="4" t="s">
        <v>91</v>
      </c>
      <c r="B211" s="4">
        <v>2014</v>
      </c>
      <c r="C211" s="4" t="s">
        <v>64</v>
      </c>
      <c r="D211" s="4">
        <v>3</v>
      </c>
      <c r="E211" s="31">
        <v>6</v>
      </c>
      <c r="F211" s="4">
        <v>1</v>
      </c>
      <c r="G211" s="6" t="str">
        <f t="shared" si="6"/>
        <v>61</v>
      </c>
      <c r="H211" s="5">
        <v>1</v>
      </c>
      <c r="I211" s="29">
        <v>218.51643089999999</v>
      </c>
      <c r="J211" s="29">
        <f>I211*(25.4/0.4047)</f>
        <v>13714.64626849518</v>
      </c>
      <c r="K211" s="30">
        <v>0.1</v>
      </c>
      <c r="L211" s="29">
        <v>199.7</v>
      </c>
      <c r="M211" s="29">
        <f>L211*(25.4/0.4047)</f>
        <v>12533.67926859402</v>
      </c>
      <c r="N211" s="5">
        <f>(K211-H211)/K211*100</f>
        <v>-900</v>
      </c>
      <c r="O211" s="5">
        <f t="shared" si="7"/>
        <v>18.8164309</v>
      </c>
      <c r="P211" s="5">
        <f t="shared" si="7"/>
        <v>1180.9669999011603</v>
      </c>
      <c r="Q211" s="5">
        <f>SUM(P211/M211)*100</f>
        <v>9.4223489734601813</v>
      </c>
    </row>
    <row r="212" spans="1:17" x14ac:dyDescent="0.2">
      <c r="A212" s="4" t="s">
        <v>91</v>
      </c>
      <c r="B212" s="4">
        <v>2014</v>
      </c>
      <c r="C212" s="4" t="s">
        <v>64</v>
      </c>
      <c r="D212" s="4">
        <v>4</v>
      </c>
      <c r="E212" s="31">
        <v>6</v>
      </c>
      <c r="F212" s="4">
        <v>1</v>
      </c>
      <c r="G212" s="6" t="str">
        <f t="shared" si="6"/>
        <v>61</v>
      </c>
      <c r="H212" s="5">
        <v>0.1</v>
      </c>
      <c r="I212" s="29">
        <v>205.8695142</v>
      </c>
      <c r="J212" s="29">
        <f>I212*(25.4/0.4047)</f>
        <v>12920.893651297258</v>
      </c>
      <c r="K212" s="30">
        <v>0.1</v>
      </c>
      <c r="L212" s="29">
        <v>203.3</v>
      </c>
      <c r="M212" s="29">
        <f>L212*(25.4/0.4047)</f>
        <v>12759.624413145541</v>
      </c>
      <c r="N212" s="5">
        <f>(K212-H212)/K212*100</f>
        <v>0</v>
      </c>
      <c r="O212" s="5">
        <f t="shared" si="7"/>
        <v>2.5695141999999862</v>
      </c>
      <c r="P212" s="5">
        <f t="shared" si="7"/>
        <v>161.26923815171722</v>
      </c>
      <c r="Q212" s="5">
        <f>SUM(P212/M212)*100</f>
        <v>1.2639027053615339</v>
      </c>
    </row>
    <row r="213" spans="1:17" x14ac:dyDescent="0.2">
      <c r="A213" s="4" t="s">
        <v>78</v>
      </c>
      <c r="B213" s="4">
        <v>2014</v>
      </c>
      <c r="C213" s="4" t="s">
        <v>64</v>
      </c>
      <c r="D213" s="4">
        <v>1</v>
      </c>
      <c r="E213" s="4">
        <v>6</v>
      </c>
      <c r="F213" s="4">
        <v>1</v>
      </c>
      <c r="G213" s="6" t="str">
        <f t="shared" si="6"/>
        <v>61</v>
      </c>
      <c r="H213" s="5">
        <v>16</v>
      </c>
      <c r="I213" s="5">
        <v>172.84496200000001</v>
      </c>
      <c r="J213" s="5">
        <v>10848.188867803312</v>
      </c>
      <c r="K213" s="5">
        <v>12</v>
      </c>
      <c r="L213" s="5">
        <v>186.603284</v>
      </c>
      <c r="M213" s="5">
        <v>11711.696104768964</v>
      </c>
      <c r="N213" s="5">
        <v>-33.333333333333329</v>
      </c>
      <c r="O213" s="5">
        <v>-13.758321999999993</v>
      </c>
      <c r="P213" s="5">
        <v>-863.50723696565183</v>
      </c>
      <c r="Q213" s="5">
        <v>-7.373033156265338</v>
      </c>
    </row>
    <row r="214" spans="1:17" x14ac:dyDescent="0.2">
      <c r="A214" s="4" t="s">
        <v>78</v>
      </c>
      <c r="B214" s="4">
        <v>2014</v>
      </c>
      <c r="C214" s="4" t="s">
        <v>64</v>
      </c>
      <c r="D214" s="4">
        <v>2</v>
      </c>
      <c r="E214" s="4">
        <v>6</v>
      </c>
      <c r="F214" s="4">
        <v>1</v>
      </c>
      <c r="G214" s="6" t="str">
        <f t="shared" si="6"/>
        <v>61</v>
      </c>
      <c r="H214" s="5">
        <v>16</v>
      </c>
      <c r="I214" s="5">
        <v>205.335038</v>
      </c>
      <c r="J214" s="5">
        <v>12887.348567333827</v>
      </c>
      <c r="K214" s="5">
        <v>14</v>
      </c>
      <c r="L214" s="5">
        <v>190.84363060000001</v>
      </c>
      <c r="M214" s="5">
        <v>11977.831028514949</v>
      </c>
      <c r="N214" s="5">
        <v>-14.285714285714285</v>
      </c>
      <c r="O214" s="5">
        <v>14.491407399999986</v>
      </c>
      <c r="P214" s="5">
        <v>909.51753881887817</v>
      </c>
      <c r="Q214" s="5">
        <v>7.5933408699257896</v>
      </c>
    </row>
    <row r="215" spans="1:17" x14ac:dyDescent="0.2">
      <c r="A215" s="4" t="s">
        <v>78</v>
      </c>
      <c r="B215" s="4">
        <v>2014</v>
      </c>
      <c r="C215" s="4" t="s">
        <v>64</v>
      </c>
      <c r="D215" s="4">
        <v>3</v>
      </c>
      <c r="E215" s="4">
        <v>6</v>
      </c>
      <c r="F215" s="4">
        <v>1</v>
      </c>
      <c r="G215" s="6" t="str">
        <f t="shared" si="6"/>
        <v>61</v>
      </c>
      <c r="H215" s="5">
        <v>4</v>
      </c>
      <c r="I215" s="5">
        <v>220.97268639999999</v>
      </c>
      <c r="J215" s="5">
        <v>13868.807102940449</v>
      </c>
      <c r="K215" s="5">
        <v>18</v>
      </c>
      <c r="L215" s="5">
        <v>191.81078445</v>
      </c>
      <c r="M215" s="5">
        <v>12038.532060859896</v>
      </c>
      <c r="N215" s="5">
        <v>77.777777777777786</v>
      </c>
      <c r="O215" s="5">
        <v>29.161901949999987</v>
      </c>
      <c r="P215" s="5">
        <v>1830.2750420805532</v>
      </c>
      <c r="Q215" s="5">
        <v>15.20347358654473</v>
      </c>
    </row>
    <row r="216" spans="1:17" x14ac:dyDescent="0.2">
      <c r="A216" s="4" t="s">
        <v>78</v>
      </c>
      <c r="B216" s="4">
        <v>2014</v>
      </c>
      <c r="C216" s="4" t="s">
        <v>64</v>
      </c>
      <c r="D216" s="4">
        <v>4</v>
      </c>
      <c r="E216" s="4">
        <v>6</v>
      </c>
      <c r="F216" s="4">
        <v>1</v>
      </c>
      <c r="G216" s="6" t="str">
        <f t="shared" si="6"/>
        <v>61</v>
      </c>
      <c r="H216" s="5">
        <v>12</v>
      </c>
      <c r="I216" s="5">
        <v>209.30892979999999</v>
      </c>
      <c r="J216" s="5">
        <v>13136.760110995798</v>
      </c>
      <c r="K216" s="5">
        <v>16</v>
      </c>
      <c r="L216" s="5">
        <v>212.23650125</v>
      </c>
      <c r="M216" s="5">
        <v>13320.501931677785</v>
      </c>
      <c r="N216" s="5">
        <v>25</v>
      </c>
      <c r="O216" s="5">
        <v>-2.9275714500000163</v>
      </c>
      <c r="P216" s="5">
        <v>-183.74182068198752</v>
      </c>
      <c r="Q216" s="5">
        <v>-1.3793911192267234</v>
      </c>
    </row>
    <row r="217" spans="1:17" x14ac:dyDescent="0.2">
      <c r="A217" s="4" t="s">
        <v>70</v>
      </c>
      <c r="B217" s="4">
        <v>2014</v>
      </c>
      <c r="C217" s="4" t="s">
        <v>64</v>
      </c>
      <c r="D217" s="4">
        <v>1</v>
      </c>
      <c r="E217" s="4">
        <v>7</v>
      </c>
      <c r="F217" s="4">
        <v>2</v>
      </c>
      <c r="G217" s="6" t="str">
        <f t="shared" si="6"/>
        <v>72</v>
      </c>
      <c r="H217" s="5">
        <v>1</v>
      </c>
      <c r="I217" s="5">
        <v>220.85098684027778</v>
      </c>
      <c r="J217" s="5">
        <v>13861.168929436757</v>
      </c>
      <c r="K217" s="5">
        <v>10</v>
      </c>
      <c r="L217" s="5">
        <v>214.51043392152775</v>
      </c>
      <c r="M217" s="5">
        <v>13463.219722280219</v>
      </c>
      <c r="N217" s="5">
        <v>90</v>
      </c>
      <c r="O217" s="5">
        <v>6.3405529187500349</v>
      </c>
      <c r="P217" s="5">
        <v>397.94920715653825</v>
      </c>
      <c r="Q217" s="5">
        <v>2.9558249465243001</v>
      </c>
    </row>
    <row r="218" spans="1:17" x14ac:dyDescent="0.2">
      <c r="A218" s="4" t="s">
        <v>70</v>
      </c>
      <c r="B218" s="4">
        <v>2014</v>
      </c>
      <c r="C218" s="4" t="s">
        <v>64</v>
      </c>
      <c r="D218" s="4">
        <v>2</v>
      </c>
      <c r="E218" s="4">
        <v>7</v>
      </c>
      <c r="F218" s="4">
        <v>2</v>
      </c>
      <c r="G218" s="6" t="str">
        <f t="shared" si="6"/>
        <v>72</v>
      </c>
      <c r="H218" s="5">
        <v>1</v>
      </c>
      <c r="I218" s="5">
        <v>207.80470212361112</v>
      </c>
      <c r="J218" s="5">
        <v>13042.350961056887</v>
      </c>
      <c r="K218" s="5">
        <v>10</v>
      </c>
      <c r="L218" s="5">
        <v>200.44774846597221</v>
      </c>
      <c r="M218" s="5">
        <v>12580.609861714094</v>
      </c>
      <c r="N218" s="5">
        <v>90</v>
      </c>
      <c r="O218" s="5">
        <v>7.3569536576389112</v>
      </c>
      <c r="P218" s="5">
        <v>461.74109934279295</v>
      </c>
      <c r="Q218" s="5">
        <v>3.6702600622564829</v>
      </c>
    </row>
    <row r="219" spans="1:17" x14ac:dyDescent="0.2">
      <c r="A219" s="4" t="s">
        <v>70</v>
      </c>
      <c r="B219" s="4">
        <v>2014</v>
      </c>
      <c r="C219" s="4" t="s">
        <v>64</v>
      </c>
      <c r="D219" s="4">
        <v>3</v>
      </c>
      <c r="E219" s="4">
        <v>7</v>
      </c>
      <c r="F219" s="4">
        <v>2</v>
      </c>
      <c r="G219" s="6" t="str">
        <f t="shared" si="6"/>
        <v>72</v>
      </c>
      <c r="H219" s="5">
        <v>0</v>
      </c>
      <c r="I219" s="5">
        <v>224.42946983055558</v>
      </c>
      <c r="J219" s="5">
        <v>14085.763611801611</v>
      </c>
      <c r="K219" s="5">
        <v>12.5</v>
      </c>
      <c r="L219" s="5">
        <v>224.63576321805556</v>
      </c>
      <c r="M219" s="5">
        <v>14098.711108817917</v>
      </c>
      <c r="N219" s="5">
        <v>100</v>
      </c>
      <c r="O219" s="5">
        <v>-0.20629338749998283</v>
      </c>
      <c r="P219" s="5">
        <v>-12.947497016306443</v>
      </c>
      <c r="Q219" s="5">
        <v>-9.1834614642245863E-2</v>
      </c>
    </row>
    <row r="220" spans="1:17" x14ac:dyDescent="0.2">
      <c r="A220" s="4" t="s">
        <v>70</v>
      </c>
      <c r="B220" s="4">
        <v>2014</v>
      </c>
      <c r="C220" s="4" t="s">
        <v>64</v>
      </c>
      <c r="D220" s="4">
        <v>4</v>
      </c>
      <c r="E220" s="4">
        <v>7</v>
      </c>
      <c r="F220" s="4">
        <v>2</v>
      </c>
      <c r="G220" s="6" t="str">
        <f t="shared" si="6"/>
        <v>72</v>
      </c>
      <c r="H220" s="5">
        <v>0</v>
      </c>
      <c r="I220" s="5">
        <v>221.89733586805559</v>
      </c>
      <c r="J220" s="5">
        <v>13926.840452306924</v>
      </c>
      <c r="K220" s="5">
        <v>7.5</v>
      </c>
      <c r="L220" s="5">
        <v>217.12300788333334</v>
      </c>
      <c r="M220" s="5">
        <v>13627.191500461247</v>
      </c>
      <c r="N220" s="5">
        <v>100</v>
      </c>
      <c r="O220" s="5">
        <v>4.7743279847222482</v>
      </c>
      <c r="P220" s="5">
        <v>299.64895184567649</v>
      </c>
      <c r="Q220" s="5">
        <v>2.1989046813903959</v>
      </c>
    </row>
    <row r="221" spans="1:17" x14ac:dyDescent="0.2">
      <c r="A221" s="4" t="s">
        <v>65</v>
      </c>
      <c r="B221" s="4">
        <v>2014</v>
      </c>
      <c r="C221" s="4" t="s">
        <v>64</v>
      </c>
      <c r="D221" s="4">
        <v>1</v>
      </c>
      <c r="E221" s="4">
        <v>7</v>
      </c>
      <c r="F221" s="4">
        <v>2</v>
      </c>
      <c r="G221" s="6" t="str">
        <f t="shared" si="6"/>
        <v>72</v>
      </c>
      <c r="H221" s="5">
        <v>3</v>
      </c>
      <c r="I221" s="5">
        <v>216.78421507575757</v>
      </c>
      <c r="J221" s="5">
        <v>13605.928003272158</v>
      </c>
      <c r="K221" s="5">
        <v>11</v>
      </c>
      <c r="L221" s="5">
        <v>200.53205195075759</v>
      </c>
      <c r="M221" s="5">
        <v>12585.900962562991</v>
      </c>
      <c r="N221" s="5">
        <v>72.727272727272734</v>
      </c>
      <c r="O221" s="5">
        <v>16.252163124999981</v>
      </c>
      <c r="P221" s="5">
        <v>1020.0270407091666</v>
      </c>
      <c r="Q221" s="5">
        <v>8.1045214303152147</v>
      </c>
    </row>
    <row r="222" spans="1:17" x14ac:dyDescent="0.2">
      <c r="A222" s="4" t="s">
        <v>65</v>
      </c>
      <c r="B222" s="4">
        <v>2014</v>
      </c>
      <c r="C222" s="4" t="s">
        <v>64</v>
      </c>
      <c r="D222" s="4">
        <v>2</v>
      </c>
      <c r="E222" s="4">
        <v>7</v>
      </c>
      <c r="F222" s="4">
        <v>2</v>
      </c>
      <c r="G222" s="6" t="str">
        <f t="shared" si="6"/>
        <v>72</v>
      </c>
      <c r="H222" s="5">
        <v>2</v>
      </c>
      <c r="I222" s="5">
        <v>218.29432183712123</v>
      </c>
      <c r="J222" s="5">
        <v>13700.706139517863</v>
      </c>
      <c r="K222" s="5">
        <v>12</v>
      </c>
      <c r="L222" s="5">
        <v>201.86809265151518</v>
      </c>
      <c r="M222" s="5">
        <v>12669.754270690599</v>
      </c>
      <c r="N222" s="5">
        <v>83.333333333333343</v>
      </c>
      <c r="O222" s="5">
        <v>16.426229185606047</v>
      </c>
      <c r="P222" s="5">
        <v>1030.9518688272638</v>
      </c>
      <c r="Q222" s="5">
        <v>8.1371102138279188</v>
      </c>
    </row>
    <row r="223" spans="1:17" x14ac:dyDescent="0.2">
      <c r="A223" s="4" t="s">
        <v>65</v>
      </c>
      <c r="B223" s="4">
        <v>2014</v>
      </c>
      <c r="C223" s="4" t="s">
        <v>64</v>
      </c>
      <c r="D223" s="4">
        <v>3</v>
      </c>
      <c r="E223" s="4">
        <v>7</v>
      </c>
      <c r="F223" s="4">
        <v>2</v>
      </c>
      <c r="G223" s="6" t="str">
        <f t="shared" si="6"/>
        <v>72</v>
      </c>
      <c r="H223" s="5">
        <v>2</v>
      </c>
      <c r="I223" s="5">
        <v>207.78236364583333</v>
      </c>
      <c r="J223" s="5">
        <v>13040.948941448398</v>
      </c>
      <c r="K223" s="5">
        <v>7.5</v>
      </c>
      <c r="L223" s="5">
        <v>198.79034527462122</v>
      </c>
      <c r="M223" s="5">
        <v>12476.587027366886</v>
      </c>
      <c r="N223" s="5">
        <v>73.333333333333329</v>
      </c>
      <c r="O223" s="5">
        <v>8.9920183712121116</v>
      </c>
      <c r="P223" s="5">
        <v>564.36191408151171</v>
      </c>
      <c r="Q223" s="5">
        <v>4.5233677514820911</v>
      </c>
    </row>
    <row r="224" spans="1:17" x14ac:dyDescent="0.2">
      <c r="A224" s="4" t="s">
        <v>65</v>
      </c>
      <c r="B224" s="4">
        <v>2014</v>
      </c>
      <c r="C224" s="4" t="s">
        <v>64</v>
      </c>
      <c r="D224" s="4">
        <v>4</v>
      </c>
      <c r="E224" s="4">
        <v>7</v>
      </c>
      <c r="F224" s="4">
        <v>2</v>
      </c>
      <c r="G224" s="6" t="str">
        <f t="shared" si="6"/>
        <v>72</v>
      </c>
      <c r="H224" s="5">
        <v>2</v>
      </c>
      <c r="I224" s="5">
        <v>236.24781333333337</v>
      </c>
      <c r="J224" s="5">
        <v>14827.51287043901</v>
      </c>
      <c r="K224" s="5">
        <v>9</v>
      </c>
      <c r="L224" s="5">
        <v>204.74373928977272</v>
      </c>
      <c r="M224" s="5">
        <v>12850.237158290653</v>
      </c>
      <c r="N224" s="5">
        <v>77.777777777777786</v>
      </c>
      <c r="O224" s="5">
        <v>31.504074043560649</v>
      </c>
      <c r="P224" s="5">
        <v>1977.2757121483573</v>
      </c>
      <c r="Q224" s="5">
        <v>15.387075645313427</v>
      </c>
    </row>
    <row r="225" spans="1:17" x14ac:dyDescent="0.2">
      <c r="A225" s="4" t="s">
        <v>91</v>
      </c>
      <c r="B225" s="4">
        <v>2014</v>
      </c>
      <c r="C225" s="4" t="s">
        <v>64</v>
      </c>
      <c r="D225" s="4">
        <v>1</v>
      </c>
      <c r="E225" s="31">
        <v>7</v>
      </c>
      <c r="F225" s="4">
        <v>2</v>
      </c>
      <c r="G225" s="6" t="str">
        <f t="shared" si="6"/>
        <v>72</v>
      </c>
      <c r="H225" s="5">
        <v>1</v>
      </c>
      <c r="I225" s="29">
        <v>224.6997997</v>
      </c>
      <c r="J225" s="29">
        <f>I225*(25.4/0.4047)</f>
        <v>14102.730201087224</v>
      </c>
      <c r="K225" s="30">
        <v>0.1</v>
      </c>
      <c r="L225" s="29">
        <v>199.7</v>
      </c>
      <c r="M225" s="29">
        <f>L225*(25.4/0.4047)</f>
        <v>12533.67926859402</v>
      </c>
      <c r="N225" s="5">
        <f>(K225-H225)/K225*100</f>
        <v>-900</v>
      </c>
      <c r="O225" s="5">
        <f t="shared" ref="O225:P228" si="8">I225-L225</f>
        <v>24.999799700000011</v>
      </c>
      <c r="P225" s="5">
        <f t="shared" si="8"/>
        <v>1569.0509324932045</v>
      </c>
      <c r="Q225" s="5">
        <f>SUM(P225/M225)*100</f>
        <v>12.518677866800198</v>
      </c>
    </row>
    <row r="226" spans="1:17" x14ac:dyDescent="0.2">
      <c r="A226" s="4" t="s">
        <v>91</v>
      </c>
      <c r="B226" s="4">
        <v>2014</v>
      </c>
      <c r="C226" s="4" t="s">
        <v>64</v>
      </c>
      <c r="D226" s="4">
        <v>2</v>
      </c>
      <c r="E226" s="31">
        <v>7</v>
      </c>
      <c r="F226" s="4">
        <v>2</v>
      </c>
      <c r="G226" s="6" t="str">
        <f t="shared" si="6"/>
        <v>72</v>
      </c>
      <c r="H226" s="5">
        <v>0.5</v>
      </c>
      <c r="I226" s="29">
        <v>215.77544030000001</v>
      </c>
      <c r="J226" s="29">
        <f>I226*(25.4/0.4047)</f>
        <v>13542.614735903138</v>
      </c>
      <c r="K226" s="30">
        <v>0</v>
      </c>
      <c r="L226" s="29">
        <v>203.3</v>
      </c>
      <c r="M226" s="29">
        <f>L226*(25.4/0.4047)</f>
        <v>12759.624413145541</v>
      </c>
      <c r="N226" s="5" t="s">
        <v>97</v>
      </c>
      <c r="O226" s="5">
        <f t="shared" si="8"/>
        <v>12.475440300000002</v>
      </c>
      <c r="P226" s="5">
        <f t="shared" si="8"/>
        <v>782.99032275759782</v>
      </c>
      <c r="Q226" s="5">
        <f>SUM(P226/M226)*100</f>
        <v>6.1364684210526281</v>
      </c>
    </row>
    <row r="227" spans="1:17" x14ac:dyDescent="0.2">
      <c r="A227" s="4" t="s">
        <v>91</v>
      </c>
      <c r="B227" s="4">
        <v>2014</v>
      </c>
      <c r="C227" s="4" t="s">
        <v>64</v>
      </c>
      <c r="D227" s="4">
        <v>3</v>
      </c>
      <c r="E227" s="31">
        <v>7</v>
      </c>
      <c r="F227" s="4">
        <v>2</v>
      </c>
      <c r="G227" s="6" t="str">
        <f t="shared" si="6"/>
        <v>72</v>
      </c>
      <c r="H227" s="5">
        <v>1</v>
      </c>
      <c r="I227" s="29">
        <v>222.5711914</v>
      </c>
      <c r="J227" s="29">
        <f>I227*(25.4/0.4047)</f>
        <v>13969.133337188041</v>
      </c>
      <c r="K227" s="30">
        <v>0.1</v>
      </c>
      <c r="L227" s="29">
        <v>199.7</v>
      </c>
      <c r="M227" s="29">
        <f>L227*(25.4/0.4047)</f>
        <v>12533.67926859402</v>
      </c>
      <c r="N227" s="5">
        <f>(K227-H227)/K227*100</f>
        <v>-900</v>
      </c>
      <c r="O227" s="5">
        <f t="shared" si="8"/>
        <v>22.871191400000015</v>
      </c>
      <c r="P227" s="5">
        <f t="shared" si="8"/>
        <v>1435.454068594021</v>
      </c>
      <c r="Q227" s="5">
        <f>SUM(P227/M227)*100</f>
        <v>11.452774862293447</v>
      </c>
    </row>
    <row r="228" spans="1:17" x14ac:dyDescent="0.2">
      <c r="A228" s="4" t="s">
        <v>91</v>
      </c>
      <c r="B228" s="4">
        <v>2014</v>
      </c>
      <c r="C228" s="4" t="s">
        <v>64</v>
      </c>
      <c r="D228" s="4">
        <v>4</v>
      </c>
      <c r="E228" s="31">
        <v>7</v>
      </c>
      <c r="F228" s="4">
        <v>2</v>
      </c>
      <c r="G228" s="6" t="str">
        <f t="shared" si="6"/>
        <v>72</v>
      </c>
      <c r="H228" s="5">
        <v>0.5</v>
      </c>
      <c r="I228" s="29">
        <v>227.50785769999999</v>
      </c>
      <c r="J228" s="29">
        <f>I228*(25.4/0.4047)</f>
        <v>14278.971054064737</v>
      </c>
      <c r="K228" s="30">
        <v>0.1</v>
      </c>
      <c r="L228" s="29">
        <v>203.3</v>
      </c>
      <c r="M228" s="29">
        <f>L228*(25.4/0.4047)</f>
        <v>12759.624413145541</v>
      </c>
      <c r="N228" s="5">
        <f>(K228-H228)/K228*100</f>
        <v>-400</v>
      </c>
      <c r="O228" s="5">
        <f t="shared" si="8"/>
        <v>24.207857699999977</v>
      </c>
      <c r="P228" s="5">
        <f t="shared" si="8"/>
        <v>1519.3466409191969</v>
      </c>
      <c r="Q228" s="5">
        <f>SUM(P228/M228)*100</f>
        <v>11.907455828824377</v>
      </c>
    </row>
    <row r="229" spans="1:17" s="7" customFormat="1" x14ac:dyDescent="0.2">
      <c r="A229" s="7" t="s">
        <v>78</v>
      </c>
      <c r="B229" s="7">
        <v>2014</v>
      </c>
      <c r="C229" s="7" t="s">
        <v>64</v>
      </c>
      <c r="D229" s="7">
        <v>1</v>
      </c>
      <c r="E229" s="7">
        <v>7</v>
      </c>
      <c r="F229" s="7">
        <v>2</v>
      </c>
      <c r="G229" s="6" t="str">
        <f t="shared" si="6"/>
        <v>72</v>
      </c>
      <c r="H229" s="9">
        <v>12</v>
      </c>
      <c r="I229" s="9">
        <v>177.05551650000001</v>
      </c>
      <c r="J229" s="9">
        <v>11112.453963676799</v>
      </c>
      <c r="K229" s="9">
        <v>12</v>
      </c>
      <c r="L229" s="9">
        <v>186.603284</v>
      </c>
      <c r="M229" s="9">
        <v>11711.696104768964</v>
      </c>
      <c r="N229" s="9">
        <v>0</v>
      </c>
      <c r="O229" s="9">
        <v>-9.547767499999992</v>
      </c>
      <c r="P229" s="9">
        <v>-599.24214109216518</v>
      </c>
      <c r="Q229" s="9">
        <v>-5.116612792302182</v>
      </c>
    </row>
    <row r="230" spans="1:17" x14ac:dyDescent="0.2">
      <c r="A230" s="4" t="s">
        <v>78</v>
      </c>
      <c r="B230" s="4">
        <v>2014</v>
      </c>
      <c r="C230" s="4" t="s">
        <v>64</v>
      </c>
      <c r="D230" s="4">
        <v>2</v>
      </c>
      <c r="E230" s="4">
        <v>7</v>
      </c>
      <c r="F230" s="4">
        <v>2</v>
      </c>
      <c r="G230" s="6" t="str">
        <f t="shared" si="6"/>
        <v>72</v>
      </c>
      <c r="H230" s="5">
        <v>12</v>
      </c>
      <c r="I230" s="5">
        <v>174.04551480000001</v>
      </c>
      <c r="J230" s="5">
        <v>10923.538611119347</v>
      </c>
      <c r="K230" s="5">
        <v>14</v>
      </c>
      <c r="L230" s="5">
        <v>190.84363060000001</v>
      </c>
      <c r="M230" s="5">
        <v>11977.831028514949</v>
      </c>
      <c r="N230" s="5">
        <v>14.285714285714285</v>
      </c>
      <c r="O230" s="5">
        <v>-16.798115800000005</v>
      </c>
      <c r="P230" s="5">
        <v>-1054.2924173956017</v>
      </c>
      <c r="Q230" s="5">
        <v>-8.8020311430818072</v>
      </c>
    </row>
    <row r="231" spans="1:17" x14ac:dyDescent="0.2">
      <c r="A231" s="4" t="s">
        <v>78</v>
      </c>
      <c r="B231" s="4">
        <v>2014</v>
      </c>
      <c r="C231" s="4" t="s">
        <v>64</v>
      </c>
      <c r="D231" s="4">
        <v>3</v>
      </c>
      <c r="E231" s="4">
        <v>7</v>
      </c>
      <c r="F231" s="4">
        <v>2</v>
      </c>
      <c r="G231" s="6" t="str">
        <f t="shared" si="6"/>
        <v>72</v>
      </c>
      <c r="H231" s="5">
        <v>16</v>
      </c>
      <c r="I231" s="5">
        <v>177.02505489999999</v>
      </c>
      <c r="J231" s="5">
        <v>11110.542116283666</v>
      </c>
      <c r="K231" s="5">
        <v>18</v>
      </c>
      <c r="L231" s="5">
        <v>191.81078445</v>
      </c>
      <c r="M231" s="5">
        <v>12038.532060859896</v>
      </c>
      <c r="N231" s="5">
        <v>11.111111111111111</v>
      </c>
      <c r="O231" s="5">
        <v>-14.785729550000013</v>
      </c>
      <c r="P231" s="5">
        <v>-927.98994457622939</v>
      </c>
      <c r="Q231" s="5">
        <v>-7.7084975135244553</v>
      </c>
    </row>
    <row r="232" spans="1:17" x14ac:dyDescent="0.2">
      <c r="A232" s="4" t="s">
        <v>78</v>
      </c>
      <c r="B232" s="4">
        <v>2014</v>
      </c>
      <c r="C232" s="4" t="s">
        <v>64</v>
      </c>
      <c r="D232" s="4">
        <v>4</v>
      </c>
      <c r="E232" s="4">
        <v>7</v>
      </c>
      <c r="F232" s="4">
        <v>2</v>
      </c>
      <c r="G232" s="6" t="str">
        <f t="shared" si="6"/>
        <v>72</v>
      </c>
      <c r="H232" s="5">
        <v>8</v>
      </c>
      <c r="I232" s="5">
        <v>227.50551479999999</v>
      </c>
      <c r="J232" s="5">
        <v>14278.824007709414</v>
      </c>
      <c r="K232" s="5">
        <v>16</v>
      </c>
      <c r="L232" s="5">
        <v>212.23650125</v>
      </c>
      <c r="M232" s="5">
        <v>13320.501931677785</v>
      </c>
      <c r="N232" s="5">
        <v>50</v>
      </c>
      <c r="O232" s="5">
        <v>15.269013549999983</v>
      </c>
      <c r="P232" s="5">
        <v>958.32207603162897</v>
      </c>
      <c r="Q232" s="5">
        <v>7.1943390793151849</v>
      </c>
    </row>
    <row r="233" spans="1:17" x14ac:dyDescent="0.2">
      <c r="A233" s="4" t="s">
        <v>70</v>
      </c>
      <c r="B233" s="4">
        <v>2014</v>
      </c>
      <c r="C233" s="4" t="s">
        <v>64</v>
      </c>
      <c r="D233" s="4">
        <v>1</v>
      </c>
      <c r="E233" s="4">
        <v>8</v>
      </c>
      <c r="F233" s="4">
        <v>2</v>
      </c>
      <c r="G233" s="6" t="str">
        <f t="shared" si="6"/>
        <v>82</v>
      </c>
      <c r="H233" s="5">
        <v>3</v>
      </c>
      <c r="I233" s="5">
        <v>219.17535552916669</v>
      </c>
      <c r="J233" s="5">
        <v>13756.002051991189</v>
      </c>
      <c r="K233" s="5">
        <v>10</v>
      </c>
      <c r="L233" s="5">
        <v>214.51043392152775</v>
      </c>
      <c r="M233" s="5">
        <v>13463.219722280219</v>
      </c>
      <c r="N233" s="5">
        <v>70</v>
      </c>
      <c r="O233" s="5">
        <v>4.664921607638945</v>
      </c>
      <c r="P233" s="5">
        <v>292.78232971096986</v>
      </c>
      <c r="Q233" s="5">
        <v>2.1746828451922671</v>
      </c>
    </row>
    <row r="234" spans="1:17" x14ac:dyDescent="0.2">
      <c r="A234" s="4" t="s">
        <v>70</v>
      </c>
      <c r="B234" s="4">
        <v>2014</v>
      </c>
      <c r="C234" s="4" t="s">
        <v>64</v>
      </c>
      <c r="D234" s="4">
        <v>2</v>
      </c>
      <c r="E234" s="4">
        <v>8</v>
      </c>
      <c r="F234" s="4">
        <v>2</v>
      </c>
      <c r="G234" s="6" t="str">
        <f t="shared" si="6"/>
        <v>82</v>
      </c>
      <c r="H234" s="5">
        <v>12</v>
      </c>
      <c r="I234" s="5">
        <v>197.86932660000002</v>
      </c>
      <c r="J234" s="5">
        <v>12418.781555819127</v>
      </c>
      <c r="K234" s="5">
        <v>10</v>
      </c>
      <c r="L234" s="5">
        <v>200.44774846597221</v>
      </c>
      <c r="M234" s="5">
        <v>12580.609861714094</v>
      </c>
      <c r="N234" s="5">
        <v>-20</v>
      </c>
      <c r="O234" s="5">
        <v>-2.5784218659721887</v>
      </c>
      <c r="P234" s="5">
        <v>-161.82830589496734</v>
      </c>
      <c r="Q234" s="5">
        <v>-1.2863311689479451</v>
      </c>
    </row>
    <row r="235" spans="1:17" x14ac:dyDescent="0.2">
      <c r="A235" s="4" t="s">
        <v>70</v>
      </c>
      <c r="B235" s="4">
        <v>2014</v>
      </c>
      <c r="C235" s="4" t="s">
        <v>64</v>
      </c>
      <c r="D235" s="4">
        <v>3</v>
      </c>
      <c r="E235" s="4">
        <v>8</v>
      </c>
      <c r="F235" s="4">
        <v>2</v>
      </c>
      <c r="G235" s="6" t="str">
        <f t="shared" si="6"/>
        <v>82</v>
      </c>
      <c r="H235" s="5">
        <v>3</v>
      </c>
      <c r="I235" s="5">
        <v>223.08928390277779</v>
      </c>
      <c r="J235" s="5">
        <v>14001.650138696703</v>
      </c>
      <c r="K235" s="5">
        <v>12.5</v>
      </c>
      <c r="L235" s="5">
        <v>224.63576321805556</v>
      </c>
      <c r="M235" s="5">
        <v>14098.711108817917</v>
      </c>
      <c r="N235" s="5">
        <v>76</v>
      </c>
      <c r="O235" s="5">
        <v>-1.5464793152777645</v>
      </c>
      <c r="P235" s="5">
        <v>-97.060970121214268</v>
      </c>
      <c r="Q235" s="5">
        <v>-0.68843860528859491</v>
      </c>
    </row>
    <row r="236" spans="1:17" x14ac:dyDescent="0.2">
      <c r="A236" s="4" t="s">
        <v>70</v>
      </c>
      <c r="B236" s="4">
        <v>2014</v>
      </c>
      <c r="C236" s="4" t="s">
        <v>64</v>
      </c>
      <c r="D236" s="4">
        <v>4</v>
      </c>
      <c r="E236" s="4">
        <v>8</v>
      </c>
      <c r="F236" s="4">
        <v>2</v>
      </c>
      <c r="G236" s="6" t="str">
        <f t="shared" si="6"/>
        <v>82</v>
      </c>
      <c r="H236" s="5">
        <v>12</v>
      </c>
      <c r="I236" s="5">
        <v>216.2708317777778</v>
      </c>
      <c r="J236" s="5">
        <v>13573.706763418721</v>
      </c>
      <c r="K236" s="5">
        <v>7.5</v>
      </c>
      <c r="L236" s="5">
        <v>217.12300788333334</v>
      </c>
      <c r="M236" s="5">
        <v>13627.191500461247</v>
      </c>
      <c r="N236" s="5">
        <v>-60</v>
      </c>
      <c r="O236" s="5">
        <v>-0.85217610555554302</v>
      </c>
      <c r="P236" s="5">
        <v>-53.484737042526831</v>
      </c>
      <c r="Q236" s="5">
        <v>-0.39248539980315461</v>
      </c>
    </row>
    <row r="237" spans="1:17" x14ac:dyDescent="0.2">
      <c r="A237" s="4" t="s">
        <v>65</v>
      </c>
      <c r="B237" s="4">
        <v>2014</v>
      </c>
      <c r="C237" s="4" t="s">
        <v>64</v>
      </c>
      <c r="D237" s="4">
        <v>1</v>
      </c>
      <c r="E237" s="4">
        <v>8</v>
      </c>
      <c r="F237" s="4">
        <v>2</v>
      </c>
      <c r="G237" s="6" t="str">
        <f t="shared" si="6"/>
        <v>82</v>
      </c>
      <c r="H237" s="5">
        <v>5</v>
      </c>
      <c r="I237" s="5">
        <v>214.50294545454543</v>
      </c>
      <c r="J237" s="5">
        <v>13462.749727070555</v>
      </c>
      <c r="K237" s="5">
        <v>11</v>
      </c>
      <c r="L237" s="5">
        <v>200.53205195075759</v>
      </c>
      <c r="M237" s="5">
        <v>12585.900962562991</v>
      </c>
      <c r="N237" s="5">
        <v>54.54545454545454</v>
      </c>
      <c r="O237" s="5">
        <v>13.970893503787835</v>
      </c>
      <c r="P237" s="5">
        <v>876.84876450756383</v>
      </c>
      <c r="Q237" s="5">
        <v>6.9669129537549015</v>
      </c>
    </row>
    <row r="238" spans="1:17" x14ac:dyDescent="0.2">
      <c r="A238" s="4" t="s">
        <v>65</v>
      </c>
      <c r="B238" s="4">
        <v>2014</v>
      </c>
      <c r="C238" s="4" t="s">
        <v>64</v>
      </c>
      <c r="D238" s="4">
        <v>2</v>
      </c>
      <c r="E238" s="4">
        <v>8</v>
      </c>
      <c r="F238" s="4">
        <v>2</v>
      </c>
      <c r="G238" s="6" t="str">
        <f t="shared" si="6"/>
        <v>82</v>
      </c>
      <c r="H238" s="5">
        <v>8</v>
      </c>
      <c r="I238" s="5">
        <v>223.16022140151517</v>
      </c>
      <c r="J238" s="5">
        <v>14006.102356309575</v>
      </c>
      <c r="K238" s="5">
        <v>12</v>
      </c>
      <c r="L238" s="5">
        <v>201.86809265151518</v>
      </c>
      <c r="M238" s="5">
        <v>12669.754270690599</v>
      </c>
      <c r="N238" s="5">
        <v>33.333333333333329</v>
      </c>
      <c r="O238" s="5">
        <v>21.292128749999989</v>
      </c>
      <c r="P238" s="5">
        <v>1336.3480856189763</v>
      </c>
      <c r="Q238" s="5">
        <v>10.547545414597336</v>
      </c>
    </row>
    <row r="239" spans="1:17" x14ac:dyDescent="0.2">
      <c r="A239" s="4" t="s">
        <v>65</v>
      </c>
      <c r="B239" s="4">
        <v>2014</v>
      </c>
      <c r="C239" s="4" t="s">
        <v>64</v>
      </c>
      <c r="D239" s="4">
        <v>3</v>
      </c>
      <c r="E239" s="4">
        <v>8</v>
      </c>
      <c r="F239" s="4">
        <v>2</v>
      </c>
      <c r="G239" s="6" t="str">
        <f t="shared" si="6"/>
        <v>82</v>
      </c>
      <c r="H239" s="5">
        <v>4</v>
      </c>
      <c r="I239" s="5">
        <v>222.21164505681818</v>
      </c>
      <c r="J239" s="5">
        <v>13946.567295387156</v>
      </c>
      <c r="K239" s="5">
        <v>7.5</v>
      </c>
      <c r="L239" s="5">
        <v>198.79034527462122</v>
      </c>
      <c r="M239" s="5">
        <v>12476.587027366886</v>
      </c>
      <c r="N239" s="5">
        <v>46.666666666666664</v>
      </c>
      <c r="O239" s="5">
        <v>23.421299782196968</v>
      </c>
      <c r="P239" s="5">
        <v>1469.9802680202702</v>
      </c>
      <c r="Q239" s="5">
        <v>11.781910107274756</v>
      </c>
    </row>
    <row r="240" spans="1:17" x14ac:dyDescent="0.2">
      <c r="A240" s="4" t="s">
        <v>65</v>
      </c>
      <c r="B240" s="4">
        <v>2014</v>
      </c>
      <c r="C240" s="4" t="s">
        <v>64</v>
      </c>
      <c r="D240" s="4">
        <v>4</v>
      </c>
      <c r="E240" s="4">
        <v>8</v>
      </c>
      <c r="F240" s="4">
        <v>2</v>
      </c>
      <c r="G240" s="6" t="str">
        <f t="shared" si="6"/>
        <v>82</v>
      </c>
      <c r="H240" s="5">
        <v>5</v>
      </c>
      <c r="I240" s="5">
        <v>217.53947767045457</v>
      </c>
      <c r="J240" s="5">
        <v>13653.330202198038</v>
      </c>
      <c r="K240" s="5">
        <v>9</v>
      </c>
      <c r="L240" s="5">
        <v>204.74373928977272</v>
      </c>
      <c r="M240" s="5">
        <v>12850.237158290653</v>
      </c>
      <c r="N240" s="5">
        <v>44.444444444444443</v>
      </c>
      <c r="O240" s="5">
        <v>12.795738380681854</v>
      </c>
      <c r="P240" s="5">
        <v>803.09304390738544</v>
      </c>
      <c r="Q240" s="5">
        <v>6.2496359718096706</v>
      </c>
    </row>
    <row r="241" spans="1:17" x14ac:dyDescent="0.2">
      <c r="A241" s="4" t="s">
        <v>91</v>
      </c>
      <c r="B241" s="4">
        <v>2014</v>
      </c>
      <c r="C241" s="4" t="s">
        <v>64</v>
      </c>
      <c r="D241" s="4">
        <v>1</v>
      </c>
      <c r="E241" s="31">
        <v>8</v>
      </c>
      <c r="F241" s="4">
        <v>2</v>
      </c>
      <c r="G241" s="6" t="str">
        <f t="shared" si="6"/>
        <v>82</v>
      </c>
      <c r="H241" s="5">
        <v>0.5</v>
      </c>
      <c r="I241" s="29">
        <v>212.63517899999999</v>
      </c>
      <c r="J241" s="29">
        <f>I241*(25.4/0.4047)</f>
        <v>13345.523959970347</v>
      </c>
      <c r="K241" s="30">
        <v>0.1</v>
      </c>
      <c r="L241" s="29">
        <v>199.7</v>
      </c>
      <c r="M241" s="29">
        <f>L241*(25.4/0.4047)</f>
        <v>12533.67926859402</v>
      </c>
      <c r="N241" s="5">
        <f>(K241-H241)/K241*100</f>
        <v>-400</v>
      </c>
      <c r="O241" s="5">
        <f t="shared" ref="O241:P244" si="9">I241-L241</f>
        <v>12.935179000000005</v>
      </c>
      <c r="P241" s="5">
        <f t="shared" si="9"/>
        <v>811.84469137632732</v>
      </c>
      <c r="Q241" s="5">
        <f>SUM(P241/M241)*100</f>
        <v>6.4773054581872742</v>
      </c>
    </row>
    <row r="242" spans="1:17" x14ac:dyDescent="0.2">
      <c r="A242" s="4" t="s">
        <v>91</v>
      </c>
      <c r="B242" s="4">
        <v>2014</v>
      </c>
      <c r="C242" s="4" t="s">
        <v>64</v>
      </c>
      <c r="D242" s="4">
        <v>2</v>
      </c>
      <c r="E242" s="31">
        <v>8</v>
      </c>
      <c r="F242" s="4">
        <v>2</v>
      </c>
      <c r="G242" s="6" t="str">
        <f t="shared" si="6"/>
        <v>82</v>
      </c>
      <c r="H242" s="5">
        <v>0.5</v>
      </c>
      <c r="I242" s="29">
        <v>223.92695689999999</v>
      </c>
      <c r="J242" s="29">
        <f>I242*(25.4/0.4047)</f>
        <v>14054.224623820113</v>
      </c>
      <c r="K242" s="30">
        <v>0</v>
      </c>
      <c r="L242" s="29">
        <v>203.3</v>
      </c>
      <c r="M242" s="29">
        <f>L242*(25.4/0.4047)</f>
        <v>12759.624413145541</v>
      </c>
      <c r="N242" s="5" t="s">
        <v>97</v>
      </c>
      <c r="O242" s="5">
        <f t="shared" si="9"/>
        <v>20.626956899999982</v>
      </c>
      <c r="P242" s="5">
        <f t="shared" si="9"/>
        <v>1294.6002106745727</v>
      </c>
      <c r="Q242" s="5">
        <f>SUM(P242/M242)*100</f>
        <v>10.146068322675839</v>
      </c>
    </row>
    <row r="243" spans="1:17" x14ac:dyDescent="0.2">
      <c r="A243" s="4" t="s">
        <v>91</v>
      </c>
      <c r="B243" s="4">
        <v>2014</v>
      </c>
      <c r="C243" s="4" t="s">
        <v>64</v>
      </c>
      <c r="D243" s="4">
        <v>3</v>
      </c>
      <c r="E243" s="31">
        <v>8</v>
      </c>
      <c r="F243" s="4">
        <v>2</v>
      </c>
      <c r="G243" s="6" t="str">
        <f t="shared" si="6"/>
        <v>82</v>
      </c>
      <c r="H243" s="5">
        <v>2</v>
      </c>
      <c r="I243" s="29">
        <v>225.7678646</v>
      </c>
      <c r="J243" s="29">
        <f>I243*(25.4/0.4047)</f>
        <v>14169.764667259698</v>
      </c>
      <c r="K243" s="30">
        <v>0.1</v>
      </c>
      <c r="L243" s="29">
        <v>199.7</v>
      </c>
      <c r="M243" s="29">
        <f>L243*(25.4/0.4047)</f>
        <v>12533.67926859402</v>
      </c>
      <c r="N243" s="5">
        <f>(K243-H243)/K243*100</f>
        <v>-1899.9999999999995</v>
      </c>
      <c r="O243" s="5">
        <f t="shared" si="9"/>
        <v>26.067864600000007</v>
      </c>
      <c r="P243" s="5">
        <f t="shared" si="9"/>
        <v>1636.0853986656784</v>
      </c>
      <c r="Q243" s="5">
        <f>SUM(P243/M243)*100</f>
        <v>13.053512568853282</v>
      </c>
    </row>
    <row r="244" spans="1:17" x14ac:dyDescent="0.2">
      <c r="A244" s="4" t="s">
        <v>91</v>
      </c>
      <c r="B244" s="4">
        <v>2014</v>
      </c>
      <c r="C244" s="4" t="s">
        <v>64</v>
      </c>
      <c r="D244" s="4">
        <v>4</v>
      </c>
      <c r="E244" s="31">
        <v>8</v>
      </c>
      <c r="F244" s="4">
        <v>2</v>
      </c>
      <c r="G244" s="6" t="str">
        <f t="shared" si="6"/>
        <v>82</v>
      </c>
      <c r="H244" s="5">
        <v>0.5</v>
      </c>
      <c r="I244" s="29">
        <v>230.5152377</v>
      </c>
      <c r="J244" s="29">
        <f>I244*(25.4/0.4047)</f>
        <v>14467.72186207067</v>
      </c>
      <c r="K244" s="30">
        <v>0.1</v>
      </c>
      <c r="L244" s="29">
        <v>203.3</v>
      </c>
      <c r="M244" s="29">
        <f>L244*(25.4/0.4047)</f>
        <v>12759.624413145541</v>
      </c>
      <c r="N244" s="5">
        <f>(K244-H244)/K244*100</f>
        <v>-400</v>
      </c>
      <c r="O244" s="5">
        <f t="shared" si="9"/>
        <v>27.215237699999989</v>
      </c>
      <c r="P244" s="5">
        <f t="shared" si="9"/>
        <v>1708.0974489251294</v>
      </c>
      <c r="Q244" s="5">
        <f>SUM(P244/M244)*100</f>
        <v>13.386737678307917</v>
      </c>
    </row>
    <row r="245" spans="1:17" x14ac:dyDescent="0.2">
      <c r="A245" s="4" t="s">
        <v>78</v>
      </c>
      <c r="B245" s="4">
        <v>2014</v>
      </c>
      <c r="C245" s="4" t="s">
        <v>64</v>
      </c>
      <c r="D245" s="4">
        <v>1</v>
      </c>
      <c r="E245" s="4">
        <v>8</v>
      </c>
      <c r="F245" s="4">
        <v>2</v>
      </c>
      <c r="G245" s="6" t="str">
        <f t="shared" si="6"/>
        <v>82</v>
      </c>
      <c r="H245" s="5">
        <v>8</v>
      </c>
      <c r="I245" s="5" t="s">
        <v>97</v>
      </c>
      <c r="J245" s="5" t="s">
        <v>97</v>
      </c>
      <c r="K245" s="5">
        <v>12</v>
      </c>
      <c r="L245" s="5">
        <v>186.603284</v>
      </c>
      <c r="M245" s="5">
        <v>11711.696104768964</v>
      </c>
      <c r="N245" s="5">
        <v>33.333333333333329</v>
      </c>
      <c r="O245" s="5" t="s">
        <v>97</v>
      </c>
      <c r="P245" s="5" t="s">
        <v>97</v>
      </c>
      <c r="Q245" s="5" t="s">
        <v>97</v>
      </c>
    </row>
    <row r="246" spans="1:17" x14ac:dyDescent="0.2">
      <c r="A246" s="4" t="s">
        <v>78</v>
      </c>
      <c r="B246" s="4">
        <v>2014</v>
      </c>
      <c r="C246" s="4" t="s">
        <v>64</v>
      </c>
      <c r="D246" s="4">
        <v>2</v>
      </c>
      <c r="E246" s="4">
        <v>8</v>
      </c>
      <c r="F246" s="4">
        <v>2</v>
      </c>
      <c r="G246" s="6" t="str">
        <f t="shared" si="6"/>
        <v>82</v>
      </c>
      <c r="H246" s="5">
        <v>12</v>
      </c>
      <c r="I246" s="5">
        <v>165.35677939999999</v>
      </c>
      <c r="J246" s="5">
        <v>10378.211506696318</v>
      </c>
      <c r="K246" s="5">
        <v>14</v>
      </c>
      <c r="L246" s="5">
        <v>190.84363060000001</v>
      </c>
      <c r="M246" s="5">
        <v>11977.831028514949</v>
      </c>
      <c r="N246" s="5">
        <v>14.285714285714285</v>
      </c>
      <c r="O246" s="5">
        <v>-25.486851200000018</v>
      </c>
      <c r="P246" s="5">
        <v>-1599.6195218186313</v>
      </c>
      <c r="Q246" s="5">
        <v>-13.354834594097269</v>
      </c>
    </row>
    <row r="247" spans="1:17" x14ac:dyDescent="0.2">
      <c r="A247" s="4" t="s">
        <v>78</v>
      </c>
      <c r="B247" s="4">
        <v>2014</v>
      </c>
      <c r="C247" s="4" t="s">
        <v>64</v>
      </c>
      <c r="D247" s="4">
        <v>3</v>
      </c>
      <c r="E247" s="4">
        <v>8</v>
      </c>
      <c r="F247" s="4">
        <v>2</v>
      </c>
      <c r="G247" s="6" t="str">
        <f t="shared" si="6"/>
        <v>82</v>
      </c>
      <c r="H247" s="5">
        <v>8</v>
      </c>
      <c r="I247" s="5">
        <v>210.23482670000001</v>
      </c>
      <c r="J247" s="5">
        <v>13194.871752359773</v>
      </c>
      <c r="K247" s="5">
        <v>18</v>
      </c>
      <c r="L247" s="5">
        <v>191.81078445</v>
      </c>
      <c r="M247" s="5">
        <v>12038.532060859896</v>
      </c>
      <c r="N247" s="5">
        <v>55.555555555555557</v>
      </c>
      <c r="O247" s="5">
        <v>18.424042250000014</v>
      </c>
      <c r="P247" s="5">
        <v>1156.3396914998775</v>
      </c>
      <c r="Q247" s="5">
        <v>9.6053213602297092</v>
      </c>
    </row>
    <row r="248" spans="1:17" x14ac:dyDescent="0.2">
      <c r="A248" s="4" t="s">
        <v>78</v>
      </c>
      <c r="B248" s="4">
        <v>2014</v>
      </c>
      <c r="C248" s="4" t="s">
        <v>64</v>
      </c>
      <c r="D248" s="4">
        <v>4</v>
      </c>
      <c r="E248" s="4">
        <v>8</v>
      </c>
      <c r="F248" s="4">
        <v>2</v>
      </c>
      <c r="G248" s="6" t="str">
        <f t="shared" si="6"/>
        <v>82</v>
      </c>
      <c r="H248" s="5">
        <v>4</v>
      </c>
      <c r="I248" s="5">
        <v>201.9504598</v>
      </c>
      <c r="J248" s="5">
        <v>12674.923842154683</v>
      </c>
      <c r="K248" s="5">
        <v>16</v>
      </c>
      <c r="L248" s="5">
        <v>212.23650125</v>
      </c>
      <c r="M248" s="5">
        <v>13320.501931677785</v>
      </c>
      <c r="N248" s="5">
        <v>75</v>
      </c>
      <c r="O248" s="5">
        <v>-10.286041449999999</v>
      </c>
      <c r="P248" s="5">
        <v>-645.57808952310188</v>
      </c>
      <c r="Q248" s="5">
        <v>-4.8464997252681457</v>
      </c>
    </row>
    <row r="249" spans="1:17" x14ac:dyDescent="0.2">
      <c r="A249" s="4" t="s">
        <v>70</v>
      </c>
      <c r="B249" s="4">
        <v>2014</v>
      </c>
      <c r="C249" s="4" t="s">
        <v>64</v>
      </c>
      <c r="D249" s="4">
        <v>1</v>
      </c>
      <c r="E249" s="4">
        <v>9</v>
      </c>
      <c r="F249" s="4">
        <v>2</v>
      </c>
      <c r="G249" s="6" t="str">
        <f t="shared" si="6"/>
        <v>92</v>
      </c>
      <c r="H249" s="5">
        <v>2</v>
      </c>
      <c r="I249" s="5">
        <v>219.74139660000003</v>
      </c>
      <c r="J249" s="5">
        <v>13791.528227427725</v>
      </c>
      <c r="K249" s="5">
        <v>10</v>
      </c>
      <c r="L249" s="5">
        <v>214.51043392152775</v>
      </c>
      <c r="M249" s="5">
        <v>13463.219722280219</v>
      </c>
      <c r="N249" s="5">
        <v>80</v>
      </c>
      <c r="O249" s="5">
        <v>5.2309626784722809</v>
      </c>
      <c r="P249" s="5">
        <v>328.30850514750637</v>
      </c>
      <c r="Q249" s="5">
        <v>2.4385586205964547</v>
      </c>
    </row>
    <row r="250" spans="1:17" x14ac:dyDescent="0.2">
      <c r="A250" s="4" t="s">
        <v>70</v>
      </c>
      <c r="B250" s="4">
        <v>2014</v>
      </c>
      <c r="C250" s="4" t="s">
        <v>64</v>
      </c>
      <c r="D250" s="4">
        <v>2</v>
      </c>
      <c r="E250" s="4">
        <v>9</v>
      </c>
      <c r="F250" s="4">
        <v>2</v>
      </c>
      <c r="G250" s="6" t="str">
        <f t="shared" si="6"/>
        <v>92</v>
      </c>
      <c r="H250" s="5">
        <v>0</v>
      </c>
      <c r="I250" s="5">
        <v>216.14870658333336</v>
      </c>
      <c r="J250" s="5">
        <v>13566.041875998684</v>
      </c>
      <c r="K250" s="5">
        <v>10</v>
      </c>
      <c r="L250" s="5">
        <v>200.44774846597221</v>
      </c>
      <c r="M250" s="5">
        <v>12580.609861714094</v>
      </c>
      <c r="N250" s="5">
        <v>100</v>
      </c>
      <c r="O250" s="5">
        <v>15.700958117361154</v>
      </c>
      <c r="P250" s="5">
        <v>985.43201428458997</v>
      </c>
      <c r="Q250" s="5">
        <v>7.8329431173563631</v>
      </c>
    </row>
    <row r="251" spans="1:17" x14ac:dyDescent="0.2">
      <c r="A251" s="4" t="s">
        <v>70</v>
      </c>
      <c r="B251" s="4">
        <v>2014</v>
      </c>
      <c r="C251" s="4" t="s">
        <v>64</v>
      </c>
      <c r="D251" s="4">
        <v>3</v>
      </c>
      <c r="E251" s="4">
        <v>9</v>
      </c>
      <c r="F251" s="4">
        <v>2</v>
      </c>
      <c r="G251" s="6" t="str">
        <f t="shared" si="6"/>
        <v>92</v>
      </c>
      <c r="H251" s="5">
        <v>0</v>
      </c>
      <c r="I251" s="5" t="s">
        <v>97</v>
      </c>
      <c r="J251" s="5" t="s">
        <v>97</v>
      </c>
      <c r="K251" s="5">
        <v>12.5</v>
      </c>
      <c r="L251" s="5">
        <v>224.63576321805556</v>
      </c>
      <c r="M251" s="5">
        <v>14098.711108817917</v>
      </c>
      <c r="N251" s="5">
        <v>100</v>
      </c>
      <c r="O251" s="5" t="s">
        <v>97</v>
      </c>
      <c r="P251" s="5" t="s">
        <v>97</v>
      </c>
      <c r="Q251" s="5" t="s">
        <v>97</v>
      </c>
    </row>
    <row r="252" spans="1:17" x14ac:dyDescent="0.2">
      <c r="A252" s="4" t="s">
        <v>70</v>
      </c>
      <c r="B252" s="4">
        <v>2014</v>
      </c>
      <c r="C252" s="4" t="s">
        <v>64</v>
      </c>
      <c r="D252" s="4">
        <v>4</v>
      </c>
      <c r="E252" s="4">
        <v>9</v>
      </c>
      <c r="F252" s="4">
        <v>2</v>
      </c>
      <c r="G252" s="6" t="str">
        <f t="shared" si="6"/>
        <v>92</v>
      </c>
      <c r="H252" s="5">
        <v>1</v>
      </c>
      <c r="I252" s="5">
        <v>219.42614176388892</v>
      </c>
      <c r="J252" s="5">
        <v>13771.742033117813</v>
      </c>
      <c r="K252" s="5">
        <v>7.5</v>
      </c>
      <c r="L252" s="5">
        <v>217.12300788333334</v>
      </c>
      <c r="M252" s="5">
        <v>13627.191500461247</v>
      </c>
      <c r="N252" s="5">
        <v>86.666666666666671</v>
      </c>
      <c r="O252" s="5">
        <v>2.3031338805555777</v>
      </c>
      <c r="P252" s="5">
        <v>144.55053265656534</v>
      </c>
      <c r="Q252" s="5">
        <v>1.060750725134175</v>
      </c>
    </row>
    <row r="253" spans="1:17" x14ac:dyDescent="0.2">
      <c r="A253" s="4" t="s">
        <v>65</v>
      </c>
      <c r="B253" s="4">
        <v>2014</v>
      </c>
      <c r="C253" s="4" t="s">
        <v>64</v>
      </c>
      <c r="D253" s="4">
        <v>1</v>
      </c>
      <c r="E253" s="4">
        <v>9</v>
      </c>
      <c r="F253" s="4">
        <v>2</v>
      </c>
      <c r="G253" s="6" t="str">
        <f t="shared" si="6"/>
        <v>92</v>
      </c>
      <c r="H253" s="5">
        <v>1</v>
      </c>
      <c r="I253" s="5">
        <v>230.37517592803033</v>
      </c>
      <c r="J253" s="5">
        <v>14458.931229483494</v>
      </c>
      <c r="K253" s="5">
        <v>11</v>
      </c>
      <c r="L253" s="5">
        <v>200.53205195075759</v>
      </c>
      <c r="M253" s="5">
        <v>12585.900962562991</v>
      </c>
      <c r="N253" s="5">
        <v>90.909090909090907</v>
      </c>
      <c r="O253" s="5">
        <v>29.843123977272739</v>
      </c>
      <c r="P253" s="5">
        <v>1873.030266920503</v>
      </c>
      <c r="Q253" s="5">
        <v>14.881972077262231</v>
      </c>
    </row>
    <row r="254" spans="1:17" x14ac:dyDescent="0.2">
      <c r="A254" s="4" t="s">
        <v>65</v>
      </c>
      <c r="B254" s="4">
        <v>2014</v>
      </c>
      <c r="C254" s="4" t="s">
        <v>64</v>
      </c>
      <c r="D254" s="4">
        <v>2</v>
      </c>
      <c r="E254" s="4">
        <v>9</v>
      </c>
      <c r="F254" s="4">
        <v>2</v>
      </c>
      <c r="G254" s="6" t="str">
        <f t="shared" si="6"/>
        <v>92</v>
      </c>
      <c r="H254" s="5">
        <v>1</v>
      </c>
      <c r="I254" s="5">
        <v>223.21712761363631</v>
      </c>
      <c r="J254" s="5">
        <v>14009.673934732795</v>
      </c>
      <c r="K254" s="5">
        <v>12</v>
      </c>
      <c r="L254" s="5">
        <v>201.86809265151518</v>
      </c>
      <c r="M254" s="5">
        <v>12669.754270690599</v>
      </c>
      <c r="N254" s="5">
        <v>91.666666666666657</v>
      </c>
      <c r="O254" s="5">
        <v>21.349034962121124</v>
      </c>
      <c r="P254" s="5">
        <v>1339.919664042196</v>
      </c>
      <c r="Q254" s="5">
        <v>10.575735214864276</v>
      </c>
    </row>
    <row r="255" spans="1:17" x14ac:dyDescent="0.2">
      <c r="A255" s="4" t="s">
        <v>65</v>
      </c>
      <c r="B255" s="4">
        <v>2014</v>
      </c>
      <c r="C255" s="4" t="s">
        <v>64</v>
      </c>
      <c r="D255" s="4">
        <v>3</v>
      </c>
      <c r="E255" s="4">
        <v>9</v>
      </c>
      <c r="F255" s="4">
        <v>2</v>
      </c>
      <c r="G255" s="6" t="str">
        <f t="shared" si="6"/>
        <v>92</v>
      </c>
      <c r="H255" s="5">
        <v>2</v>
      </c>
      <c r="I255" s="5">
        <v>214.56989393939395</v>
      </c>
      <c r="J255" s="5">
        <v>13466.951584039056</v>
      </c>
      <c r="K255" s="5">
        <v>7.5</v>
      </c>
      <c r="L255" s="5">
        <v>198.79034527462122</v>
      </c>
      <c r="M255" s="5">
        <v>12476.587027366886</v>
      </c>
      <c r="N255" s="5">
        <v>73.333333333333329</v>
      </c>
      <c r="O255" s="5">
        <v>15.779548664772733</v>
      </c>
      <c r="P255" s="5">
        <v>990.36455667216978</v>
      </c>
      <c r="Q255" s="5">
        <v>7.9377842233604863</v>
      </c>
    </row>
    <row r="256" spans="1:17" x14ac:dyDescent="0.2">
      <c r="A256" s="4" t="s">
        <v>65</v>
      </c>
      <c r="B256" s="4">
        <v>2014</v>
      </c>
      <c r="C256" s="4" t="s">
        <v>64</v>
      </c>
      <c r="D256" s="4">
        <v>4</v>
      </c>
      <c r="E256" s="4">
        <v>9</v>
      </c>
      <c r="F256" s="4">
        <v>2</v>
      </c>
      <c r="G256" s="6" t="str">
        <f t="shared" si="6"/>
        <v>92</v>
      </c>
      <c r="H256" s="5">
        <v>3</v>
      </c>
      <c r="I256" s="5">
        <v>200.67808333333335</v>
      </c>
      <c r="J256" s="5">
        <v>12595.066263075531</v>
      </c>
      <c r="K256" s="5">
        <v>9</v>
      </c>
      <c r="L256" s="5">
        <v>204.74373928977272</v>
      </c>
      <c r="M256" s="5">
        <v>12850.237158290653</v>
      </c>
      <c r="N256" s="5">
        <v>66.666666666666657</v>
      </c>
      <c r="O256" s="5">
        <v>-4.0656559564393717</v>
      </c>
      <c r="P256" s="5">
        <v>-255.17089521512207</v>
      </c>
      <c r="Q256" s="5">
        <v>-1.9857290731050221</v>
      </c>
    </row>
    <row r="257" spans="1:17" x14ac:dyDescent="0.2">
      <c r="A257" s="4" t="s">
        <v>91</v>
      </c>
      <c r="B257" s="4">
        <v>2014</v>
      </c>
      <c r="C257" s="4" t="s">
        <v>64</v>
      </c>
      <c r="D257" s="4">
        <v>1</v>
      </c>
      <c r="E257" s="31">
        <v>9</v>
      </c>
      <c r="F257" s="4">
        <v>2</v>
      </c>
      <c r="G257" s="6" t="str">
        <f t="shared" si="6"/>
        <v>92</v>
      </c>
      <c r="H257" s="5">
        <v>0</v>
      </c>
      <c r="I257" s="29">
        <v>218.74333200000001</v>
      </c>
      <c r="J257" s="29">
        <f>I257*(25.4/0.4047)</f>
        <v>13728.887157894736</v>
      </c>
      <c r="K257" s="30">
        <v>0.1</v>
      </c>
      <c r="L257" s="29">
        <v>199.7</v>
      </c>
      <c r="M257" s="29">
        <f>L257*(25.4/0.4047)</f>
        <v>12533.67926859402</v>
      </c>
      <c r="N257" s="5">
        <f>(K257-H257)/K257*100</f>
        <v>100</v>
      </c>
      <c r="O257" s="5">
        <f t="shared" ref="O257:P260" si="10">I257-L257</f>
        <v>19.043332000000021</v>
      </c>
      <c r="P257" s="5">
        <f t="shared" si="10"/>
        <v>1195.2078893007165</v>
      </c>
      <c r="Q257" s="5">
        <f>SUM(P257/M257)*100</f>
        <v>9.5359699549323977</v>
      </c>
    </row>
    <row r="258" spans="1:17" x14ac:dyDescent="0.2">
      <c r="A258" s="4" t="s">
        <v>91</v>
      </c>
      <c r="B258" s="4">
        <v>2014</v>
      </c>
      <c r="C258" s="4" t="s">
        <v>64</v>
      </c>
      <c r="D258" s="4">
        <v>2</v>
      </c>
      <c r="E258" s="31">
        <v>9</v>
      </c>
      <c r="F258" s="4">
        <v>2</v>
      </c>
      <c r="G258" s="6" t="str">
        <f t="shared" ref="G258:G321" si="11">E258&amp;F258</f>
        <v>92</v>
      </c>
      <c r="H258" s="5">
        <v>0.1</v>
      </c>
      <c r="I258" s="29">
        <v>222.29916080000001</v>
      </c>
      <c r="J258" s="29">
        <f>I258*(25.4/0.4047)</f>
        <v>13952.060005732641</v>
      </c>
      <c r="K258" s="30">
        <v>0</v>
      </c>
      <c r="L258" s="29">
        <v>203.3</v>
      </c>
      <c r="M258" s="29">
        <f>L258*(25.4/0.4047)</f>
        <v>12759.624413145541</v>
      </c>
      <c r="N258" s="5" t="s">
        <v>97</v>
      </c>
      <c r="O258" s="5">
        <f t="shared" si="10"/>
        <v>18.999160799999999</v>
      </c>
      <c r="P258" s="5">
        <f t="shared" si="10"/>
        <v>1192.4355925871005</v>
      </c>
      <c r="Q258" s="5">
        <f>SUM(P258/M258)*100</f>
        <v>9.345381603541556</v>
      </c>
    </row>
    <row r="259" spans="1:17" x14ac:dyDescent="0.2">
      <c r="A259" s="4" t="s">
        <v>91</v>
      </c>
      <c r="B259" s="4">
        <v>2014</v>
      </c>
      <c r="C259" s="4" t="s">
        <v>64</v>
      </c>
      <c r="D259" s="4">
        <v>3</v>
      </c>
      <c r="E259" s="31">
        <v>9</v>
      </c>
      <c r="F259" s="4">
        <v>2</v>
      </c>
      <c r="G259" s="6" t="str">
        <f t="shared" si="11"/>
        <v>92</v>
      </c>
      <c r="H259" s="5">
        <v>2</v>
      </c>
      <c r="I259" s="29">
        <v>228.6561529</v>
      </c>
      <c r="J259" s="29">
        <f>I259*(25.4/0.4047)</f>
        <v>14351.040977662466</v>
      </c>
      <c r="K259" s="30">
        <v>0.1</v>
      </c>
      <c r="L259" s="29">
        <v>199.7</v>
      </c>
      <c r="M259" s="29">
        <f>L259*(25.4/0.4047)</f>
        <v>12533.67926859402</v>
      </c>
      <c r="N259" s="5">
        <f>(K259-H259)/K259*100</f>
        <v>-1899.9999999999995</v>
      </c>
      <c r="O259" s="5">
        <f t="shared" si="10"/>
        <v>28.956152900000006</v>
      </c>
      <c r="P259" s="5">
        <f t="shared" si="10"/>
        <v>1817.3617090684456</v>
      </c>
      <c r="Q259" s="5">
        <f>SUM(P259/M259)*100</f>
        <v>14.499826189283926</v>
      </c>
    </row>
    <row r="260" spans="1:17" x14ac:dyDescent="0.2">
      <c r="A260" s="4" t="s">
        <v>91</v>
      </c>
      <c r="B260" s="4">
        <v>2014</v>
      </c>
      <c r="C260" s="4" t="s">
        <v>64</v>
      </c>
      <c r="D260" s="4">
        <v>4</v>
      </c>
      <c r="E260" s="31">
        <v>9</v>
      </c>
      <c r="F260" s="4">
        <v>2</v>
      </c>
      <c r="G260" s="6" t="str">
        <f t="shared" si="11"/>
        <v>92</v>
      </c>
      <c r="H260" s="5">
        <v>0.1</v>
      </c>
      <c r="I260" s="29">
        <v>226.43540519999999</v>
      </c>
      <c r="J260" s="29">
        <f>I260*(25.4/0.4047)</f>
        <v>14211.66121097109</v>
      </c>
      <c r="K260" s="30">
        <v>0.1</v>
      </c>
      <c r="L260" s="29">
        <v>203.3</v>
      </c>
      <c r="M260" s="29">
        <f>L260*(25.4/0.4047)</f>
        <v>12759.624413145541</v>
      </c>
      <c r="N260" s="5">
        <f>(K260-H260)/K260*100</f>
        <v>0</v>
      </c>
      <c r="O260" s="5">
        <f t="shared" si="10"/>
        <v>23.13540519999998</v>
      </c>
      <c r="P260" s="5">
        <f t="shared" si="10"/>
        <v>1452.036797825549</v>
      </c>
      <c r="Q260" s="5">
        <f>SUM(P260/M260)*100</f>
        <v>11.379933694048198</v>
      </c>
    </row>
    <row r="261" spans="1:17" x14ac:dyDescent="0.2">
      <c r="A261" s="4" t="s">
        <v>78</v>
      </c>
      <c r="B261" s="4">
        <v>2014</v>
      </c>
      <c r="C261" s="4" t="s">
        <v>64</v>
      </c>
      <c r="D261" s="4">
        <v>1</v>
      </c>
      <c r="E261" s="4">
        <v>9</v>
      </c>
      <c r="F261" s="4">
        <v>2</v>
      </c>
      <c r="G261" s="6" t="str">
        <f t="shared" si="11"/>
        <v>92</v>
      </c>
      <c r="H261" s="5">
        <v>16</v>
      </c>
      <c r="I261" s="5" t="s">
        <v>97</v>
      </c>
      <c r="J261" s="5" t="s">
        <v>97</v>
      </c>
      <c r="K261" s="5">
        <v>12</v>
      </c>
      <c r="L261" s="5">
        <v>186.603284</v>
      </c>
      <c r="M261" s="5">
        <v>11711.696104768964</v>
      </c>
      <c r="N261" s="5">
        <v>-33.333333333333329</v>
      </c>
      <c r="O261" s="5" t="s">
        <v>97</v>
      </c>
      <c r="P261" s="5" t="s">
        <v>97</v>
      </c>
      <c r="Q261" s="5" t="s">
        <v>97</v>
      </c>
    </row>
    <row r="262" spans="1:17" x14ac:dyDescent="0.2">
      <c r="A262" s="4" t="s">
        <v>78</v>
      </c>
      <c r="B262" s="4">
        <v>2014</v>
      </c>
      <c r="C262" s="4" t="s">
        <v>64</v>
      </c>
      <c r="D262" s="4">
        <v>2</v>
      </c>
      <c r="E262" s="4">
        <v>9</v>
      </c>
      <c r="F262" s="4">
        <v>2</v>
      </c>
      <c r="G262" s="6" t="str">
        <f t="shared" si="11"/>
        <v>92</v>
      </c>
      <c r="H262" s="5">
        <v>4</v>
      </c>
      <c r="I262" s="5">
        <v>213.6030025</v>
      </c>
      <c r="J262" s="5">
        <v>13406.267021250309</v>
      </c>
      <c r="K262" s="5">
        <v>14</v>
      </c>
      <c r="L262" s="5">
        <v>190.84363060000001</v>
      </c>
      <c r="M262" s="5">
        <v>11977.831028514949</v>
      </c>
      <c r="N262" s="5">
        <v>71.428571428571431</v>
      </c>
      <c r="O262" s="5">
        <v>22.759371899999991</v>
      </c>
      <c r="P262" s="5">
        <v>1428.4359927353598</v>
      </c>
      <c r="Q262" s="5">
        <v>11.925664916584335</v>
      </c>
    </row>
    <row r="263" spans="1:17" x14ac:dyDescent="0.2">
      <c r="A263" s="4" t="s">
        <v>78</v>
      </c>
      <c r="B263" s="4">
        <v>2014</v>
      </c>
      <c r="C263" s="4" t="s">
        <v>64</v>
      </c>
      <c r="D263" s="4">
        <v>3</v>
      </c>
      <c r="E263" s="4">
        <v>9</v>
      </c>
      <c r="F263" s="4">
        <v>2</v>
      </c>
      <c r="G263" s="6" t="str">
        <f t="shared" si="11"/>
        <v>92</v>
      </c>
      <c r="H263" s="5">
        <v>8</v>
      </c>
      <c r="I263" s="5">
        <v>215.2608132</v>
      </c>
      <c r="J263" s="5">
        <v>13510.315431875462</v>
      </c>
      <c r="K263" s="5">
        <v>18</v>
      </c>
      <c r="L263" s="5">
        <v>191.81078445</v>
      </c>
      <c r="M263" s="5">
        <v>12038.532060859896</v>
      </c>
      <c r="N263" s="5">
        <v>55.555555555555557</v>
      </c>
      <c r="O263" s="5">
        <v>23.450028750000001</v>
      </c>
      <c r="P263" s="5">
        <v>1471.7833710155664</v>
      </c>
      <c r="Q263" s="5">
        <v>12.225604945645168</v>
      </c>
    </row>
    <row r="264" spans="1:17" x14ac:dyDescent="0.2">
      <c r="A264" s="4" t="s">
        <v>78</v>
      </c>
      <c r="B264" s="4">
        <v>2014</v>
      </c>
      <c r="C264" s="4" t="s">
        <v>64</v>
      </c>
      <c r="D264" s="4">
        <v>4</v>
      </c>
      <c r="E264" s="4">
        <v>9</v>
      </c>
      <c r="F264" s="4">
        <v>2</v>
      </c>
      <c r="G264" s="6" t="str">
        <f t="shared" si="11"/>
        <v>92</v>
      </c>
      <c r="H264" s="5">
        <v>4</v>
      </c>
      <c r="I264" s="5">
        <v>237.20835159999999</v>
      </c>
      <c r="J264" s="5">
        <v>14887.798691969359</v>
      </c>
      <c r="K264" s="5">
        <v>16</v>
      </c>
      <c r="L264" s="5">
        <v>212.23650125</v>
      </c>
      <c r="M264" s="5">
        <v>13320.501931677785</v>
      </c>
      <c r="N264" s="5">
        <v>75</v>
      </c>
      <c r="O264" s="5">
        <v>24.971850349999983</v>
      </c>
      <c r="P264" s="5">
        <v>1567.2967602915742</v>
      </c>
      <c r="Q264" s="5">
        <v>11.766048819559497</v>
      </c>
    </row>
    <row r="265" spans="1:17" x14ac:dyDescent="0.2">
      <c r="A265" s="4" t="s">
        <v>70</v>
      </c>
      <c r="B265" s="4">
        <v>2014</v>
      </c>
      <c r="C265" s="4" t="s">
        <v>64</v>
      </c>
      <c r="D265" s="4">
        <v>1</v>
      </c>
      <c r="E265" s="4">
        <v>10</v>
      </c>
      <c r="F265" s="4">
        <v>2</v>
      </c>
      <c r="G265" s="6" t="str">
        <f t="shared" si="11"/>
        <v>102</v>
      </c>
      <c r="H265" s="5">
        <v>8</v>
      </c>
      <c r="I265" s="5">
        <v>231.13144275000002</v>
      </c>
      <c r="J265" s="5">
        <v>14506.396456263899</v>
      </c>
      <c r="K265" s="5">
        <v>10</v>
      </c>
      <c r="L265" s="5">
        <v>214.51043392152775</v>
      </c>
      <c r="M265" s="5">
        <v>13463.219722280219</v>
      </c>
      <c r="N265" s="5">
        <v>20</v>
      </c>
      <c r="O265" s="5">
        <v>16.62100882847227</v>
      </c>
      <c r="P265" s="5">
        <v>1043.1767339836806</v>
      </c>
      <c r="Q265" s="5">
        <v>7.7483451618733694</v>
      </c>
    </row>
    <row r="266" spans="1:17" x14ac:dyDescent="0.2">
      <c r="A266" s="4" t="s">
        <v>70</v>
      </c>
      <c r="B266" s="4">
        <v>2014</v>
      </c>
      <c r="C266" s="4" t="s">
        <v>64</v>
      </c>
      <c r="D266" s="4">
        <v>2</v>
      </c>
      <c r="E266" s="4">
        <v>10</v>
      </c>
      <c r="F266" s="4">
        <v>2</v>
      </c>
      <c r="G266" s="6" t="str">
        <f t="shared" si="11"/>
        <v>102</v>
      </c>
      <c r="H266" s="5">
        <v>8</v>
      </c>
      <c r="I266" s="5">
        <v>220.69154902361109</v>
      </c>
      <c r="J266" s="5">
        <v>13851.162207066276</v>
      </c>
      <c r="K266" s="5">
        <v>10</v>
      </c>
      <c r="L266" s="5">
        <v>200.44774846597221</v>
      </c>
      <c r="M266" s="5">
        <v>12580.609861714094</v>
      </c>
      <c r="N266" s="5">
        <v>20</v>
      </c>
      <c r="O266" s="5">
        <v>20.243800557638878</v>
      </c>
      <c r="P266" s="5">
        <v>1270.5523453521819</v>
      </c>
      <c r="Q266" s="5">
        <v>10.0992905695199</v>
      </c>
    </row>
    <row r="267" spans="1:17" x14ac:dyDescent="0.2">
      <c r="A267" s="4" t="s">
        <v>70</v>
      </c>
      <c r="B267" s="4">
        <v>2014</v>
      </c>
      <c r="C267" s="4" t="s">
        <v>64</v>
      </c>
      <c r="D267" s="4">
        <v>3</v>
      </c>
      <c r="E267" s="4">
        <v>10</v>
      </c>
      <c r="F267" s="4">
        <v>2</v>
      </c>
      <c r="G267" s="6" t="str">
        <f t="shared" si="11"/>
        <v>102</v>
      </c>
      <c r="H267" s="5">
        <v>8</v>
      </c>
      <c r="I267" s="5">
        <v>193.70320049444447</v>
      </c>
      <c r="J267" s="5">
        <v>12157.304898835902</v>
      </c>
      <c r="K267" s="5">
        <v>12.5</v>
      </c>
      <c r="L267" s="5">
        <v>224.63576321805556</v>
      </c>
      <c r="M267" s="5">
        <v>14098.711108817917</v>
      </c>
      <c r="N267" s="5">
        <v>36</v>
      </c>
      <c r="O267" s="5">
        <v>-30.932562723611085</v>
      </c>
      <c r="P267" s="5">
        <v>-1941.4062099820148</v>
      </c>
      <c r="Q267" s="5">
        <v>-13.770097103186824</v>
      </c>
    </row>
    <row r="268" spans="1:17" x14ac:dyDescent="0.2">
      <c r="A268" s="4" t="s">
        <v>70</v>
      </c>
      <c r="B268" s="4">
        <v>2014</v>
      </c>
      <c r="C268" s="4" t="s">
        <v>64</v>
      </c>
      <c r="D268" s="4">
        <v>4</v>
      </c>
      <c r="E268" s="4">
        <v>10</v>
      </c>
      <c r="F268" s="4">
        <v>2</v>
      </c>
      <c r="G268" s="6" t="str">
        <f t="shared" si="11"/>
        <v>102</v>
      </c>
      <c r="H268" s="5">
        <v>8</v>
      </c>
      <c r="I268" s="5">
        <v>225.31674925833332</v>
      </c>
      <c r="J268" s="5">
        <v>14141.451522514619</v>
      </c>
      <c r="K268" s="5">
        <v>7.5</v>
      </c>
      <c r="L268" s="5">
        <v>217.12300788333334</v>
      </c>
      <c r="M268" s="5">
        <v>13627.191500461247</v>
      </c>
      <c r="N268" s="5">
        <v>-6.666666666666667</v>
      </c>
      <c r="O268" s="5">
        <v>8.1937413749999735</v>
      </c>
      <c r="P268" s="5">
        <v>514.26002205337136</v>
      </c>
      <c r="Q268" s="5">
        <v>3.7737784930663438</v>
      </c>
    </row>
    <row r="269" spans="1:17" x14ac:dyDescent="0.2">
      <c r="A269" s="4" t="s">
        <v>65</v>
      </c>
      <c r="B269" s="4">
        <v>2014</v>
      </c>
      <c r="C269" s="4" t="s">
        <v>64</v>
      </c>
      <c r="D269" s="4">
        <v>1</v>
      </c>
      <c r="E269" s="4">
        <v>10</v>
      </c>
      <c r="F269" s="4">
        <v>2</v>
      </c>
      <c r="G269" s="6" t="str">
        <f t="shared" si="11"/>
        <v>102</v>
      </c>
      <c r="H269" s="5">
        <v>3</v>
      </c>
      <c r="I269" s="5">
        <v>210.83856197916666</v>
      </c>
      <c r="J269" s="5">
        <v>13232.763712060372</v>
      </c>
      <c r="K269" s="5">
        <v>11</v>
      </c>
      <c r="L269" s="5">
        <v>200.53205195075759</v>
      </c>
      <c r="M269" s="5">
        <v>12585.900962562991</v>
      </c>
      <c r="N269" s="5">
        <v>72.727272727272734</v>
      </c>
      <c r="O269" s="5">
        <v>10.306510028409065</v>
      </c>
      <c r="P269" s="5">
        <v>646.86274949738072</v>
      </c>
      <c r="Q269" s="5">
        <v>5.1395823900210766</v>
      </c>
    </row>
    <row r="270" spans="1:17" x14ac:dyDescent="0.2">
      <c r="A270" s="4" t="s">
        <v>65</v>
      </c>
      <c r="B270" s="4">
        <v>2014</v>
      </c>
      <c r="C270" s="4" t="s">
        <v>64</v>
      </c>
      <c r="D270" s="4">
        <v>2</v>
      </c>
      <c r="E270" s="4">
        <v>10</v>
      </c>
      <c r="F270" s="4">
        <v>2</v>
      </c>
      <c r="G270" s="6" t="str">
        <f t="shared" si="11"/>
        <v>102</v>
      </c>
      <c r="H270" s="5">
        <v>3</v>
      </c>
      <c r="I270" s="5">
        <v>215.1063186742424</v>
      </c>
      <c r="J270" s="5">
        <v>13500.618962999153</v>
      </c>
      <c r="K270" s="5">
        <v>12</v>
      </c>
      <c r="L270" s="5">
        <v>201.86809265151518</v>
      </c>
      <c r="M270" s="5">
        <v>12669.754270690599</v>
      </c>
      <c r="N270" s="5">
        <v>75</v>
      </c>
      <c r="O270" s="5">
        <v>13.238226022727218</v>
      </c>
      <c r="P270" s="5">
        <v>830.86469230855437</v>
      </c>
      <c r="Q270" s="5">
        <v>6.5578595650479476</v>
      </c>
    </row>
    <row r="271" spans="1:17" x14ac:dyDescent="0.2">
      <c r="A271" s="4" t="s">
        <v>65</v>
      </c>
      <c r="B271" s="4">
        <v>2014</v>
      </c>
      <c r="C271" s="4" t="s">
        <v>64</v>
      </c>
      <c r="D271" s="4">
        <v>3</v>
      </c>
      <c r="E271" s="4">
        <v>10</v>
      </c>
      <c r="F271" s="4">
        <v>2</v>
      </c>
      <c r="G271" s="6" t="str">
        <f t="shared" si="11"/>
        <v>102</v>
      </c>
      <c r="H271" s="5">
        <v>4</v>
      </c>
      <c r="I271" s="5">
        <v>206.54904702651515</v>
      </c>
      <c r="J271" s="5">
        <v>12963.542857606832</v>
      </c>
      <c r="K271" s="5">
        <v>7.5</v>
      </c>
      <c r="L271" s="5">
        <v>198.79034527462122</v>
      </c>
      <c r="M271" s="5">
        <v>12476.587027366886</v>
      </c>
      <c r="N271" s="5">
        <v>46.666666666666664</v>
      </c>
      <c r="O271" s="5">
        <v>7.7587017518939376</v>
      </c>
      <c r="P271" s="5">
        <v>486.9558302399455</v>
      </c>
      <c r="Q271" s="5">
        <v>3.9029570280063584</v>
      </c>
    </row>
    <row r="272" spans="1:17" x14ac:dyDescent="0.2">
      <c r="A272" s="4" t="s">
        <v>65</v>
      </c>
      <c r="B272" s="4">
        <v>2014</v>
      </c>
      <c r="C272" s="4" t="s">
        <v>64</v>
      </c>
      <c r="D272" s="4">
        <v>4</v>
      </c>
      <c r="E272" s="4">
        <v>10</v>
      </c>
      <c r="F272" s="4">
        <v>2</v>
      </c>
      <c r="G272" s="6" t="str">
        <f t="shared" si="11"/>
        <v>102</v>
      </c>
      <c r="H272" s="5">
        <v>2</v>
      </c>
      <c r="I272" s="5">
        <v>208.39473306818184</v>
      </c>
      <c r="J272" s="5">
        <v>13079.382801907137</v>
      </c>
      <c r="K272" s="5">
        <v>9</v>
      </c>
      <c r="L272" s="5">
        <v>204.74373928977272</v>
      </c>
      <c r="M272" s="5">
        <v>12850.237158290653</v>
      </c>
      <c r="N272" s="5">
        <v>77.777777777777786</v>
      </c>
      <c r="O272" s="5">
        <v>3.6509937784091164</v>
      </c>
      <c r="P272" s="5">
        <v>229.14564361648445</v>
      </c>
      <c r="Q272" s="5">
        <v>1.7832016700847064</v>
      </c>
    </row>
    <row r="273" spans="1:17" x14ac:dyDescent="0.2">
      <c r="A273" s="4" t="s">
        <v>91</v>
      </c>
      <c r="B273" s="4">
        <v>2014</v>
      </c>
      <c r="C273" s="4" t="s">
        <v>64</v>
      </c>
      <c r="D273" s="4">
        <v>1</v>
      </c>
      <c r="E273" s="31">
        <v>10</v>
      </c>
      <c r="F273" s="4">
        <v>2</v>
      </c>
      <c r="G273" s="6" t="str">
        <f t="shared" si="11"/>
        <v>102</v>
      </c>
      <c r="H273" s="5">
        <v>0</v>
      </c>
      <c r="I273" s="29">
        <v>216.37340620000001</v>
      </c>
      <c r="J273" s="29">
        <f>I273*(25.4/0.4047)</f>
        <v>13580.144594712132</v>
      </c>
      <c r="K273" s="30">
        <v>0.1</v>
      </c>
      <c r="L273" s="29">
        <v>199.7</v>
      </c>
      <c r="M273" s="29">
        <f>L273*(25.4/0.4047)</f>
        <v>12533.67926859402</v>
      </c>
      <c r="N273" s="5">
        <f>(K273-H273)/K273*100</f>
        <v>100</v>
      </c>
      <c r="O273" s="5">
        <f t="shared" ref="O273:P276" si="12">I273-L273</f>
        <v>16.673406200000016</v>
      </c>
      <c r="P273" s="5">
        <f t="shared" si="12"/>
        <v>1046.465326118112</v>
      </c>
      <c r="Q273" s="5">
        <f>SUM(P273/M273)*100</f>
        <v>8.349226940410615</v>
      </c>
    </row>
    <row r="274" spans="1:17" x14ac:dyDescent="0.2">
      <c r="A274" s="4" t="s">
        <v>91</v>
      </c>
      <c r="B274" s="4">
        <v>2014</v>
      </c>
      <c r="C274" s="4" t="s">
        <v>64</v>
      </c>
      <c r="D274" s="4">
        <v>2</v>
      </c>
      <c r="E274" s="31">
        <v>10</v>
      </c>
      <c r="F274" s="4">
        <v>2</v>
      </c>
      <c r="G274" s="6" t="str">
        <f t="shared" si="11"/>
        <v>102</v>
      </c>
      <c r="H274" s="5">
        <v>0.1</v>
      </c>
      <c r="I274" s="29">
        <v>211.32642340000001</v>
      </c>
      <c r="J274" s="29">
        <f>I274*(25.4/0.4047)</f>
        <v>13263.383134074624</v>
      </c>
      <c r="K274" s="30">
        <v>0</v>
      </c>
      <c r="L274" s="29">
        <v>203.3</v>
      </c>
      <c r="M274" s="29">
        <f>L274*(25.4/0.4047)</f>
        <v>12759.624413145541</v>
      </c>
      <c r="N274" s="5" t="s">
        <v>97</v>
      </c>
      <c r="O274" s="5">
        <f t="shared" si="12"/>
        <v>8.0264233999999988</v>
      </c>
      <c r="P274" s="5">
        <f t="shared" si="12"/>
        <v>503.75872092908321</v>
      </c>
      <c r="Q274" s="5">
        <f>SUM(P274/M274)*100</f>
        <v>3.9480685686178054</v>
      </c>
    </row>
    <row r="275" spans="1:17" x14ac:dyDescent="0.2">
      <c r="A275" s="4" t="s">
        <v>91</v>
      </c>
      <c r="B275" s="4">
        <v>2014</v>
      </c>
      <c r="C275" s="4" t="s">
        <v>64</v>
      </c>
      <c r="D275" s="4">
        <v>3</v>
      </c>
      <c r="E275" s="31">
        <v>10</v>
      </c>
      <c r="F275" s="4">
        <v>2</v>
      </c>
      <c r="G275" s="6" t="str">
        <f t="shared" si="11"/>
        <v>102</v>
      </c>
      <c r="H275" s="5">
        <v>0.1</v>
      </c>
      <c r="I275" s="29">
        <v>213.94769539999999</v>
      </c>
      <c r="J275" s="29">
        <f>I275*(25.4/0.4047)</f>
        <v>13427.900823227081</v>
      </c>
      <c r="K275" s="30">
        <v>0.1</v>
      </c>
      <c r="L275" s="29">
        <v>199.7</v>
      </c>
      <c r="M275" s="29">
        <f>L275*(25.4/0.4047)</f>
        <v>12533.67926859402</v>
      </c>
      <c r="N275" s="5">
        <f>(K275-H275)/K275*100</f>
        <v>0</v>
      </c>
      <c r="O275" s="5">
        <f t="shared" si="12"/>
        <v>14.247695399999998</v>
      </c>
      <c r="P275" s="5">
        <f t="shared" si="12"/>
        <v>894.2215546330608</v>
      </c>
      <c r="Q275" s="5">
        <f>SUM(P275/M275)*100</f>
        <v>7.1345495242864239</v>
      </c>
    </row>
    <row r="276" spans="1:17" x14ac:dyDescent="0.2">
      <c r="A276" s="4" t="s">
        <v>91</v>
      </c>
      <c r="B276" s="4">
        <v>2014</v>
      </c>
      <c r="C276" s="4" t="s">
        <v>64</v>
      </c>
      <c r="D276" s="4">
        <v>4</v>
      </c>
      <c r="E276" s="31">
        <v>10</v>
      </c>
      <c r="F276" s="4">
        <v>2</v>
      </c>
      <c r="G276" s="6" t="str">
        <f t="shared" si="11"/>
        <v>102</v>
      </c>
      <c r="H276" s="5">
        <v>0.1</v>
      </c>
      <c r="I276" s="29">
        <v>224.13380050000001</v>
      </c>
      <c r="J276" s="29">
        <f>I276*(25.4/0.4047)</f>
        <v>14067.206653570547</v>
      </c>
      <c r="K276" s="30">
        <v>0.1</v>
      </c>
      <c r="L276" s="29">
        <v>203.3</v>
      </c>
      <c r="M276" s="29">
        <f>L276*(25.4/0.4047)</f>
        <v>12759.624413145541</v>
      </c>
      <c r="N276" s="5">
        <f>(K276-H276)/K276*100</f>
        <v>0</v>
      </c>
      <c r="O276" s="5">
        <f t="shared" si="12"/>
        <v>20.833800499999995</v>
      </c>
      <c r="P276" s="5">
        <f t="shared" si="12"/>
        <v>1307.5822404250066</v>
      </c>
      <c r="Q276" s="5">
        <f>SUM(P276/M276)*100</f>
        <v>10.247811362518448</v>
      </c>
    </row>
    <row r="277" spans="1:17" x14ac:dyDescent="0.2">
      <c r="A277" s="4" t="s">
        <v>78</v>
      </c>
      <c r="B277" s="4">
        <v>2014</v>
      </c>
      <c r="C277" s="4" t="s">
        <v>64</v>
      </c>
      <c r="D277" s="4">
        <v>1</v>
      </c>
      <c r="E277" s="4">
        <v>10</v>
      </c>
      <c r="F277" s="4">
        <v>2</v>
      </c>
      <c r="G277" s="6" t="str">
        <f t="shared" si="11"/>
        <v>102</v>
      </c>
      <c r="H277" s="5">
        <v>8</v>
      </c>
      <c r="I277" s="5" t="s">
        <v>97</v>
      </c>
      <c r="J277" s="5" t="s">
        <v>97</v>
      </c>
      <c r="K277" s="5">
        <v>12</v>
      </c>
      <c r="L277" s="5">
        <v>186.603284</v>
      </c>
      <c r="M277" s="5">
        <v>11711.696104768964</v>
      </c>
      <c r="N277" s="5">
        <v>33.333333333333329</v>
      </c>
      <c r="O277" s="5" t="s">
        <v>97</v>
      </c>
      <c r="P277" s="5" t="s">
        <v>97</v>
      </c>
      <c r="Q277" s="5" t="s">
        <v>97</v>
      </c>
    </row>
    <row r="278" spans="1:17" x14ac:dyDescent="0.2">
      <c r="A278" s="4" t="s">
        <v>78</v>
      </c>
      <c r="B278" s="4">
        <v>2014</v>
      </c>
      <c r="C278" s="4" t="s">
        <v>64</v>
      </c>
      <c r="D278" s="4">
        <v>2</v>
      </c>
      <c r="E278" s="4">
        <v>10</v>
      </c>
      <c r="F278" s="4">
        <v>2</v>
      </c>
      <c r="G278" s="6" t="str">
        <f t="shared" si="11"/>
        <v>102</v>
      </c>
      <c r="H278" s="5">
        <v>12</v>
      </c>
      <c r="I278" s="5">
        <v>205.8825089</v>
      </c>
      <c r="J278" s="5">
        <v>12921.709231677785</v>
      </c>
      <c r="K278" s="5">
        <v>14</v>
      </c>
      <c r="L278" s="5">
        <v>190.84363060000001</v>
      </c>
      <c r="M278" s="5">
        <v>11977.831028514949</v>
      </c>
      <c r="N278" s="5">
        <v>14.285714285714285</v>
      </c>
      <c r="O278" s="5">
        <v>15.038878299999993</v>
      </c>
      <c r="P278" s="5">
        <v>943.87820316283614</v>
      </c>
      <c r="Q278" s="5">
        <v>7.8802097050442468</v>
      </c>
    </row>
    <row r="279" spans="1:17" x14ac:dyDescent="0.2">
      <c r="A279" s="4" t="s">
        <v>78</v>
      </c>
      <c r="B279" s="4">
        <v>2014</v>
      </c>
      <c r="C279" s="4" t="s">
        <v>64</v>
      </c>
      <c r="D279" s="4">
        <v>3</v>
      </c>
      <c r="E279" s="4">
        <v>10</v>
      </c>
      <c r="F279" s="4">
        <v>2</v>
      </c>
      <c r="G279" s="6" t="str">
        <f t="shared" si="11"/>
        <v>102</v>
      </c>
      <c r="H279" s="5">
        <v>8</v>
      </c>
      <c r="I279" s="5">
        <v>213.10858830000001</v>
      </c>
      <c r="J279" s="5">
        <v>13375.236330170497</v>
      </c>
      <c r="K279" s="5">
        <v>18</v>
      </c>
      <c r="L279" s="5">
        <v>191.81078445</v>
      </c>
      <c r="M279" s="5">
        <v>12038.532060859896</v>
      </c>
      <c r="N279" s="5">
        <v>55.555555555555557</v>
      </c>
      <c r="O279" s="5">
        <v>21.297803850000008</v>
      </c>
      <c r="P279" s="5">
        <v>1336.7042693106014</v>
      </c>
      <c r="Q279" s="5">
        <v>11.103548693088104</v>
      </c>
    </row>
    <row r="280" spans="1:17" x14ac:dyDescent="0.2">
      <c r="A280" s="4" t="s">
        <v>78</v>
      </c>
      <c r="B280" s="4">
        <v>2014</v>
      </c>
      <c r="C280" s="4" t="s">
        <v>64</v>
      </c>
      <c r="D280" s="4">
        <v>4</v>
      </c>
      <c r="E280" s="4">
        <v>10</v>
      </c>
      <c r="F280" s="4">
        <v>2</v>
      </c>
      <c r="G280" s="6" t="str">
        <f t="shared" si="11"/>
        <v>102</v>
      </c>
      <c r="H280" s="5">
        <v>4</v>
      </c>
      <c r="I280" s="5">
        <v>212.8792899</v>
      </c>
      <c r="J280" s="5">
        <v>13360.844980133432</v>
      </c>
      <c r="K280" s="5">
        <v>16</v>
      </c>
      <c r="L280" s="5">
        <v>212.23650125</v>
      </c>
      <c r="M280" s="5">
        <v>13320.501931677785</v>
      </c>
      <c r="N280" s="5">
        <v>75</v>
      </c>
      <c r="O280" s="5">
        <v>0.64278864999999996</v>
      </c>
      <c r="P280" s="5">
        <v>40.343048455646567</v>
      </c>
      <c r="Q280" s="5">
        <v>0.30286432645383921</v>
      </c>
    </row>
    <row r="281" spans="1:17" x14ac:dyDescent="0.2">
      <c r="A281" s="4" t="s">
        <v>70</v>
      </c>
      <c r="B281" s="4">
        <v>2014</v>
      </c>
      <c r="C281" s="4" t="s">
        <v>64</v>
      </c>
      <c r="D281" s="4">
        <v>1</v>
      </c>
      <c r="E281" s="4">
        <v>11</v>
      </c>
      <c r="F281" s="4">
        <v>2</v>
      </c>
      <c r="G281" s="6" t="str">
        <f t="shared" si="11"/>
        <v>112</v>
      </c>
      <c r="H281" s="5">
        <v>5</v>
      </c>
      <c r="I281" s="5">
        <v>198.86252968888891</v>
      </c>
      <c r="J281" s="5">
        <v>12481.117504565798</v>
      </c>
      <c r="K281" s="5">
        <v>10</v>
      </c>
      <c r="L281" s="5">
        <v>214.51043392152775</v>
      </c>
      <c r="M281" s="5">
        <v>13463.219722280219</v>
      </c>
      <c r="N281" s="5">
        <v>50</v>
      </c>
      <c r="O281" s="5">
        <v>-15.647904232638837</v>
      </c>
      <c r="P281" s="5">
        <v>-982.10221771442048</v>
      </c>
      <c r="Q281" s="5">
        <v>-7.2947054120281809</v>
      </c>
    </row>
    <row r="282" spans="1:17" x14ac:dyDescent="0.2">
      <c r="A282" s="4" t="s">
        <v>70</v>
      </c>
      <c r="B282" s="4">
        <v>2014</v>
      </c>
      <c r="C282" s="4" t="s">
        <v>64</v>
      </c>
      <c r="D282" s="4">
        <v>2</v>
      </c>
      <c r="E282" s="4">
        <v>11</v>
      </c>
      <c r="F282" s="4">
        <v>2</v>
      </c>
      <c r="G282" s="6" t="str">
        <f t="shared" si="11"/>
        <v>112</v>
      </c>
      <c r="H282" s="5">
        <v>8</v>
      </c>
      <c r="I282" s="5">
        <v>211.23043656666661</v>
      </c>
      <c r="J282" s="5">
        <v>13257.358756593358</v>
      </c>
      <c r="K282" s="5">
        <v>10</v>
      </c>
      <c r="L282" s="5">
        <v>200.44774846597221</v>
      </c>
      <c r="M282" s="5">
        <v>12580.609861714094</v>
      </c>
      <c r="N282" s="5">
        <v>20</v>
      </c>
      <c r="O282" s="5">
        <v>10.782688100694401</v>
      </c>
      <c r="P282" s="5">
        <v>676.74889487926339</v>
      </c>
      <c r="Q282" s="5">
        <v>5.3793011810880298</v>
      </c>
    </row>
    <row r="283" spans="1:17" x14ac:dyDescent="0.2">
      <c r="A283" s="4" t="s">
        <v>70</v>
      </c>
      <c r="B283" s="4">
        <v>2014</v>
      </c>
      <c r="C283" s="4" t="s">
        <v>64</v>
      </c>
      <c r="D283" s="4">
        <v>3</v>
      </c>
      <c r="E283" s="4">
        <v>11</v>
      </c>
      <c r="F283" s="4">
        <v>2</v>
      </c>
      <c r="G283" s="6" t="str">
        <f t="shared" si="11"/>
        <v>112</v>
      </c>
      <c r="H283" s="5">
        <v>4</v>
      </c>
      <c r="I283" s="5" t="s">
        <v>97</v>
      </c>
      <c r="J283" s="5" t="s">
        <v>97</v>
      </c>
      <c r="K283" s="5">
        <v>12.5</v>
      </c>
      <c r="L283" s="5">
        <v>224.63576321805556</v>
      </c>
      <c r="M283" s="5">
        <v>14098.711108817917</v>
      </c>
      <c r="N283" s="5">
        <v>68</v>
      </c>
      <c r="O283" s="5" t="s">
        <v>97</v>
      </c>
      <c r="P283" s="5" t="s">
        <v>97</v>
      </c>
      <c r="Q283" s="5" t="s">
        <v>97</v>
      </c>
    </row>
    <row r="284" spans="1:17" x14ac:dyDescent="0.2">
      <c r="A284" s="4" t="s">
        <v>70</v>
      </c>
      <c r="B284" s="4">
        <v>2014</v>
      </c>
      <c r="C284" s="4" t="s">
        <v>64</v>
      </c>
      <c r="D284" s="4">
        <v>4</v>
      </c>
      <c r="E284" s="4">
        <v>11</v>
      </c>
      <c r="F284" s="4">
        <v>2</v>
      </c>
      <c r="G284" s="6" t="str">
        <f t="shared" si="11"/>
        <v>112</v>
      </c>
      <c r="H284" s="5">
        <v>5</v>
      </c>
      <c r="I284" s="5">
        <v>201.17</v>
      </c>
      <c r="J284" s="5">
        <v>12625.940202619224</v>
      </c>
      <c r="K284" s="5">
        <v>7.5</v>
      </c>
      <c r="L284" s="5">
        <v>217.12300788333334</v>
      </c>
      <c r="M284" s="5">
        <v>13627.191500461247</v>
      </c>
      <c r="N284" s="5">
        <v>33.333333333333329</v>
      </c>
      <c r="O284" s="5">
        <v>-15.953007883333356</v>
      </c>
      <c r="P284" s="5">
        <v>-1001.2512978420236</v>
      </c>
      <c r="Q284" s="5">
        <v>-7.3474515846360093</v>
      </c>
    </row>
    <row r="285" spans="1:17" x14ac:dyDescent="0.2">
      <c r="A285" s="4" t="s">
        <v>65</v>
      </c>
      <c r="B285" s="4">
        <v>2014</v>
      </c>
      <c r="C285" s="4" t="s">
        <v>64</v>
      </c>
      <c r="D285" s="4">
        <v>1</v>
      </c>
      <c r="E285" s="4">
        <v>11</v>
      </c>
      <c r="F285" s="4">
        <v>2</v>
      </c>
      <c r="G285" s="6" t="str">
        <f t="shared" si="11"/>
        <v>112</v>
      </c>
      <c r="H285" s="5">
        <v>1</v>
      </c>
      <c r="I285" s="5">
        <v>222.15348356060611</v>
      </c>
      <c r="J285" s="5">
        <v>13942.916932145774</v>
      </c>
      <c r="K285" s="5">
        <v>11</v>
      </c>
      <c r="L285" s="5">
        <v>200.53205195075759</v>
      </c>
      <c r="M285" s="5">
        <v>12585.900962562991</v>
      </c>
      <c r="N285" s="5">
        <v>90.909090909090907</v>
      </c>
      <c r="O285" s="5">
        <v>21.621431609848514</v>
      </c>
      <c r="P285" s="5">
        <v>1357.0159695827824</v>
      </c>
      <c r="Q285" s="5">
        <v>10.782032797010345</v>
      </c>
    </row>
    <row r="286" spans="1:17" x14ac:dyDescent="0.2">
      <c r="A286" s="4" t="s">
        <v>65</v>
      </c>
      <c r="B286" s="4">
        <v>2014</v>
      </c>
      <c r="C286" s="4" t="s">
        <v>64</v>
      </c>
      <c r="D286" s="4">
        <v>2</v>
      </c>
      <c r="E286" s="4">
        <v>11</v>
      </c>
      <c r="F286" s="4">
        <v>2</v>
      </c>
      <c r="G286" s="6" t="str">
        <f t="shared" si="11"/>
        <v>112</v>
      </c>
      <c r="H286" s="5">
        <v>2</v>
      </c>
      <c r="I286" s="5">
        <v>220.30779751893945</v>
      </c>
      <c r="J286" s="5">
        <v>13827.07698784547</v>
      </c>
      <c r="K286" s="5">
        <v>12</v>
      </c>
      <c r="L286" s="5">
        <v>201.86809265151518</v>
      </c>
      <c r="M286" s="5">
        <v>12669.754270690599</v>
      </c>
      <c r="N286" s="5">
        <v>83.333333333333343</v>
      </c>
      <c r="O286" s="5">
        <v>18.439704867424268</v>
      </c>
      <c r="P286" s="5">
        <v>1157.3227171548715</v>
      </c>
      <c r="Q286" s="5">
        <v>9.1345316762152837</v>
      </c>
    </row>
    <row r="287" spans="1:17" x14ac:dyDescent="0.2">
      <c r="A287" s="4" t="s">
        <v>65</v>
      </c>
      <c r="B287" s="4">
        <v>2014</v>
      </c>
      <c r="C287" s="4" t="s">
        <v>64</v>
      </c>
      <c r="D287" s="4">
        <v>3</v>
      </c>
      <c r="E287" s="4">
        <v>11</v>
      </c>
      <c r="F287" s="4">
        <v>2</v>
      </c>
      <c r="G287" s="6" t="str">
        <f t="shared" si="11"/>
        <v>112</v>
      </c>
      <c r="H287" s="5">
        <v>0</v>
      </c>
      <c r="I287" s="5">
        <v>221.42248979166669</v>
      </c>
      <c r="J287" s="5">
        <v>13897.037906370975</v>
      </c>
      <c r="K287" s="5">
        <v>7.5</v>
      </c>
      <c r="L287" s="5">
        <v>198.79034527462122</v>
      </c>
      <c r="M287" s="5">
        <v>12476.587027366886</v>
      </c>
      <c r="N287" s="5">
        <v>100</v>
      </c>
      <c r="O287" s="5">
        <v>22.632144517045475</v>
      </c>
      <c r="P287" s="5">
        <v>1420.4508790040891</v>
      </c>
      <c r="Q287" s="5">
        <v>11.384931439089776</v>
      </c>
    </row>
    <row r="288" spans="1:17" x14ac:dyDescent="0.2">
      <c r="A288" s="4" t="s">
        <v>65</v>
      </c>
      <c r="B288" s="4">
        <v>2014</v>
      </c>
      <c r="C288" s="4" t="s">
        <v>64</v>
      </c>
      <c r="D288" s="4">
        <v>4</v>
      </c>
      <c r="E288" s="4">
        <v>11</v>
      </c>
      <c r="F288" s="4">
        <v>2</v>
      </c>
      <c r="G288" s="6" t="str">
        <f t="shared" si="11"/>
        <v>112</v>
      </c>
      <c r="H288" s="5">
        <v>0</v>
      </c>
      <c r="I288" s="5">
        <v>229.41760338068181</v>
      </c>
      <c r="J288" s="5">
        <v>14398.831544030931</v>
      </c>
      <c r="K288" s="5">
        <v>9</v>
      </c>
      <c r="L288" s="5">
        <v>204.74373928977272</v>
      </c>
      <c r="M288" s="5">
        <v>12850.237158290653</v>
      </c>
      <c r="N288" s="5">
        <v>100</v>
      </c>
      <c r="O288" s="5">
        <v>24.673864090909092</v>
      </c>
      <c r="P288" s="5">
        <v>1548.5943857402781</v>
      </c>
      <c r="Q288" s="5">
        <v>12.051095763171684</v>
      </c>
    </row>
    <row r="289" spans="1:17" x14ac:dyDescent="0.2">
      <c r="A289" s="4" t="s">
        <v>91</v>
      </c>
      <c r="B289" s="4">
        <v>2014</v>
      </c>
      <c r="C289" s="4" t="s">
        <v>64</v>
      </c>
      <c r="D289" s="4">
        <v>1</v>
      </c>
      <c r="E289" s="31">
        <v>11</v>
      </c>
      <c r="F289" s="4">
        <v>2</v>
      </c>
      <c r="G289" s="6" t="str">
        <f t="shared" si="11"/>
        <v>112</v>
      </c>
      <c r="H289" s="5">
        <v>0.1</v>
      </c>
      <c r="I289" s="29">
        <v>217.0177553</v>
      </c>
      <c r="J289" s="29">
        <f>I289*(25.4/0.4047)</f>
        <v>13620.58558097356</v>
      </c>
      <c r="K289" s="30">
        <v>0.1</v>
      </c>
      <c r="L289" s="29">
        <v>199.7</v>
      </c>
      <c r="M289" s="29">
        <f>L289*(25.4/0.4047)</f>
        <v>12533.67926859402</v>
      </c>
      <c r="N289" s="5">
        <f>(K289-H289)/K289*100</f>
        <v>0</v>
      </c>
      <c r="O289" s="5">
        <f t="shared" ref="O289:P292" si="13">I289-L289</f>
        <v>17.317755300000016</v>
      </c>
      <c r="P289" s="5">
        <f t="shared" si="13"/>
        <v>1086.9063123795404</v>
      </c>
      <c r="Q289" s="5">
        <f>SUM(P289/M289)*100</f>
        <v>8.6718854782173249</v>
      </c>
    </row>
    <row r="290" spans="1:17" x14ac:dyDescent="0.2">
      <c r="A290" s="4" t="s">
        <v>91</v>
      </c>
      <c r="B290" s="4">
        <v>2014</v>
      </c>
      <c r="C290" s="4" t="s">
        <v>64</v>
      </c>
      <c r="D290" s="4">
        <v>2</v>
      </c>
      <c r="E290" s="31">
        <v>11</v>
      </c>
      <c r="F290" s="4">
        <v>2</v>
      </c>
      <c r="G290" s="6" t="str">
        <f t="shared" si="11"/>
        <v>112</v>
      </c>
      <c r="H290" s="5">
        <v>0</v>
      </c>
      <c r="I290" s="29">
        <v>222.87706919999999</v>
      </c>
      <c r="J290" s="29">
        <f>I290*(25.4/0.4047)</f>
        <v>13988.331004892512</v>
      </c>
      <c r="K290" s="30">
        <v>0</v>
      </c>
      <c r="L290" s="29">
        <v>203.3</v>
      </c>
      <c r="M290" s="29">
        <f>L290*(25.4/0.4047)</f>
        <v>12759.624413145541</v>
      </c>
      <c r="N290" s="5" t="s">
        <v>97</v>
      </c>
      <c r="O290" s="5">
        <f t="shared" si="13"/>
        <v>19.577069199999983</v>
      </c>
      <c r="P290" s="5">
        <f t="shared" si="13"/>
        <v>1228.7065917469718</v>
      </c>
      <c r="Q290" s="5">
        <f>SUM(P290/M290)*100</f>
        <v>9.629645450073772</v>
      </c>
    </row>
    <row r="291" spans="1:17" x14ac:dyDescent="0.2">
      <c r="A291" s="4" t="s">
        <v>91</v>
      </c>
      <c r="B291" s="4">
        <v>2014</v>
      </c>
      <c r="C291" s="4" t="s">
        <v>64</v>
      </c>
      <c r="D291" s="4">
        <v>3</v>
      </c>
      <c r="E291" s="31">
        <v>11</v>
      </c>
      <c r="F291" s="4">
        <v>2</v>
      </c>
      <c r="G291" s="6" t="str">
        <f t="shared" si="11"/>
        <v>112</v>
      </c>
      <c r="H291" s="5">
        <v>0.1</v>
      </c>
      <c r="I291" s="29">
        <v>217.3436906</v>
      </c>
      <c r="J291" s="29">
        <f>I291*(25.4/0.4047)</f>
        <v>13641.042108327156</v>
      </c>
      <c r="K291" s="30">
        <v>0.1</v>
      </c>
      <c r="L291" s="29">
        <v>199.7</v>
      </c>
      <c r="M291" s="29">
        <f>L291*(25.4/0.4047)</f>
        <v>12533.67926859402</v>
      </c>
      <c r="N291" s="5">
        <f>(K291-H291)/K291*100</f>
        <v>0</v>
      </c>
      <c r="O291" s="5">
        <f t="shared" si="13"/>
        <v>17.643690600000014</v>
      </c>
      <c r="P291" s="5">
        <f t="shared" si="13"/>
        <v>1107.3628397331358</v>
      </c>
      <c r="Q291" s="5">
        <f>SUM(P291/M291)*100</f>
        <v>8.8350979469203832</v>
      </c>
    </row>
    <row r="292" spans="1:17" x14ac:dyDescent="0.2">
      <c r="A292" s="4" t="s">
        <v>91</v>
      </c>
      <c r="B292" s="4">
        <v>2014</v>
      </c>
      <c r="C292" s="4" t="s">
        <v>64</v>
      </c>
      <c r="D292" s="4">
        <v>4</v>
      </c>
      <c r="E292" s="31">
        <v>11</v>
      </c>
      <c r="F292" s="4">
        <v>2</v>
      </c>
      <c r="G292" s="6" t="str">
        <f t="shared" si="11"/>
        <v>112</v>
      </c>
      <c r="H292" s="5">
        <v>0.1</v>
      </c>
      <c r="I292" s="29">
        <v>224.6158087</v>
      </c>
      <c r="J292" s="29">
        <f>I292*(25.4/0.4047)</f>
        <v>14097.458712577218</v>
      </c>
      <c r="K292" s="30">
        <v>0.1</v>
      </c>
      <c r="L292" s="29">
        <v>203.3</v>
      </c>
      <c r="M292" s="29">
        <f>L292*(25.4/0.4047)</f>
        <v>12759.624413145541</v>
      </c>
      <c r="N292" s="5">
        <f>(K292-H292)/K292*100</f>
        <v>0</v>
      </c>
      <c r="O292" s="5">
        <f t="shared" si="13"/>
        <v>21.315808699999991</v>
      </c>
      <c r="P292" s="5">
        <f t="shared" si="13"/>
        <v>1337.8342994316772</v>
      </c>
      <c r="Q292" s="5">
        <f>SUM(P292/M292)*100</f>
        <v>10.484903443187402</v>
      </c>
    </row>
    <row r="293" spans="1:17" x14ac:dyDescent="0.2">
      <c r="A293" s="4" t="s">
        <v>78</v>
      </c>
      <c r="B293" s="4">
        <v>2014</v>
      </c>
      <c r="C293" s="4" t="s">
        <v>64</v>
      </c>
      <c r="D293" s="4">
        <v>1</v>
      </c>
      <c r="E293" s="4">
        <v>11</v>
      </c>
      <c r="F293" s="4">
        <v>2</v>
      </c>
      <c r="G293" s="6" t="str">
        <f t="shared" si="11"/>
        <v>112</v>
      </c>
      <c r="H293" s="5">
        <v>4</v>
      </c>
      <c r="I293" s="5">
        <v>198.52554520000001</v>
      </c>
      <c r="J293" s="5">
        <v>12459.967502050902</v>
      </c>
      <c r="K293" s="5">
        <v>12</v>
      </c>
      <c r="L293" s="5">
        <v>186.603284</v>
      </c>
      <c r="M293" s="5">
        <v>11711.696104768964</v>
      </c>
      <c r="N293" s="5">
        <v>66.666666666666657</v>
      </c>
      <c r="O293" s="5">
        <v>11.922261200000008</v>
      </c>
      <c r="P293" s="5">
        <v>748.27139728193833</v>
      </c>
      <c r="Q293" s="5">
        <v>6.389095060084804</v>
      </c>
    </row>
    <row r="294" spans="1:17" x14ac:dyDescent="0.2">
      <c r="A294" s="4" t="s">
        <v>78</v>
      </c>
      <c r="B294" s="4">
        <v>2014</v>
      </c>
      <c r="C294" s="4" t="s">
        <v>64</v>
      </c>
      <c r="D294" s="4">
        <v>2</v>
      </c>
      <c r="E294" s="4">
        <v>11</v>
      </c>
      <c r="F294" s="4">
        <v>2</v>
      </c>
      <c r="G294" s="6" t="str">
        <f t="shared" si="11"/>
        <v>112</v>
      </c>
      <c r="H294" s="5">
        <v>8</v>
      </c>
      <c r="I294" s="5">
        <v>200.12193070000001</v>
      </c>
      <c r="J294" s="5">
        <v>12560.160711094639</v>
      </c>
      <c r="K294" s="5">
        <v>14</v>
      </c>
      <c r="L294" s="5">
        <v>190.84363060000001</v>
      </c>
      <c r="M294" s="5">
        <v>11977.831028514949</v>
      </c>
      <c r="N294" s="5">
        <v>42.857142857142854</v>
      </c>
      <c r="O294" s="5">
        <v>9.2783000999999956</v>
      </c>
      <c r="P294" s="5">
        <v>582.32968257968969</v>
      </c>
      <c r="Q294" s="5">
        <v>4.8617289824290397</v>
      </c>
    </row>
    <row r="295" spans="1:17" x14ac:dyDescent="0.2">
      <c r="A295" s="4" t="s">
        <v>78</v>
      </c>
      <c r="B295" s="4">
        <v>2014</v>
      </c>
      <c r="C295" s="4" t="s">
        <v>64</v>
      </c>
      <c r="D295" s="4">
        <v>3</v>
      </c>
      <c r="E295" s="4">
        <v>11</v>
      </c>
      <c r="F295" s="4">
        <v>2</v>
      </c>
      <c r="G295" s="6" t="str">
        <f t="shared" si="11"/>
        <v>112</v>
      </c>
      <c r="H295" s="5">
        <v>8</v>
      </c>
      <c r="I295" s="5">
        <v>203.6450921</v>
      </c>
      <c r="J295" s="5">
        <v>12781.283269928343</v>
      </c>
      <c r="K295" s="5">
        <v>18</v>
      </c>
      <c r="L295" s="5">
        <v>191.81078445</v>
      </c>
      <c r="M295" s="5">
        <v>12038.532060859896</v>
      </c>
      <c r="N295" s="5">
        <v>55.555555555555557</v>
      </c>
      <c r="O295" s="5">
        <v>11.83430765</v>
      </c>
      <c r="P295" s="5">
        <v>742.75120906844677</v>
      </c>
      <c r="Q295" s="5">
        <v>6.1697822069461932</v>
      </c>
    </row>
    <row r="296" spans="1:17" x14ac:dyDescent="0.2">
      <c r="A296" s="4" t="s">
        <v>78</v>
      </c>
      <c r="B296" s="4">
        <v>2014</v>
      </c>
      <c r="C296" s="4" t="s">
        <v>64</v>
      </c>
      <c r="D296" s="4">
        <v>4</v>
      </c>
      <c r="E296" s="4">
        <v>11</v>
      </c>
      <c r="F296" s="4">
        <v>2</v>
      </c>
      <c r="G296" s="6" t="str">
        <f t="shared" si="11"/>
        <v>112</v>
      </c>
      <c r="H296" s="5">
        <v>8</v>
      </c>
      <c r="I296" s="5">
        <v>208.64145389999999</v>
      </c>
      <c r="J296" s="5">
        <v>13094.867628020755</v>
      </c>
      <c r="K296" s="5">
        <v>16</v>
      </c>
      <c r="L296" s="5">
        <v>212.23650125</v>
      </c>
      <c r="M296" s="5">
        <v>13320.501931677785</v>
      </c>
      <c r="N296" s="5">
        <v>50</v>
      </c>
      <c r="O296" s="5">
        <v>-3.5950473500000157</v>
      </c>
      <c r="P296" s="5">
        <v>-225.63430365703061</v>
      </c>
      <c r="Q296" s="5">
        <v>-1.6938873986455765</v>
      </c>
    </row>
    <row r="297" spans="1:17" x14ac:dyDescent="0.2">
      <c r="A297" s="4" t="s">
        <v>65</v>
      </c>
      <c r="B297" s="4">
        <v>2014</v>
      </c>
      <c r="C297" s="4" t="s">
        <v>64</v>
      </c>
      <c r="D297" s="4">
        <v>1</v>
      </c>
      <c r="E297" s="4">
        <v>12</v>
      </c>
      <c r="F297" s="4">
        <v>2</v>
      </c>
      <c r="G297" s="6" t="str">
        <f t="shared" si="11"/>
        <v>122</v>
      </c>
      <c r="H297" s="5">
        <v>1</v>
      </c>
      <c r="I297" s="5">
        <v>217.08987675189397</v>
      </c>
      <c r="J297" s="5">
        <v>13625.112106493963</v>
      </c>
      <c r="K297" s="5">
        <v>11</v>
      </c>
      <c r="L297" s="5">
        <v>200.53205195075759</v>
      </c>
      <c r="M297" s="5">
        <v>12585.900962562991</v>
      </c>
      <c r="N297" s="5">
        <v>90.909090909090907</v>
      </c>
      <c r="O297" s="5">
        <v>16.557824801136377</v>
      </c>
      <c r="P297" s="5">
        <v>1039.211143930972</v>
      </c>
      <c r="Q297" s="5">
        <v>8.2569467773671974</v>
      </c>
    </row>
    <row r="298" spans="1:17" x14ac:dyDescent="0.2">
      <c r="A298" s="4" t="s">
        <v>65</v>
      </c>
      <c r="B298" s="4">
        <v>2014</v>
      </c>
      <c r="C298" s="4" t="s">
        <v>64</v>
      </c>
      <c r="D298" s="4">
        <v>2</v>
      </c>
      <c r="E298" s="4">
        <v>12</v>
      </c>
      <c r="F298" s="4">
        <v>2</v>
      </c>
      <c r="G298" s="6" t="str">
        <f t="shared" si="11"/>
        <v>122</v>
      </c>
      <c r="H298" s="5">
        <v>3</v>
      </c>
      <c r="I298" s="5">
        <v>211.91831551136363</v>
      </c>
      <c r="J298" s="5">
        <v>13300.531786480446</v>
      </c>
      <c r="K298" s="5">
        <v>12</v>
      </c>
      <c r="L298" s="5">
        <v>201.86809265151518</v>
      </c>
      <c r="M298" s="5">
        <v>12669.754270690599</v>
      </c>
      <c r="N298" s="5">
        <v>75</v>
      </c>
      <c r="O298" s="5">
        <v>10.050222859848446</v>
      </c>
      <c r="P298" s="5">
        <v>630.7775157898468</v>
      </c>
      <c r="Q298" s="5">
        <v>4.9786089162679916</v>
      </c>
    </row>
    <row r="299" spans="1:17" x14ac:dyDescent="0.2">
      <c r="A299" s="4" t="s">
        <v>65</v>
      </c>
      <c r="B299" s="4">
        <v>2014</v>
      </c>
      <c r="C299" s="4" t="s">
        <v>64</v>
      </c>
      <c r="D299" s="4">
        <v>3</v>
      </c>
      <c r="E299" s="4">
        <v>12</v>
      </c>
      <c r="F299" s="4">
        <v>2</v>
      </c>
      <c r="G299" s="6" t="str">
        <f t="shared" si="11"/>
        <v>122</v>
      </c>
      <c r="H299" s="5">
        <v>2</v>
      </c>
      <c r="I299" s="5">
        <v>218.1464075284091</v>
      </c>
      <c r="J299" s="5">
        <v>13691.422661778086</v>
      </c>
      <c r="K299" s="5">
        <v>7.5</v>
      </c>
      <c r="L299" s="5">
        <v>198.79034527462122</v>
      </c>
      <c r="M299" s="5">
        <v>12476.587027366886</v>
      </c>
      <c r="N299" s="5">
        <v>73.333333333333329</v>
      </c>
      <c r="O299" s="5">
        <v>19.356062253787883</v>
      </c>
      <c r="P299" s="5">
        <v>1214.8356344111999</v>
      </c>
      <c r="Q299" s="5">
        <v>9.7369226996654401</v>
      </c>
    </row>
    <row r="300" spans="1:17" x14ac:dyDescent="0.2">
      <c r="A300" s="4" t="s">
        <v>65</v>
      </c>
      <c r="B300" s="4">
        <v>2014</v>
      </c>
      <c r="C300" s="4" t="s">
        <v>64</v>
      </c>
      <c r="D300" s="4">
        <v>4</v>
      </c>
      <c r="E300" s="4">
        <v>12</v>
      </c>
      <c r="F300" s="4">
        <v>2</v>
      </c>
      <c r="G300" s="6" t="str">
        <f t="shared" si="11"/>
        <v>122</v>
      </c>
      <c r="H300" s="5">
        <v>1</v>
      </c>
      <c r="I300" s="5">
        <v>218.26733322916672</v>
      </c>
      <c r="J300" s="5">
        <v>13699.01226592744</v>
      </c>
      <c r="K300" s="5">
        <v>9</v>
      </c>
      <c r="L300" s="5">
        <v>204.74373928977272</v>
      </c>
      <c r="M300" s="5">
        <v>12850.237158290653</v>
      </c>
      <c r="N300" s="5">
        <v>88.888888888888886</v>
      </c>
      <c r="O300" s="5">
        <v>13.523593939394004</v>
      </c>
      <c r="P300" s="5">
        <v>848.77510763678765</v>
      </c>
      <c r="Q300" s="5">
        <v>6.6051318522878706</v>
      </c>
    </row>
    <row r="301" spans="1:17" x14ac:dyDescent="0.2">
      <c r="A301" s="4" t="s">
        <v>70</v>
      </c>
      <c r="B301" s="4">
        <v>2014</v>
      </c>
      <c r="C301" s="4" t="s">
        <v>64</v>
      </c>
      <c r="D301" s="4">
        <v>1</v>
      </c>
      <c r="E301" s="4">
        <v>15</v>
      </c>
      <c r="F301" s="4">
        <v>3</v>
      </c>
      <c r="G301" s="6" t="str">
        <f t="shared" si="11"/>
        <v>153</v>
      </c>
      <c r="H301" s="5">
        <v>2</v>
      </c>
      <c r="I301" s="5">
        <v>215.55035450000003</v>
      </c>
      <c r="J301" s="5">
        <v>13528.487779342724</v>
      </c>
      <c r="K301" s="5">
        <v>10</v>
      </c>
      <c r="L301" s="5">
        <v>214.51043392152775</v>
      </c>
      <c r="M301" s="5">
        <v>13463.219722280219</v>
      </c>
      <c r="N301" s="5">
        <v>80</v>
      </c>
      <c r="O301" s="5">
        <v>1.0399205784722767</v>
      </c>
      <c r="P301" s="5">
        <v>65.26805706250525</v>
      </c>
      <c r="Q301" s="5">
        <v>0.48478787696299308</v>
      </c>
    </row>
    <row r="302" spans="1:17" x14ac:dyDescent="0.2">
      <c r="A302" s="4" t="s">
        <v>70</v>
      </c>
      <c r="B302" s="4">
        <v>2014</v>
      </c>
      <c r="C302" s="4" t="s">
        <v>64</v>
      </c>
      <c r="D302" s="4">
        <v>2</v>
      </c>
      <c r="E302" s="4">
        <v>15</v>
      </c>
      <c r="F302" s="4">
        <v>3</v>
      </c>
      <c r="G302" s="6" t="str">
        <f t="shared" si="11"/>
        <v>153</v>
      </c>
      <c r="H302" s="5">
        <v>3</v>
      </c>
      <c r="I302" s="5">
        <v>237.24985362222222</v>
      </c>
      <c r="J302" s="5">
        <v>14890.40346430552</v>
      </c>
      <c r="K302" s="5">
        <v>10</v>
      </c>
      <c r="L302" s="5">
        <v>200.44774846597221</v>
      </c>
      <c r="M302" s="5">
        <v>12580.609861714094</v>
      </c>
      <c r="N302" s="5">
        <v>70</v>
      </c>
      <c r="O302" s="5">
        <v>36.802105156250008</v>
      </c>
      <c r="P302" s="5">
        <v>2309.793602591426</v>
      </c>
      <c r="Q302" s="5">
        <v>18.359949382268812</v>
      </c>
    </row>
    <row r="303" spans="1:17" x14ac:dyDescent="0.2">
      <c r="A303" s="4" t="s">
        <v>70</v>
      </c>
      <c r="B303" s="4">
        <v>2014</v>
      </c>
      <c r="C303" s="4" t="s">
        <v>64</v>
      </c>
      <c r="D303" s="4">
        <v>3</v>
      </c>
      <c r="E303" s="4">
        <v>15</v>
      </c>
      <c r="F303" s="4">
        <v>3</v>
      </c>
      <c r="G303" s="6" t="str">
        <f t="shared" si="11"/>
        <v>153</v>
      </c>
      <c r="H303" s="5">
        <v>3</v>
      </c>
      <c r="I303" s="5">
        <v>214.38522491249998</v>
      </c>
      <c r="J303" s="5">
        <v>13455.361286823572</v>
      </c>
      <c r="K303" s="5">
        <v>12.5</v>
      </c>
      <c r="L303" s="5">
        <v>224.63576321805556</v>
      </c>
      <c r="M303" s="5">
        <v>14098.711108817917</v>
      </c>
      <c r="N303" s="5">
        <v>76</v>
      </c>
      <c r="O303" s="5">
        <v>-10.25053830555558</v>
      </c>
      <c r="P303" s="5">
        <v>-643.34982199434489</v>
      </c>
      <c r="Q303" s="5">
        <v>-4.5631818187406319</v>
      </c>
    </row>
    <row r="304" spans="1:17" x14ac:dyDescent="0.2">
      <c r="A304" s="4" t="s">
        <v>70</v>
      </c>
      <c r="B304" s="4">
        <v>2014</v>
      </c>
      <c r="C304" s="4" t="s">
        <v>64</v>
      </c>
      <c r="D304" s="4">
        <v>4</v>
      </c>
      <c r="E304" s="4">
        <v>15</v>
      </c>
      <c r="F304" s="4">
        <v>3</v>
      </c>
      <c r="G304" s="6" t="str">
        <f t="shared" si="11"/>
        <v>153</v>
      </c>
      <c r="H304" s="5">
        <v>8</v>
      </c>
      <c r="I304" s="5">
        <v>214.11001363888889</v>
      </c>
      <c r="J304" s="5">
        <v>13438.088328212942</v>
      </c>
      <c r="K304" s="5">
        <v>7.5</v>
      </c>
      <c r="L304" s="5">
        <v>217.12300788333334</v>
      </c>
      <c r="M304" s="5">
        <v>13627.191500461247</v>
      </c>
      <c r="N304" s="5">
        <v>-6.666666666666667</v>
      </c>
      <c r="O304" s="5">
        <v>-3.0129942444444566</v>
      </c>
      <c r="P304" s="5">
        <v>-189.10317224830578</v>
      </c>
      <c r="Q304" s="5">
        <v>-1.3876899891067436</v>
      </c>
    </row>
    <row r="305" spans="1:17" s="7" customFormat="1" x14ac:dyDescent="0.2">
      <c r="A305" s="7" t="s">
        <v>65</v>
      </c>
      <c r="B305" s="7">
        <v>2014</v>
      </c>
      <c r="C305" s="7" t="s">
        <v>64</v>
      </c>
      <c r="D305" s="7">
        <v>1</v>
      </c>
      <c r="E305" s="7">
        <v>15</v>
      </c>
      <c r="F305" s="7">
        <v>3</v>
      </c>
      <c r="G305" s="6" t="str">
        <f t="shared" si="11"/>
        <v>153</v>
      </c>
      <c r="H305" s="9">
        <v>3</v>
      </c>
      <c r="I305" s="9">
        <v>205.28602201704547</v>
      </c>
      <c r="J305" s="9">
        <v>12884.272199735495</v>
      </c>
      <c r="K305" s="9">
        <v>11</v>
      </c>
      <c r="L305" s="9">
        <v>200.53205195075759</v>
      </c>
      <c r="M305" s="9">
        <v>12585.900962562991</v>
      </c>
      <c r="N305" s="9">
        <v>72.727272727272734</v>
      </c>
      <c r="O305" s="9">
        <v>4.7539700662878772</v>
      </c>
      <c r="P305" s="9">
        <v>298.37123717250324</v>
      </c>
      <c r="Q305" s="9">
        <v>2.3706784127732639</v>
      </c>
    </row>
    <row r="306" spans="1:17" x14ac:dyDescent="0.2">
      <c r="A306" s="4" t="s">
        <v>65</v>
      </c>
      <c r="B306" s="4">
        <v>2014</v>
      </c>
      <c r="C306" s="4" t="s">
        <v>64</v>
      </c>
      <c r="D306" s="4">
        <v>2</v>
      </c>
      <c r="E306" s="4">
        <v>15</v>
      </c>
      <c r="F306" s="4">
        <v>3</v>
      </c>
      <c r="G306" s="6" t="str">
        <f t="shared" si="11"/>
        <v>153</v>
      </c>
      <c r="H306" s="5">
        <v>1</v>
      </c>
      <c r="I306" s="5">
        <v>230.08792508522725</v>
      </c>
      <c r="J306" s="5">
        <v>14440.902636928025</v>
      </c>
      <c r="K306" s="5">
        <v>12</v>
      </c>
      <c r="L306" s="5">
        <v>201.86809265151518</v>
      </c>
      <c r="M306" s="5">
        <v>12669.754270690599</v>
      </c>
      <c r="N306" s="5">
        <v>91.666666666666657</v>
      </c>
      <c r="O306" s="5">
        <v>28.219832433712071</v>
      </c>
      <c r="P306" s="5">
        <v>1771.1483662374267</v>
      </c>
      <c r="Q306" s="5">
        <v>13.97934268018669</v>
      </c>
    </row>
    <row r="307" spans="1:17" x14ac:dyDescent="0.2">
      <c r="A307" s="4" t="s">
        <v>65</v>
      </c>
      <c r="B307" s="4">
        <v>2014</v>
      </c>
      <c r="C307" s="4" t="s">
        <v>64</v>
      </c>
      <c r="D307" s="4">
        <v>3</v>
      </c>
      <c r="E307" s="4">
        <v>15</v>
      </c>
      <c r="F307" s="4">
        <v>3</v>
      </c>
      <c r="G307" s="6" t="str">
        <f t="shared" si="11"/>
        <v>153</v>
      </c>
      <c r="H307" s="5">
        <v>1</v>
      </c>
      <c r="I307" s="5">
        <v>216.64194954545457</v>
      </c>
      <c r="J307" s="5">
        <v>13596.9990572141</v>
      </c>
      <c r="K307" s="5">
        <v>7.5</v>
      </c>
      <c r="L307" s="5">
        <v>198.79034527462122</v>
      </c>
      <c r="M307" s="5">
        <v>12476.587027366886</v>
      </c>
      <c r="N307" s="5">
        <v>86.666666666666671</v>
      </c>
      <c r="O307" s="5">
        <v>17.851604270833349</v>
      </c>
      <c r="P307" s="5">
        <v>1120.4120298472135</v>
      </c>
      <c r="Q307" s="5">
        <v>8.9801163362194742</v>
      </c>
    </row>
    <row r="308" spans="1:17" x14ac:dyDescent="0.2">
      <c r="A308" s="4" t="s">
        <v>65</v>
      </c>
      <c r="B308" s="4">
        <v>2014</v>
      </c>
      <c r="C308" s="4" t="s">
        <v>64</v>
      </c>
      <c r="D308" s="4">
        <v>4</v>
      </c>
      <c r="E308" s="4">
        <v>15</v>
      </c>
      <c r="F308" s="4">
        <v>3</v>
      </c>
      <c r="G308" s="6" t="str">
        <f t="shared" si="11"/>
        <v>153</v>
      </c>
      <c r="H308" s="5">
        <v>4</v>
      </c>
      <c r="I308" s="5">
        <v>221.59948484848485</v>
      </c>
      <c r="J308" s="5">
        <v>13908.146565731444</v>
      </c>
      <c r="K308" s="5">
        <v>9</v>
      </c>
      <c r="L308" s="5">
        <v>204.74373928977272</v>
      </c>
      <c r="M308" s="5">
        <v>12850.237158290653</v>
      </c>
      <c r="N308" s="5">
        <v>55.555555555555557</v>
      </c>
      <c r="O308" s="5">
        <v>16.85574555871213</v>
      </c>
      <c r="P308" s="5">
        <v>1057.9094074407913</v>
      </c>
      <c r="Q308" s="5">
        <v>8.2326060944194666</v>
      </c>
    </row>
    <row r="309" spans="1:17" x14ac:dyDescent="0.2">
      <c r="A309" s="4" t="s">
        <v>91</v>
      </c>
      <c r="B309" s="4">
        <v>2014</v>
      </c>
      <c r="C309" s="4" t="s">
        <v>64</v>
      </c>
      <c r="D309" s="4">
        <v>1</v>
      </c>
      <c r="E309" s="31">
        <v>15</v>
      </c>
      <c r="F309" s="4">
        <v>3</v>
      </c>
      <c r="G309" s="6" t="str">
        <f t="shared" si="11"/>
        <v>153</v>
      </c>
      <c r="H309" s="5">
        <v>1</v>
      </c>
      <c r="I309" s="29">
        <v>229.36318180000001</v>
      </c>
      <c r="J309" s="29">
        <f>I309*(25.4/0.4047)</f>
        <v>14395.415907388189</v>
      </c>
      <c r="K309" s="30">
        <v>0.1</v>
      </c>
      <c r="L309" s="29">
        <v>199.7</v>
      </c>
      <c r="M309" s="29">
        <f>L309*(25.4/0.4047)</f>
        <v>12533.67926859402</v>
      </c>
      <c r="N309" s="5">
        <f>(K309-H309)/K309*100</f>
        <v>-900</v>
      </c>
      <c r="O309" s="5">
        <f t="shared" ref="O309:P312" si="14">I309-L309</f>
        <v>29.663181800000018</v>
      </c>
      <c r="P309" s="5">
        <f t="shared" si="14"/>
        <v>1861.7366387941693</v>
      </c>
      <c r="Q309" s="5">
        <f>SUM(P309/M309)*100</f>
        <v>14.853871707561348</v>
      </c>
    </row>
    <row r="310" spans="1:17" x14ac:dyDescent="0.2">
      <c r="A310" s="4" t="s">
        <v>91</v>
      </c>
      <c r="B310" s="4">
        <v>2014</v>
      </c>
      <c r="C310" s="4" t="s">
        <v>64</v>
      </c>
      <c r="D310" s="4">
        <v>2</v>
      </c>
      <c r="E310" s="31">
        <v>15</v>
      </c>
      <c r="F310" s="4">
        <v>3</v>
      </c>
      <c r="G310" s="6" t="str">
        <f t="shared" si="11"/>
        <v>153</v>
      </c>
      <c r="H310" s="5">
        <v>2</v>
      </c>
      <c r="I310" s="29">
        <v>216.9845349</v>
      </c>
      <c r="J310" s="29">
        <f>I310*(25.4/0.4047)</f>
        <v>13618.500584284655</v>
      </c>
      <c r="K310" s="30">
        <v>0</v>
      </c>
      <c r="L310" s="29">
        <v>203.3</v>
      </c>
      <c r="M310" s="29">
        <f>L310*(25.4/0.4047)</f>
        <v>12759.624413145541</v>
      </c>
      <c r="N310" s="5" t="s">
        <v>97</v>
      </c>
      <c r="O310" s="5">
        <f t="shared" si="14"/>
        <v>13.684534899999989</v>
      </c>
      <c r="P310" s="5">
        <f t="shared" si="14"/>
        <v>858.87617113911438</v>
      </c>
      <c r="Q310" s="5">
        <f>SUM(P310/M310)*100</f>
        <v>6.731202606984743</v>
      </c>
    </row>
    <row r="311" spans="1:17" x14ac:dyDescent="0.2">
      <c r="A311" s="4" t="s">
        <v>91</v>
      </c>
      <c r="B311" s="4">
        <v>2014</v>
      </c>
      <c r="C311" s="4" t="s">
        <v>64</v>
      </c>
      <c r="D311" s="4">
        <v>3</v>
      </c>
      <c r="E311" s="31">
        <v>15</v>
      </c>
      <c r="F311" s="4">
        <v>3</v>
      </c>
      <c r="G311" s="6" t="str">
        <f t="shared" si="11"/>
        <v>153</v>
      </c>
      <c r="H311" s="5">
        <v>1.5</v>
      </c>
      <c r="I311" s="29">
        <v>207.41519969999999</v>
      </c>
      <c r="J311" s="29">
        <f>I311*(25.4/0.4047)</f>
        <v>13017.904799555225</v>
      </c>
      <c r="K311" s="30">
        <v>0.1</v>
      </c>
      <c r="L311" s="29">
        <v>199.7</v>
      </c>
      <c r="M311" s="29">
        <f>L311*(25.4/0.4047)</f>
        <v>12533.67926859402</v>
      </c>
      <c r="N311" s="5">
        <f>(K311-H311)/K311*100</f>
        <v>-1399.9999999999998</v>
      </c>
      <c r="O311" s="5">
        <f t="shared" si="14"/>
        <v>7.7151996999999994</v>
      </c>
      <c r="P311" s="5">
        <f t="shared" si="14"/>
        <v>484.22553096120464</v>
      </c>
      <c r="Q311" s="5">
        <f>SUM(P311/M311)*100</f>
        <v>3.8633949424136107</v>
      </c>
    </row>
    <row r="312" spans="1:17" x14ac:dyDescent="0.2">
      <c r="A312" s="4" t="s">
        <v>91</v>
      </c>
      <c r="B312" s="4">
        <v>2014</v>
      </c>
      <c r="C312" s="4" t="s">
        <v>64</v>
      </c>
      <c r="D312" s="4">
        <v>4</v>
      </c>
      <c r="E312" s="31">
        <v>15</v>
      </c>
      <c r="F312" s="4">
        <v>3</v>
      </c>
      <c r="G312" s="6" t="str">
        <f t="shared" si="11"/>
        <v>153</v>
      </c>
      <c r="H312" s="5">
        <v>1</v>
      </c>
      <c r="I312" s="29">
        <v>231.38021989999999</v>
      </c>
      <c r="J312" s="29">
        <f>I312*(25.4/0.4047)</f>
        <v>14522.010342129972</v>
      </c>
      <c r="K312" s="30">
        <v>0.1</v>
      </c>
      <c r="L312" s="29">
        <v>203.3</v>
      </c>
      <c r="M312" s="29">
        <f>L312*(25.4/0.4047)</f>
        <v>12759.624413145541</v>
      </c>
      <c r="N312" s="5">
        <f>(K312-H312)/K312*100</f>
        <v>-900</v>
      </c>
      <c r="O312" s="5">
        <f t="shared" si="14"/>
        <v>28.080219899999975</v>
      </c>
      <c r="P312" s="5">
        <f t="shared" si="14"/>
        <v>1762.3859289844313</v>
      </c>
      <c r="Q312" s="5">
        <f>SUM(P312/M312)*100</f>
        <v>13.812208509591722</v>
      </c>
    </row>
    <row r="313" spans="1:17" x14ac:dyDescent="0.2">
      <c r="A313" s="32" t="s">
        <v>78</v>
      </c>
      <c r="B313" s="4">
        <v>2014</v>
      </c>
      <c r="C313" s="4" t="s">
        <v>64</v>
      </c>
      <c r="D313" s="4">
        <v>1</v>
      </c>
      <c r="E313" s="4">
        <v>15</v>
      </c>
      <c r="F313" s="4">
        <v>3</v>
      </c>
      <c r="G313" s="6" t="str">
        <f t="shared" si="11"/>
        <v>153</v>
      </c>
      <c r="H313" s="5">
        <v>8</v>
      </c>
      <c r="I313" s="5" t="s">
        <v>97</v>
      </c>
      <c r="J313" s="5" t="s">
        <v>97</v>
      </c>
      <c r="K313" s="5">
        <v>12</v>
      </c>
      <c r="L313" s="5">
        <v>186.603284</v>
      </c>
      <c r="M313" s="5">
        <v>11711.696104768964</v>
      </c>
      <c r="N313" s="5">
        <v>33.333333333333329</v>
      </c>
      <c r="O313" s="5" t="s">
        <v>97</v>
      </c>
      <c r="P313" s="5" t="s">
        <v>97</v>
      </c>
      <c r="Q313" s="5" t="s">
        <v>97</v>
      </c>
    </row>
    <row r="314" spans="1:17" x14ac:dyDescent="0.2">
      <c r="A314" s="4" t="s">
        <v>78</v>
      </c>
      <c r="B314" s="4">
        <v>2014</v>
      </c>
      <c r="C314" s="4" t="s">
        <v>64</v>
      </c>
      <c r="D314" s="4">
        <v>2</v>
      </c>
      <c r="E314" s="4">
        <v>15</v>
      </c>
      <c r="F314" s="4">
        <v>3</v>
      </c>
      <c r="G314" s="6" t="str">
        <f t="shared" si="11"/>
        <v>153</v>
      </c>
      <c r="H314" s="5">
        <v>8</v>
      </c>
      <c r="I314" s="5">
        <v>173.79931189999999</v>
      </c>
      <c r="J314" s="5">
        <v>10908.086291722262</v>
      </c>
      <c r="K314" s="5">
        <v>14</v>
      </c>
      <c r="L314" s="5">
        <v>190.84363060000001</v>
      </c>
      <c r="M314" s="5">
        <v>11977.831028514949</v>
      </c>
      <c r="N314" s="5">
        <v>42.857142857142854</v>
      </c>
      <c r="O314" s="5">
        <v>-17.044318700000019</v>
      </c>
      <c r="P314" s="5">
        <v>-1069.744736792687</v>
      </c>
      <c r="Q314" s="5">
        <v>-8.9310388019834797</v>
      </c>
    </row>
    <row r="315" spans="1:17" x14ac:dyDescent="0.2">
      <c r="A315" s="4" t="s">
        <v>78</v>
      </c>
      <c r="B315" s="4">
        <v>2014</v>
      </c>
      <c r="C315" s="4" t="s">
        <v>64</v>
      </c>
      <c r="D315" s="4">
        <v>3</v>
      </c>
      <c r="E315" s="4">
        <v>15</v>
      </c>
      <c r="F315" s="4">
        <v>3</v>
      </c>
      <c r="G315" s="6" t="str">
        <f t="shared" si="11"/>
        <v>153</v>
      </c>
      <c r="H315" s="5">
        <v>8</v>
      </c>
      <c r="I315" s="5">
        <v>191.22180560000001</v>
      </c>
      <c r="J315" s="5">
        <v>12001.566252137387</v>
      </c>
      <c r="K315" s="5">
        <v>18</v>
      </c>
      <c r="L315" s="5">
        <v>191.81078445</v>
      </c>
      <c r="M315" s="5">
        <v>12038.532060859896</v>
      </c>
      <c r="N315" s="5">
        <v>55.555555555555557</v>
      </c>
      <c r="O315" s="5">
        <v>-0.58897884999998951</v>
      </c>
      <c r="P315" s="5">
        <v>-36.965808722508882</v>
      </c>
      <c r="Q315" s="5">
        <v>-0.30706242701046116</v>
      </c>
    </row>
    <row r="316" spans="1:17" x14ac:dyDescent="0.2">
      <c r="A316" s="4" t="s">
        <v>78</v>
      </c>
      <c r="B316" s="4">
        <v>2014</v>
      </c>
      <c r="C316" s="4" t="s">
        <v>64</v>
      </c>
      <c r="D316" s="4">
        <v>4</v>
      </c>
      <c r="E316" s="4">
        <v>15</v>
      </c>
      <c r="F316" s="4">
        <v>3</v>
      </c>
      <c r="G316" s="6" t="str">
        <f t="shared" si="11"/>
        <v>153</v>
      </c>
      <c r="H316" s="5">
        <v>4</v>
      </c>
      <c r="I316" s="5">
        <v>210.5926661</v>
      </c>
      <c r="J316" s="5">
        <v>13217.33066207067</v>
      </c>
      <c r="K316" s="5">
        <v>16</v>
      </c>
      <c r="L316" s="5">
        <v>212.23650125</v>
      </c>
      <c r="M316" s="5">
        <v>13320.501931677785</v>
      </c>
      <c r="N316" s="5">
        <v>75</v>
      </c>
      <c r="O316" s="5">
        <v>-1.643835150000001</v>
      </c>
      <c r="P316" s="5">
        <v>-103.17126960711539</v>
      </c>
      <c r="Q316" s="5">
        <v>-0.77452989486651003</v>
      </c>
    </row>
    <row r="317" spans="1:17" x14ac:dyDescent="0.2">
      <c r="A317" s="4" t="s">
        <v>70</v>
      </c>
      <c r="B317" s="4">
        <v>2014</v>
      </c>
      <c r="C317" s="4" t="s">
        <v>64</v>
      </c>
      <c r="D317" s="4">
        <v>1</v>
      </c>
      <c r="E317" s="4">
        <v>17</v>
      </c>
      <c r="F317" s="4">
        <v>3</v>
      </c>
      <c r="G317" s="6" t="str">
        <f t="shared" si="11"/>
        <v>173</v>
      </c>
      <c r="H317" s="5">
        <v>8</v>
      </c>
      <c r="I317" s="5">
        <v>217.56081750000004</v>
      </c>
      <c r="J317" s="5">
        <v>13654.669544106748</v>
      </c>
      <c r="K317" s="5">
        <v>10</v>
      </c>
      <c r="L317" s="5">
        <v>214.51043392152775</v>
      </c>
      <c r="M317" s="5">
        <v>13463.219722280219</v>
      </c>
      <c r="N317" s="5">
        <v>20</v>
      </c>
      <c r="O317" s="5">
        <v>3.0503835784722924</v>
      </c>
      <c r="P317" s="5">
        <v>191.44982182652893</v>
      </c>
      <c r="Q317" s="5">
        <v>1.4220210750159528</v>
      </c>
    </row>
    <row r="318" spans="1:17" x14ac:dyDescent="0.2">
      <c r="A318" s="4" t="s">
        <v>70</v>
      </c>
      <c r="B318" s="4">
        <v>2014</v>
      </c>
      <c r="C318" s="4" t="s">
        <v>64</v>
      </c>
      <c r="D318" s="4">
        <v>2</v>
      </c>
      <c r="E318" s="4">
        <v>17</v>
      </c>
      <c r="F318" s="4">
        <v>3</v>
      </c>
      <c r="G318" s="6" t="str">
        <f t="shared" si="11"/>
        <v>173</v>
      </c>
      <c r="H318" s="5">
        <v>8</v>
      </c>
      <c r="I318" s="5">
        <v>200.09869440833333</v>
      </c>
      <c r="J318" s="5">
        <v>12558.702342405897</v>
      </c>
      <c r="K318" s="5">
        <v>10</v>
      </c>
      <c r="L318" s="5">
        <v>200.44774846597221</v>
      </c>
      <c r="M318" s="5">
        <v>12580.609861714094</v>
      </c>
      <c r="N318" s="5">
        <v>20</v>
      </c>
      <c r="O318" s="5">
        <v>-0.34905405763888098</v>
      </c>
      <c r="P318" s="5">
        <v>-21.907519308197152</v>
      </c>
      <c r="Q318" s="5">
        <v>-0.17413718054215438</v>
      </c>
    </row>
    <row r="319" spans="1:17" x14ac:dyDescent="0.2">
      <c r="A319" s="4" t="s">
        <v>70</v>
      </c>
      <c r="B319" s="4">
        <v>2014</v>
      </c>
      <c r="C319" s="4" t="s">
        <v>64</v>
      </c>
      <c r="D319" s="4">
        <v>3</v>
      </c>
      <c r="E319" s="4">
        <v>17</v>
      </c>
      <c r="F319" s="4">
        <v>3</v>
      </c>
      <c r="G319" s="6" t="str">
        <f t="shared" si="11"/>
        <v>173</v>
      </c>
      <c r="H319" s="5">
        <v>8</v>
      </c>
      <c r="I319" s="5">
        <v>219.93728786666665</v>
      </c>
      <c r="J319" s="5">
        <v>13803.822860917551</v>
      </c>
      <c r="K319" s="5">
        <v>12.5</v>
      </c>
      <c r="L319" s="5">
        <v>224.63576321805556</v>
      </c>
      <c r="M319" s="5">
        <v>14098.711108817917</v>
      </c>
      <c r="N319" s="5">
        <v>36</v>
      </c>
      <c r="O319" s="5">
        <v>-4.6984753513889075</v>
      </c>
      <c r="P319" s="5">
        <v>-294.88824790036597</v>
      </c>
      <c r="Q319" s="5">
        <v>-2.0915972078889582</v>
      </c>
    </row>
    <row r="320" spans="1:17" x14ac:dyDescent="0.2">
      <c r="A320" s="4" t="s">
        <v>70</v>
      </c>
      <c r="B320" s="4">
        <v>2014</v>
      </c>
      <c r="C320" s="4" t="s">
        <v>64</v>
      </c>
      <c r="D320" s="4">
        <v>4</v>
      </c>
      <c r="E320" s="4">
        <v>17</v>
      </c>
      <c r="F320" s="4">
        <v>3</v>
      </c>
      <c r="G320" s="6" t="str">
        <f t="shared" si="11"/>
        <v>173</v>
      </c>
      <c r="H320" s="5">
        <v>6</v>
      </c>
      <c r="I320" s="5">
        <v>228.66270342361111</v>
      </c>
      <c r="J320" s="5">
        <v>14351.452105163633</v>
      </c>
      <c r="K320" s="5">
        <v>7.5</v>
      </c>
      <c r="L320" s="5">
        <v>217.12300788333334</v>
      </c>
      <c r="M320" s="5">
        <v>13627.191500461247</v>
      </c>
      <c r="N320" s="5">
        <v>20</v>
      </c>
      <c r="O320" s="5">
        <v>11.539695540277762</v>
      </c>
      <c r="P320" s="5">
        <v>724.26060470238554</v>
      </c>
      <c r="Q320" s="5">
        <v>5.3148193057819073</v>
      </c>
    </row>
    <row r="321" spans="1:17" x14ac:dyDescent="0.2">
      <c r="A321" s="4" t="s">
        <v>65</v>
      </c>
      <c r="B321" s="4">
        <v>2014</v>
      </c>
      <c r="C321" s="4" t="s">
        <v>64</v>
      </c>
      <c r="D321" s="4">
        <v>1</v>
      </c>
      <c r="E321" s="4">
        <v>17</v>
      </c>
      <c r="F321" s="4">
        <v>3</v>
      </c>
      <c r="G321" s="6" t="str">
        <f t="shared" si="11"/>
        <v>173</v>
      </c>
      <c r="H321" s="5">
        <v>5</v>
      </c>
      <c r="I321" s="5">
        <v>216.07937305871218</v>
      </c>
      <c r="J321" s="5">
        <v>13561.690327875684</v>
      </c>
      <c r="K321" s="5">
        <v>11</v>
      </c>
      <c r="L321" s="5">
        <v>200.53205195075759</v>
      </c>
      <c r="M321" s="5">
        <v>12585.900962562991</v>
      </c>
      <c r="N321" s="5">
        <v>54.54545454545454</v>
      </c>
      <c r="O321" s="5">
        <v>15.547321107954588</v>
      </c>
      <c r="P321" s="5">
        <v>975.7893653126921</v>
      </c>
      <c r="Q321" s="5">
        <v>7.7530354657580469</v>
      </c>
    </row>
    <row r="322" spans="1:17" x14ac:dyDescent="0.2">
      <c r="A322" s="4" t="s">
        <v>65</v>
      </c>
      <c r="B322" s="4">
        <v>2014</v>
      </c>
      <c r="C322" s="4" t="s">
        <v>64</v>
      </c>
      <c r="D322" s="4">
        <v>2</v>
      </c>
      <c r="E322" s="4">
        <v>17</v>
      </c>
      <c r="F322" s="4">
        <v>3</v>
      </c>
      <c r="G322" s="6" t="str">
        <f t="shared" ref="G322:G385" si="15">E322&amp;F322</f>
        <v>173</v>
      </c>
      <c r="H322" s="5">
        <v>3</v>
      </c>
      <c r="I322" s="5">
        <v>225.34232357954548</v>
      </c>
      <c r="J322" s="5">
        <v>14143.056631876589</v>
      </c>
      <c r="K322" s="5">
        <v>12</v>
      </c>
      <c r="L322" s="5">
        <v>201.86809265151518</v>
      </c>
      <c r="M322" s="5">
        <v>12669.754270690599</v>
      </c>
      <c r="N322" s="5">
        <v>75</v>
      </c>
      <c r="O322" s="5">
        <v>23.474230928030295</v>
      </c>
      <c r="P322" s="5">
        <v>1473.3023611859899</v>
      </c>
      <c r="Q322" s="5">
        <v>11.628499888069918</v>
      </c>
    </row>
    <row r="323" spans="1:17" x14ac:dyDescent="0.2">
      <c r="A323" s="4" t="s">
        <v>65</v>
      </c>
      <c r="B323" s="4">
        <v>2014</v>
      </c>
      <c r="C323" s="4" t="s">
        <v>64</v>
      </c>
      <c r="D323" s="4">
        <v>3</v>
      </c>
      <c r="E323" s="4">
        <v>17</v>
      </c>
      <c r="F323" s="4">
        <v>3</v>
      </c>
      <c r="G323" s="6" t="str">
        <f t="shared" si="15"/>
        <v>173</v>
      </c>
      <c r="H323" s="5">
        <v>2</v>
      </c>
      <c r="I323" s="5">
        <v>224.11047145833334</v>
      </c>
      <c r="J323" s="5">
        <v>14065.742463656206</v>
      </c>
      <c r="K323" s="5">
        <v>7.5</v>
      </c>
      <c r="L323" s="5">
        <v>198.79034527462122</v>
      </c>
      <c r="M323" s="5">
        <v>12476.587027366886</v>
      </c>
      <c r="N323" s="5">
        <v>73.333333333333329</v>
      </c>
      <c r="O323" s="5">
        <v>25.320126183712119</v>
      </c>
      <c r="P323" s="5">
        <v>1589.1554362893203</v>
      </c>
      <c r="Q323" s="5">
        <v>12.737100561263851</v>
      </c>
    </row>
    <row r="324" spans="1:17" x14ac:dyDescent="0.2">
      <c r="A324" s="4" t="s">
        <v>65</v>
      </c>
      <c r="B324" s="4">
        <v>2014</v>
      </c>
      <c r="C324" s="4" t="s">
        <v>64</v>
      </c>
      <c r="D324" s="4">
        <v>4</v>
      </c>
      <c r="E324" s="4">
        <v>17</v>
      </c>
      <c r="F324" s="4">
        <v>3</v>
      </c>
      <c r="G324" s="6" t="str">
        <f t="shared" si="15"/>
        <v>173</v>
      </c>
      <c r="H324" s="5">
        <v>2</v>
      </c>
      <c r="I324" s="5">
        <v>225.77079388257579</v>
      </c>
      <c r="J324" s="5">
        <v>14169.948516474982</v>
      </c>
      <c r="K324" s="5">
        <v>9</v>
      </c>
      <c r="L324" s="5">
        <v>204.74373928977272</v>
      </c>
      <c r="M324" s="5">
        <v>12850.237158290653</v>
      </c>
      <c r="N324" s="5">
        <v>77.777777777777786</v>
      </c>
      <c r="O324" s="5">
        <v>21.027054592803069</v>
      </c>
      <c r="P324" s="5">
        <v>1319.7113581843296</v>
      </c>
      <c r="Q324" s="5">
        <v>10.269937760120518</v>
      </c>
    </row>
    <row r="325" spans="1:17" x14ac:dyDescent="0.2">
      <c r="A325" s="4" t="s">
        <v>91</v>
      </c>
      <c r="B325" s="4">
        <v>2014</v>
      </c>
      <c r="C325" s="4" t="s">
        <v>64</v>
      </c>
      <c r="D325" s="4">
        <v>1</v>
      </c>
      <c r="E325" s="31">
        <v>17</v>
      </c>
      <c r="F325" s="4">
        <v>3</v>
      </c>
      <c r="G325" s="6" t="str">
        <f t="shared" si="15"/>
        <v>173</v>
      </c>
      <c r="H325" s="5">
        <v>1</v>
      </c>
      <c r="I325" s="29">
        <v>224.48167380000001</v>
      </c>
      <c r="J325" s="29">
        <f>I325*(25.4/0.4047)</f>
        <v>14089.040065530022</v>
      </c>
      <c r="K325" s="30">
        <v>0.1</v>
      </c>
      <c r="L325" s="29">
        <v>199.7</v>
      </c>
      <c r="M325" s="29">
        <f>L325*(25.4/0.4047)</f>
        <v>12533.67926859402</v>
      </c>
      <c r="N325" s="5">
        <f>(K325-H325)/K325*100</f>
        <v>-900</v>
      </c>
      <c r="O325" s="5">
        <f t="shared" ref="O325:P328" si="16">I325-L325</f>
        <v>24.781673800000021</v>
      </c>
      <c r="P325" s="5">
        <f t="shared" si="16"/>
        <v>1555.3607969360019</v>
      </c>
      <c r="Q325" s="5">
        <f>SUM(P325/M325)*100</f>
        <v>12.409451076614921</v>
      </c>
    </row>
    <row r="326" spans="1:17" x14ac:dyDescent="0.2">
      <c r="A326" s="4" t="s">
        <v>91</v>
      </c>
      <c r="B326" s="4">
        <v>2014</v>
      </c>
      <c r="C326" s="4" t="s">
        <v>64</v>
      </c>
      <c r="D326" s="4">
        <v>2</v>
      </c>
      <c r="E326" s="31">
        <v>17</v>
      </c>
      <c r="F326" s="4">
        <v>3</v>
      </c>
      <c r="G326" s="6" t="str">
        <f t="shared" si="15"/>
        <v>173</v>
      </c>
      <c r="H326" s="5">
        <v>0.5</v>
      </c>
      <c r="I326" s="29">
        <v>220.169299</v>
      </c>
      <c r="J326" s="29">
        <f>I326*(25.4/0.4047)</f>
        <v>13818.384468989374</v>
      </c>
      <c r="K326" s="30">
        <v>0</v>
      </c>
      <c r="L326" s="29">
        <v>203.3</v>
      </c>
      <c r="M326" s="29">
        <f>L326*(25.4/0.4047)</f>
        <v>12759.624413145541</v>
      </c>
      <c r="N326" s="5" t="s">
        <v>97</v>
      </c>
      <c r="O326" s="5">
        <f t="shared" si="16"/>
        <v>16.869298999999984</v>
      </c>
      <c r="P326" s="5">
        <f t="shared" si="16"/>
        <v>1058.7600558438335</v>
      </c>
      <c r="Q326" s="5">
        <f>SUM(P326/M326)*100</f>
        <v>8.29773684210525</v>
      </c>
    </row>
    <row r="327" spans="1:17" x14ac:dyDescent="0.2">
      <c r="A327" s="4" t="s">
        <v>91</v>
      </c>
      <c r="B327" s="4">
        <v>2014</v>
      </c>
      <c r="C327" s="4" t="s">
        <v>64</v>
      </c>
      <c r="D327" s="4">
        <v>3</v>
      </c>
      <c r="E327" s="31">
        <v>17</v>
      </c>
      <c r="F327" s="4">
        <v>3</v>
      </c>
      <c r="G327" s="6" t="str">
        <f t="shared" si="15"/>
        <v>173</v>
      </c>
      <c r="H327" s="5">
        <v>0.1</v>
      </c>
      <c r="I327" s="29">
        <v>222.5711914</v>
      </c>
      <c r="J327" s="29">
        <f>I327*(25.4/0.4047)</f>
        <v>13969.133337188041</v>
      </c>
      <c r="K327" s="30">
        <v>0.1</v>
      </c>
      <c r="L327" s="29">
        <v>199.7</v>
      </c>
      <c r="M327" s="29">
        <f>L327*(25.4/0.4047)</f>
        <v>12533.67926859402</v>
      </c>
      <c r="N327" s="5">
        <f>(K327-H327)/K327*100</f>
        <v>0</v>
      </c>
      <c r="O327" s="5">
        <f t="shared" si="16"/>
        <v>22.871191400000015</v>
      </c>
      <c r="P327" s="5">
        <f t="shared" si="16"/>
        <v>1435.454068594021</v>
      </c>
      <c r="Q327" s="5">
        <f>SUM(P327/M327)*100</f>
        <v>11.452774862293447</v>
      </c>
    </row>
    <row r="328" spans="1:17" x14ac:dyDescent="0.2">
      <c r="A328" s="4" t="s">
        <v>91</v>
      </c>
      <c r="B328" s="4">
        <v>2014</v>
      </c>
      <c r="C328" s="4" t="s">
        <v>64</v>
      </c>
      <c r="D328" s="4">
        <v>4</v>
      </c>
      <c r="E328" s="31">
        <v>17</v>
      </c>
      <c r="F328" s="4">
        <v>3</v>
      </c>
      <c r="G328" s="6" t="str">
        <f t="shared" si="15"/>
        <v>173</v>
      </c>
      <c r="H328" s="5">
        <v>0.5</v>
      </c>
      <c r="I328" s="29">
        <v>224.59199029999999</v>
      </c>
      <c r="J328" s="29">
        <f>I328*(25.4/0.4047)</f>
        <v>14095.963809290832</v>
      </c>
      <c r="K328" s="30">
        <v>0.1</v>
      </c>
      <c r="L328" s="29">
        <v>203.3</v>
      </c>
      <c r="M328" s="29">
        <f>L328*(25.4/0.4047)</f>
        <v>12759.624413145541</v>
      </c>
      <c r="N328" s="5">
        <f>(K328-H328)/K328*100</f>
        <v>-400</v>
      </c>
      <c r="O328" s="5">
        <f t="shared" si="16"/>
        <v>21.291990299999981</v>
      </c>
      <c r="P328" s="5">
        <f t="shared" si="16"/>
        <v>1336.3393961452912</v>
      </c>
      <c r="Q328" s="5">
        <f>SUM(P328/M328)*100</f>
        <v>10.473187555336928</v>
      </c>
    </row>
    <row r="329" spans="1:17" x14ac:dyDescent="0.2">
      <c r="A329" s="4" t="s">
        <v>78</v>
      </c>
      <c r="B329" s="4">
        <v>2014</v>
      </c>
      <c r="C329" s="4" t="s">
        <v>64</v>
      </c>
      <c r="D329" s="4">
        <v>1</v>
      </c>
      <c r="E329" s="4">
        <v>17</v>
      </c>
      <c r="F329" s="4">
        <v>3</v>
      </c>
      <c r="G329" s="6" t="str">
        <f t="shared" si="15"/>
        <v>173</v>
      </c>
      <c r="H329" s="5">
        <v>8</v>
      </c>
      <c r="I329" s="5">
        <v>192.7261369</v>
      </c>
      <c r="J329" s="5">
        <v>12095.981905757351</v>
      </c>
      <c r="K329" s="5">
        <v>12</v>
      </c>
      <c r="L329" s="5">
        <v>186.603284</v>
      </c>
      <c r="M329" s="5">
        <v>11711.696104768964</v>
      </c>
      <c r="N329" s="5">
        <v>33.333333333333329</v>
      </c>
      <c r="O329" s="5">
        <v>6.122852899999998</v>
      </c>
      <c r="P329" s="5">
        <v>384.28580098838756</v>
      </c>
      <c r="Q329" s="5">
        <v>3.2812139040382688</v>
      </c>
    </row>
    <row r="330" spans="1:17" x14ac:dyDescent="0.2">
      <c r="A330" s="4" t="s">
        <v>78</v>
      </c>
      <c r="B330" s="4">
        <v>2014</v>
      </c>
      <c r="C330" s="4" t="s">
        <v>64</v>
      </c>
      <c r="D330" s="4">
        <v>2</v>
      </c>
      <c r="E330" s="4">
        <v>17</v>
      </c>
      <c r="F330" s="4">
        <v>3</v>
      </c>
      <c r="G330" s="6" t="str">
        <f t="shared" si="15"/>
        <v>173</v>
      </c>
      <c r="H330" s="5">
        <v>8</v>
      </c>
      <c r="I330" s="5">
        <v>219.12976330000001</v>
      </c>
      <c r="J330" s="5">
        <v>13753.140567877441</v>
      </c>
      <c r="K330" s="5">
        <v>14</v>
      </c>
      <c r="L330" s="5">
        <v>190.84363060000001</v>
      </c>
      <c r="M330" s="5">
        <v>11977.831028514949</v>
      </c>
      <c r="N330" s="5">
        <v>42.857142857142854</v>
      </c>
      <c r="O330" s="5">
        <v>28.286132699999996</v>
      </c>
      <c r="P330" s="5">
        <v>1775.3095393624917</v>
      </c>
      <c r="Q330" s="5">
        <v>14.821627848448621</v>
      </c>
    </row>
    <row r="331" spans="1:17" x14ac:dyDescent="0.2">
      <c r="A331" s="4" t="s">
        <v>78</v>
      </c>
      <c r="B331" s="4">
        <v>2014</v>
      </c>
      <c r="C331" s="4" t="s">
        <v>64</v>
      </c>
      <c r="D331" s="4">
        <v>3</v>
      </c>
      <c r="E331" s="4">
        <v>17</v>
      </c>
      <c r="F331" s="4">
        <v>3</v>
      </c>
      <c r="G331" s="6" t="str">
        <f t="shared" si="15"/>
        <v>173</v>
      </c>
      <c r="H331" s="5">
        <v>8</v>
      </c>
      <c r="I331" s="5">
        <v>206.39868129999999</v>
      </c>
      <c r="J331" s="5">
        <v>12954.10552265876</v>
      </c>
      <c r="K331" s="5">
        <v>18</v>
      </c>
      <c r="L331" s="5">
        <v>191.81078445</v>
      </c>
      <c r="M331" s="5">
        <v>12038.532060859896</v>
      </c>
      <c r="N331" s="5">
        <v>55.555555555555557</v>
      </c>
      <c r="O331" s="5">
        <v>14.587896849999993</v>
      </c>
      <c r="P331" s="5">
        <v>915.57346179886372</v>
      </c>
      <c r="Q331" s="5">
        <v>7.6053580051974006</v>
      </c>
    </row>
    <row r="332" spans="1:17" x14ac:dyDescent="0.2">
      <c r="A332" s="4" t="s">
        <v>78</v>
      </c>
      <c r="B332" s="4">
        <v>2014</v>
      </c>
      <c r="C332" s="4" t="s">
        <v>64</v>
      </c>
      <c r="D332" s="4">
        <v>4</v>
      </c>
      <c r="E332" s="4">
        <v>17</v>
      </c>
      <c r="F332" s="4">
        <v>3</v>
      </c>
      <c r="G332" s="6" t="str">
        <f t="shared" si="15"/>
        <v>173</v>
      </c>
      <c r="H332" s="5">
        <v>4</v>
      </c>
      <c r="I332" s="5">
        <v>225.1551226</v>
      </c>
      <c r="J332" s="5">
        <v>14131.307422881146</v>
      </c>
      <c r="K332" s="5">
        <v>16</v>
      </c>
      <c r="L332" s="5">
        <v>212.23650125</v>
      </c>
      <c r="M332" s="5">
        <v>13320.501931677785</v>
      </c>
      <c r="N332" s="5">
        <v>75</v>
      </c>
      <c r="O332" s="5">
        <v>12.918621349999995</v>
      </c>
      <c r="P332" s="5">
        <v>810.80549120336036</v>
      </c>
      <c r="Q332" s="5">
        <v>6.0868989424127147</v>
      </c>
    </row>
    <row r="333" spans="1:17" x14ac:dyDescent="0.2">
      <c r="A333" s="4" t="s">
        <v>70</v>
      </c>
      <c r="B333" s="4">
        <v>2014</v>
      </c>
      <c r="C333" s="4" t="s">
        <v>64</v>
      </c>
      <c r="D333" s="4">
        <v>1</v>
      </c>
      <c r="E333" s="4">
        <v>18</v>
      </c>
      <c r="F333" s="4">
        <v>3</v>
      </c>
      <c r="G333" s="6" t="str">
        <f t="shared" si="15"/>
        <v>183</v>
      </c>
      <c r="H333" s="5">
        <v>10</v>
      </c>
      <c r="I333" s="5">
        <v>217.22030913749998</v>
      </c>
      <c r="J333" s="5">
        <v>13633.298374332839</v>
      </c>
      <c r="K333" s="5">
        <v>10</v>
      </c>
      <c r="L333" s="5">
        <v>214.51043392152775</v>
      </c>
      <c r="M333" s="5">
        <v>13463.219722280219</v>
      </c>
      <c r="N333" s="5">
        <v>0</v>
      </c>
      <c r="O333" s="5">
        <v>2.7098752159722324</v>
      </c>
      <c r="P333" s="5">
        <v>170.07865205261987</v>
      </c>
      <c r="Q333" s="5">
        <v>1.2632836391369111</v>
      </c>
    </row>
    <row r="334" spans="1:17" x14ac:dyDescent="0.2">
      <c r="A334" s="4" t="s">
        <v>70</v>
      </c>
      <c r="B334" s="4">
        <v>2014</v>
      </c>
      <c r="C334" s="4" t="s">
        <v>64</v>
      </c>
      <c r="D334" s="4">
        <v>2</v>
      </c>
      <c r="E334" s="4">
        <v>18</v>
      </c>
      <c r="F334" s="4">
        <v>3</v>
      </c>
      <c r="G334" s="6" t="str">
        <f t="shared" si="15"/>
        <v>183</v>
      </c>
      <c r="H334" s="5">
        <v>10</v>
      </c>
      <c r="I334" s="5">
        <v>229.83403132500001</v>
      </c>
      <c r="J334" s="5">
        <v>14424.967619607118</v>
      </c>
      <c r="K334" s="5">
        <v>10</v>
      </c>
      <c r="L334" s="5">
        <v>200.44774846597221</v>
      </c>
      <c r="M334" s="5">
        <v>12580.609861714094</v>
      </c>
      <c r="N334" s="5">
        <v>0</v>
      </c>
      <c r="O334" s="5">
        <v>29.386282859027801</v>
      </c>
      <c r="P334" s="5">
        <v>1844.3577578930235</v>
      </c>
      <c r="Q334" s="5">
        <v>14.660320748884043</v>
      </c>
    </row>
    <row r="335" spans="1:17" x14ac:dyDescent="0.2">
      <c r="A335" s="4" t="s">
        <v>70</v>
      </c>
      <c r="B335" s="4">
        <v>2014</v>
      </c>
      <c r="C335" s="4" t="s">
        <v>64</v>
      </c>
      <c r="D335" s="4">
        <v>3</v>
      </c>
      <c r="E335" s="4">
        <v>18</v>
      </c>
      <c r="F335" s="4">
        <v>3</v>
      </c>
      <c r="G335" s="6" t="str">
        <f t="shared" si="15"/>
        <v>183</v>
      </c>
      <c r="H335" s="5">
        <v>8</v>
      </c>
      <c r="I335" s="5">
        <v>215.08652423888893</v>
      </c>
      <c r="J335" s="5">
        <v>13499.37661395547</v>
      </c>
      <c r="K335" s="5">
        <v>12.5</v>
      </c>
      <c r="L335" s="5">
        <v>224.63576321805556</v>
      </c>
      <c r="M335" s="5">
        <v>14098.711108817917</v>
      </c>
      <c r="N335" s="5">
        <v>36</v>
      </c>
      <c r="O335" s="5">
        <v>-9.5492389791666312</v>
      </c>
      <c r="P335" s="5">
        <v>-599.33449486244717</v>
      </c>
      <c r="Q335" s="5">
        <v>-4.2509878402118515</v>
      </c>
    </row>
    <row r="336" spans="1:17" x14ac:dyDescent="0.2">
      <c r="A336" s="4" t="s">
        <v>70</v>
      </c>
      <c r="B336" s="4">
        <v>2014</v>
      </c>
      <c r="C336" s="4" t="s">
        <v>64</v>
      </c>
      <c r="D336" s="4">
        <v>4</v>
      </c>
      <c r="E336" s="4">
        <v>18</v>
      </c>
      <c r="F336" s="4">
        <v>3</v>
      </c>
      <c r="G336" s="6" t="str">
        <f t="shared" si="15"/>
        <v>183</v>
      </c>
      <c r="H336" s="5">
        <v>4</v>
      </c>
      <c r="I336" s="5">
        <v>209.85735661666666</v>
      </c>
      <c r="J336" s="5">
        <v>13171.180771097932</v>
      </c>
      <c r="K336" s="5">
        <v>7.5</v>
      </c>
      <c r="L336" s="5">
        <v>217.12300788333334</v>
      </c>
      <c r="M336" s="5">
        <v>13627.191500461247</v>
      </c>
      <c r="N336" s="5">
        <v>46.666666666666664</v>
      </c>
      <c r="O336" s="5">
        <v>-7.2656512666666799</v>
      </c>
      <c r="P336" s="5">
        <v>-456.01072936331548</v>
      </c>
      <c r="Q336" s="5">
        <v>-3.3463295011879786</v>
      </c>
    </row>
    <row r="337" spans="1:17" x14ac:dyDescent="0.2">
      <c r="A337" s="4" t="s">
        <v>65</v>
      </c>
      <c r="B337" s="4">
        <v>2014</v>
      </c>
      <c r="C337" s="4" t="s">
        <v>64</v>
      </c>
      <c r="D337" s="4">
        <v>1</v>
      </c>
      <c r="E337" s="4">
        <v>18</v>
      </c>
      <c r="F337" s="4">
        <v>3</v>
      </c>
      <c r="G337" s="6" t="str">
        <f t="shared" si="15"/>
        <v>183</v>
      </c>
      <c r="H337" s="5">
        <v>4</v>
      </c>
      <c r="I337" s="5">
        <v>208.39473306818184</v>
      </c>
      <c r="J337" s="5">
        <v>13079.382801907137</v>
      </c>
      <c r="K337" s="5">
        <v>11</v>
      </c>
      <c r="L337" s="5">
        <v>200.53205195075759</v>
      </c>
      <c r="M337" s="5">
        <v>12585.900962562991</v>
      </c>
      <c r="N337" s="5">
        <v>63.636363636363633</v>
      </c>
      <c r="O337" s="5">
        <v>7.8626811174242448</v>
      </c>
      <c r="P337" s="5">
        <v>493.48183934414556</v>
      </c>
      <c r="Q337" s="5">
        <v>3.920909919854104</v>
      </c>
    </row>
    <row r="338" spans="1:17" x14ac:dyDescent="0.2">
      <c r="A338" s="4" t="s">
        <v>65</v>
      </c>
      <c r="B338" s="4">
        <v>2014</v>
      </c>
      <c r="C338" s="4" t="s">
        <v>64</v>
      </c>
      <c r="D338" s="4">
        <v>2</v>
      </c>
      <c r="E338" s="4">
        <v>18</v>
      </c>
      <c r="F338" s="4">
        <v>3</v>
      </c>
      <c r="G338" s="6" t="str">
        <f t="shared" si="15"/>
        <v>183</v>
      </c>
      <c r="H338" s="5">
        <v>3</v>
      </c>
      <c r="I338" s="5">
        <v>205.63059750000002</v>
      </c>
      <c r="J338" s="5">
        <v>12905.898632320239</v>
      </c>
      <c r="K338" s="5">
        <v>12</v>
      </c>
      <c r="L338" s="5">
        <v>201.86809265151518</v>
      </c>
      <c r="M338" s="5">
        <v>12669.754270690599</v>
      </c>
      <c r="N338" s="5">
        <v>75</v>
      </c>
      <c r="O338" s="5">
        <v>3.7625048484848378</v>
      </c>
      <c r="P338" s="5">
        <v>236.14436162964012</v>
      </c>
      <c r="Q338" s="5">
        <v>1.8638432647105196</v>
      </c>
    </row>
    <row r="339" spans="1:17" x14ac:dyDescent="0.2">
      <c r="A339" s="4" t="s">
        <v>65</v>
      </c>
      <c r="B339" s="4">
        <v>2014</v>
      </c>
      <c r="C339" s="4" t="s">
        <v>64</v>
      </c>
      <c r="D339" s="4">
        <v>3</v>
      </c>
      <c r="E339" s="4">
        <v>18</v>
      </c>
      <c r="F339" s="4">
        <v>3</v>
      </c>
      <c r="G339" s="6" t="str">
        <f t="shared" si="15"/>
        <v>183</v>
      </c>
      <c r="H339" s="5">
        <v>2</v>
      </c>
      <c r="I339" s="5">
        <v>204.03638670454546</v>
      </c>
      <c r="J339" s="5">
        <v>12805.841913257857</v>
      </c>
      <c r="K339" s="5">
        <v>7.5</v>
      </c>
      <c r="L339" s="5">
        <v>198.79034527462122</v>
      </c>
      <c r="M339" s="5">
        <v>12476.587027366886</v>
      </c>
      <c r="N339" s="5">
        <v>73.333333333333329</v>
      </c>
      <c r="O339" s="5">
        <v>5.2460414299242473</v>
      </c>
      <c r="P339" s="5">
        <v>329.2548858909704</v>
      </c>
      <c r="Q339" s="5">
        <v>2.6389820001957522</v>
      </c>
    </row>
    <row r="340" spans="1:17" x14ac:dyDescent="0.2">
      <c r="A340" s="4" t="s">
        <v>65</v>
      </c>
      <c r="B340" s="4">
        <v>2014</v>
      </c>
      <c r="C340" s="4" t="s">
        <v>64</v>
      </c>
      <c r="D340" s="4">
        <v>4</v>
      </c>
      <c r="E340" s="4">
        <v>18</v>
      </c>
      <c r="F340" s="4">
        <v>3</v>
      </c>
      <c r="G340" s="6" t="str">
        <f t="shared" si="15"/>
        <v>183</v>
      </c>
      <c r="H340" s="5">
        <v>5</v>
      </c>
      <c r="I340" s="5">
        <v>209.97827394886363</v>
      </c>
      <c r="J340" s="5">
        <v>13178.769850015162</v>
      </c>
      <c r="K340" s="5">
        <v>9</v>
      </c>
      <c r="L340" s="5">
        <v>204.74373928977272</v>
      </c>
      <c r="M340" s="5">
        <v>12850.237158290653</v>
      </c>
      <c r="N340" s="5">
        <v>44.444444444444443</v>
      </c>
      <c r="O340" s="5">
        <v>5.2345346590909116</v>
      </c>
      <c r="P340" s="5">
        <v>328.53269172450928</v>
      </c>
      <c r="Q340" s="5">
        <v>2.5566274589146252</v>
      </c>
    </row>
    <row r="341" spans="1:17" x14ac:dyDescent="0.2">
      <c r="A341" s="4" t="s">
        <v>91</v>
      </c>
      <c r="B341" s="4">
        <v>2014</v>
      </c>
      <c r="C341" s="4" t="s">
        <v>64</v>
      </c>
      <c r="D341" s="4">
        <v>1</v>
      </c>
      <c r="E341" s="31">
        <v>18</v>
      </c>
      <c r="F341" s="4">
        <v>3</v>
      </c>
      <c r="G341" s="6" t="str">
        <f t="shared" si="15"/>
        <v>183</v>
      </c>
      <c r="H341" s="5">
        <v>3</v>
      </c>
      <c r="I341" s="29">
        <v>215.88826409999999</v>
      </c>
      <c r="J341" s="29">
        <f>I341*(25.4/0.4047)</f>
        <v>13549.695844180873</v>
      </c>
      <c r="K341" s="30">
        <v>0.1</v>
      </c>
      <c r="L341" s="29">
        <v>199.7</v>
      </c>
      <c r="M341" s="29">
        <f>L341*(25.4/0.4047)</f>
        <v>12533.67926859402</v>
      </c>
      <c r="N341" s="5">
        <f>(K341-H341)/K341*100</f>
        <v>-2899.9999999999995</v>
      </c>
      <c r="O341" s="5">
        <f t="shared" ref="O341:P344" si="17">I341-L341</f>
        <v>16.188264099999998</v>
      </c>
      <c r="P341" s="5">
        <f t="shared" si="17"/>
        <v>1016.0165755868529</v>
      </c>
      <c r="Q341" s="5">
        <f>SUM(P341/M341)*100</f>
        <v>8.106291487230834</v>
      </c>
    </row>
    <row r="342" spans="1:17" x14ac:dyDescent="0.2">
      <c r="A342" s="4" t="s">
        <v>91</v>
      </c>
      <c r="B342" s="4">
        <v>2014</v>
      </c>
      <c r="C342" s="4" t="s">
        <v>64</v>
      </c>
      <c r="D342" s="4">
        <v>2</v>
      </c>
      <c r="E342" s="31">
        <v>18</v>
      </c>
      <c r="F342" s="4">
        <v>3</v>
      </c>
      <c r="G342" s="6" t="str">
        <f t="shared" si="15"/>
        <v>183</v>
      </c>
      <c r="H342" s="5">
        <v>0.1</v>
      </c>
      <c r="I342" s="29">
        <v>218.74333200000001</v>
      </c>
      <c r="J342" s="29">
        <f>I342*(25.4/0.4047)</f>
        <v>13728.887157894736</v>
      </c>
      <c r="K342" s="30">
        <v>0</v>
      </c>
      <c r="L342" s="29">
        <v>203.3</v>
      </c>
      <c r="M342" s="29">
        <f>L342*(25.4/0.4047)</f>
        <v>12759.624413145541</v>
      </c>
      <c r="N342" s="5" t="s">
        <v>97</v>
      </c>
      <c r="O342" s="5">
        <f t="shared" si="17"/>
        <v>15.443331999999998</v>
      </c>
      <c r="P342" s="5">
        <f t="shared" si="17"/>
        <v>969.26274474919592</v>
      </c>
      <c r="Q342" s="5">
        <f>SUM(P342/M342)*100</f>
        <v>7.5963266109198155</v>
      </c>
    </row>
    <row r="343" spans="1:17" x14ac:dyDescent="0.2">
      <c r="A343" s="4" t="s">
        <v>91</v>
      </c>
      <c r="B343" s="4">
        <v>2014</v>
      </c>
      <c r="C343" s="4" t="s">
        <v>64</v>
      </c>
      <c r="D343" s="4">
        <v>3</v>
      </c>
      <c r="E343" s="31">
        <v>18</v>
      </c>
      <c r="F343" s="4">
        <v>3</v>
      </c>
      <c r="G343" s="6" t="str">
        <f t="shared" si="15"/>
        <v>183</v>
      </c>
      <c r="H343" s="5">
        <v>3</v>
      </c>
      <c r="I343" s="29">
        <v>226.9161598</v>
      </c>
      <c r="J343" s="29">
        <f>I343*(25.4/0.4047)</f>
        <v>14241.834590857425</v>
      </c>
      <c r="K343" s="30">
        <v>0.1</v>
      </c>
      <c r="L343" s="29">
        <v>199.7</v>
      </c>
      <c r="M343" s="29">
        <f>L343*(25.4/0.4047)</f>
        <v>12533.67926859402</v>
      </c>
      <c r="N343" s="5">
        <f>(K343-H343)/K343*100</f>
        <v>-2899.9999999999995</v>
      </c>
      <c r="O343" s="5">
        <f t="shared" si="17"/>
        <v>27.216159800000014</v>
      </c>
      <c r="P343" s="5">
        <f t="shared" si="17"/>
        <v>1708.1553222634047</v>
      </c>
      <c r="Q343" s="5">
        <f>SUM(P343/M343)*100</f>
        <v>13.628522684026038</v>
      </c>
    </row>
    <row r="344" spans="1:17" x14ac:dyDescent="0.2">
      <c r="A344" s="4" t="s">
        <v>91</v>
      </c>
      <c r="B344" s="4">
        <v>2014</v>
      </c>
      <c r="C344" s="4" t="s">
        <v>64</v>
      </c>
      <c r="D344" s="4">
        <v>4</v>
      </c>
      <c r="E344" s="31">
        <v>18</v>
      </c>
      <c r="F344" s="4">
        <v>3</v>
      </c>
      <c r="G344" s="6" t="str">
        <f t="shared" si="15"/>
        <v>183</v>
      </c>
      <c r="H344" s="5">
        <v>2</v>
      </c>
      <c r="I344" s="29">
        <v>225.29400480000001</v>
      </c>
      <c r="J344" s="29">
        <f>I344*(25.4/0.4047)</f>
        <v>14140.024022535212</v>
      </c>
      <c r="K344" s="30">
        <v>0.1</v>
      </c>
      <c r="L344" s="29">
        <v>203.3</v>
      </c>
      <c r="M344" s="29">
        <f>L344*(25.4/0.4047)</f>
        <v>12759.624413145541</v>
      </c>
      <c r="N344" s="5">
        <f>(K344-H344)/K344*100</f>
        <v>-1899.9999999999995</v>
      </c>
      <c r="O344" s="5">
        <f t="shared" si="17"/>
        <v>21.994004799999999</v>
      </c>
      <c r="P344" s="5">
        <f t="shared" si="17"/>
        <v>1380.3996093896712</v>
      </c>
      <c r="Q344" s="5">
        <f>SUM(P344/M344)*100</f>
        <v>10.818497196261681</v>
      </c>
    </row>
    <row r="345" spans="1:17" x14ac:dyDescent="0.2">
      <c r="A345" s="4" t="s">
        <v>78</v>
      </c>
      <c r="B345" s="4">
        <v>2014</v>
      </c>
      <c r="C345" s="4" t="s">
        <v>64</v>
      </c>
      <c r="D345" s="4">
        <v>1</v>
      </c>
      <c r="E345" s="4">
        <v>18</v>
      </c>
      <c r="F345" s="4">
        <v>3</v>
      </c>
      <c r="G345" s="6" t="str">
        <f t="shared" si="15"/>
        <v>183</v>
      </c>
      <c r="H345" s="5">
        <v>4</v>
      </c>
      <c r="I345" s="5">
        <v>217.85288929999999</v>
      </c>
      <c r="J345" s="5">
        <v>13673.000712181862</v>
      </c>
      <c r="K345" s="5">
        <v>12</v>
      </c>
      <c r="L345" s="5">
        <v>186.603284</v>
      </c>
      <c r="M345" s="5">
        <v>11711.696104768964</v>
      </c>
      <c r="N345" s="5">
        <v>66.666666666666657</v>
      </c>
      <c r="O345" s="5">
        <v>31.249605299999985</v>
      </c>
      <c r="P345" s="5">
        <v>1961.3046074128979</v>
      </c>
      <c r="Q345" s="5">
        <v>16.746546271929489</v>
      </c>
    </row>
    <row r="346" spans="1:17" x14ac:dyDescent="0.2">
      <c r="A346" s="4" t="s">
        <v>78</v>
      </c>
      <c r="B346" s="4">
        <v>2014</v>
      </c>
      <c r="C346" s="4" t="s">
        <v>64</v>
      </c>
      <c r="D346" s="4">
        <v>2</v>
      </c>
      <c r="E346" s="4">
        <v>18</v>
      </c>
      <c r="F346" s="4">
        <v>3</v>
      </c>
      <c r="G346" s="6" t="str">
        <f t="shared" si="15"/>
        <v>183</v>
      </c>
      <c r="H346" s="5">
        <v>4</v>
      </c>
      <c r="I346" s="5">
        <v>188.58571090000001</v>
      </c>
      <c r="J346" s="5">
        <v>11836.118252680999</v>
      </c>
      <c r="K346" s="5">
        <v>14</v>
      </c>
      <c r="L346" s="5">
        <v>190.84363060000001</v>
      </c>
      <c r="M346" s="5">
        <v>11977.831028514949</v>
      </c>
      <c r="N346" s="5">
        <v>71.428571428571431</v>
      </c>
      <c r="O346" s="5">
        <v>-2.2579197000000022</v>
      </c>
      <c r="P346" s="5">
        <v>-141.71277583395022</v>
      </c>
      <c r="Q346" s="5">
        <v>-1.18312552161224</v>
      </c>
    </row>
    <row r="347" spans="1:17" x14ac:dyDescent="0.2">
      <c r="A347" s="4" t="s">
        <v>78</v>
      </c>
      <c r="B347" s="4">
        <v>2014</v>
      </c>
      <c r="C347" s="4" t="s">
        <v>64</v>
      </c>
      <c r="D347" s="4">
        <v>3</v>
      </c>
      <c r="E347" s="4">
        <v>18</v>
      </c>
      <c r="F347" s="4">
        <v>3</v>
      </c>
      <c r="G347" s="6" t="str">
        <f t="shared" si="15"/>
        <v>183</v>
      </c>
      <c r="H347" s="5">
        <v>12</v>
      </c>
      <c r="I347" s="5">
        <v>190.57876580000001</v>
      </c>
      <c r="J347" s="5">
        <v>11961.207440869781</v>
      </c>
      <c r="K347" s="5">
        <v>18</v>
      </c>
      <c r="L347" s="5">
        <v>191.81078445</v>
      </c>
      <c r="M347" s="5">
        <v>12038.532060859896</v>
      </c>
      <c r="N347" s="5">
        <v>33.333333333333329</v>
      </c>
      <c r="O347" s="5">
        <v>-1.2320186499999863</v>
      </c>
      <c r="P347" s="5">
        <v>-77.324619990115025</v>
      </c>
      <c r="Q347" s="5">
        <v>-0.64230937459157145</v>
      </c>
    </row>
    <row r="348" spans="1:17" x14ac:dyDescent="0.2">
      <c r="A348" s="4" t="s">
        <v>78</v>
      </c>
      <c r="B348" s="4">
        <v>2014</v>
      </c>
      <c r="C348" s="4" t="s">
        <v>64</v>
      </c>
      <c r="D348" s="4">
        <v>4</v>
      </c>
      <c r="E348" s="4">
        <v>18</v>
      </c>
      <c r="F348" s="4">
        <v>3</v>
      </c>
      <c r="G348" s="6" t="str">
        <f t="shared" si="15"/>
        <v>183</v>
      </c>
      <c r="H348" s="5">
        <v>8</v>
      </c>
      <c r="I348" s="5">
        <v>195.04087910000001</v>
      </c>
      <c r="J348" s="5">
        <v>12241.261006029157</v>
      </c>
      <c r="K348" s="5">
        <v>16</v>
      </c>
      <c r="L348" s="5">
        <v>212.23650125</v>
      </c>
      <c r="M348" s="5">
        <v>13320.501931677785</v>
      </c>
      <c r="N348" s="5">
        <v>50</v>
      </c>
      <c r="O348" s="5">
        <v>-17.195622149999991</v>
      </c>
      <c r="P348" s="5">
        <v>-1079.240925648628</v>
      </c>
      <c r="Q348" s="5">
        <v>-8.1021040437076994</v>
      </c>
    </row>
    <row r="349" spans="1:17" x14ac:dyDescent="0.2">
      <c r="A349" s="4" t="s">
        <v>70</v>
      </c>
      <c r="B349" s="4">
        <v>2014</v>
      </c>
      <c r="C349" s="4" t="s">
        <v>64</v>
      </c>
      <c r="D349" s="4">
        <v>1</v>
      </c>
      <c r="E349" s="4">
        <v>19</v>
      </c>
      <c r="F349" s="4">
        <v>3</v>
      </c>
      <c r="G349" s="6" t="str">
        <f t="shared" si="15"/>
        <v>193</v>
      </c>
      <c r="H349" s="5">
        <v>10</v>
      </c>
      <c r="I349" s="5">
        <v>225.81899679166671</v>
      </c>
      <c r="J349" s="5">
        <v>14172.973853492302</v>
      </c>
      <c r="K349" s="5">
        <v>10</v>
      </c>
      <c r="L349" s="5">
        <v>214.51043392152775</v>
      </c>
      <c r="M349" s="5">
        <v>13463.219722280219</v>
      </c>
      <c r="N349" s="5">
        <v>0</v>
      </c>
      <c r="O349" s="5">
        <v>11.308562870138957</v>
      </c>
      <c r="P349" s="5">
        <v>709.75413121208294</v>
      </c>
      <c r="Q349" s="5">
        <v>5.2718008459559949</v>
      </c>
    </row>
    <row r="350" spans="1:17" x14ac:dyDescent="0.2">
      <c r="A350" s="4" t="s">
        <v>70</v>
      </c>
      <c r="B350" s="4">
        <v>2014</v>
      </c>
      <c r="C350" s="4" t="s">
        <v>64</v>
      </c>
      <c r="D350" s="4">
        <v>2</v>
      </c>
      <c r="E350" s="4">
        <v>19</v>
      </c>
      <c r="F350" s="4">
        <v>3</v>
      </c>
      <c r="G350" s="6" t="str">
        <f t="shared" si="15"/>
        <v>193</v>
      </c>
      <c r="H350" s="5">
        <v>1</v>
      </c>
      <c r="I350" s="5">
        <v>235.76330156944445</v>
      </c>
      <c r="J350" s="5">
        <v>14797.103681403234</v>
      </c>
      <c r="K350" s="5">
        <v>10</v>
      </c>
      <c r="L350" s="5">
        <v>200.44774846597221</v>
      </c>
      <c r="M350" s="5">
        <v>12580.609861714094</v>
      </c>
      <c r="N350" s="5">
        <v>90</v>
      </c>
      <c r="O350" s="5">
        <v>35.31555310347224</v>
      </c>
      <c r="P350" s="5">
        <v>2216.4938196891399</v>
      </c>
      <c r="Q350" s="5">
        <v>17.618333642429199</v>
      </c>
    </row>
    <row r="351" spans="1:17" x14ac:dyDescent="0.2">
      <c r="A351" s="4" t="s">
        <v>70</v>
      </c>
      <c r="B351" s="4">
        <v>2014</v>
      </c>
      <c r="C351" s="4" t="s">
        <v>64</v>
      </c>
      <c r="D351" s="4">
        <v>3</v>
      </c>
      <c r="E351" s="4">
        <v>19</v>
      </c>
      <c r="F351" s="4">
        <v>3</v>
      </c>
      <c r="G351" s="6" t="str">
        <f t="shared" si="15"/>
        <v>193</v>
      </c>
      <c r="H351" s="5">
        <v>5</v>
      </c>
      <c r="I351" s="5">
        <v>219.84382220277777</v>
      </c>
      <c r="J351" s="5">
        <v>13797.95671843478</v>
      </c>
      <c r="K351" s="5">
        <v>12.5</v>
      </c>
      <c r="L351" s="5">
        <v>224.63576321805556</v>
      </c>
      <c r="M351" s="5">
        <v>14098.711108817917</v>
      </c>
      <c r="N351" s="5">
        <v>60</v>
      </c>
      <c r="O351" s="5">
        <v>-4.7919410152777857</v>
      </c>
      <c r="P351" s="5">
        <v>-300.75439038313743</v>
      </c>
      <c r="Q351" s="5">
        <v>-2.1332048586699051</v>
      </c>
    </row>
    <row r="352" spans="1:17" x14ac:dyDescent="0.2">
      <c r="A352" s="4" t="s">
        <v>70</v>
      </c>
      <c r="B352" s="4">
        <v>2014</v>
      </c>
      <c r="C352" s="4" t="s">
        <v>64</v>
      </c>
      <c r="D352" s="4">
        <v>4</v>
      </c>
      <c r="E352" s="4">
        <v>19</v>
      </c>
      <c r="F352" s="4">
        <v>3</v>
      </c>
      <c r="G352" s="6" t="str">
        <f t="shared" si="15"/>
        <v>193</v>
      </c>
      <c r="H352" s="5">
        <v>4</v>
      </c>
      <c r="I352" s="5">
        <v>217.95609809166666</v>
      </c>
      <c r="J352" s="5">
        <v>13679.478358113005</v>
      </c>
      <c r="K352" s="5">
        <v>7.5</v>
      </c>
      <c r="L352" s="5">
        <v>217.12300788333334</v>
      </c>
      <c r="M352" s="5">
        <v>13627.191500461247</v>
      </c>
      <c r="N352" s="5">
        <v>46.666666666666664</v>
      </c>
      <c r="O352" s="5">
        <v>0.83309020833331715</v>
      </c>
      <c r="P352" s="5">
        <v>52.2868576517576</v>
      </c>
      <c r="Q352" s="5">
        <v>0.38369503833557944</v>
      </c>
    </row>
    <row r="353" spans="1:17" x14ac:dyDescent="0.2">
      <c r="A353" s="4" t="s">
        <v>65</v>
      </c>
      <c r="B353" s="4">
        <v>2014</v>
      </c>
      <c r="C353" s="4" t="s">
        <v>64</v>
      </c>
      <c r="D353" s="4">
        <v>1</v>
      </c>
      <c r="E353" s="4">
        <v>19</v>
      </c>
      <c r="F353" s="4">
        <v>3</v>
      </c>
      <c r="G353" s="6" t="str">
        <f t="shared" si="15"/>
        <v>193</v>
      </c>
      <c r="H353" s="5">
        <v>0.1</v>
      </c>
      <c r="I353" s="5">
        <v>216.61642543560606</v>
      </c>
      <c r="J353" s="5">
        <v>13595.397099244858</v>
      </c>
      <c r="K353" s="5">
        <v>11</v>
      </c>
      <c r="L353" s="5">
        <v>200.53205195075759</v>
      </c>
      <c r="M353" s="5">
        <v>12585.900962562991</v>
      </c>
      <c r="N353" s="5">
        <v>99.090909090909093</v>
      </c>
      <c r="O353" s="5">
        <v>16.08437348484847</v>
      </c>
      <c r="P353" s="5">
        <v>1009.4961366818661</v>
      </c>
      <c r="Q353" s="5">
        <v>8.0208492001059923</v>
      </c>
    </row>
    <row r="354" spans="1:17" x14ac:dyDescent="0.2">
      <c r="A354" s="4" t="s">
        <v>65</v>
      </c>
      <c r="B354" s="4">
        <v>2014</v>
      </c>
      <c r="C354" s="4" t="s">
        <v>64</v>
      </c>
      <c r="D354" s="4">
        <v>2</v>
      </c>
      <c r="E354" s="4">
        <v>19</v>
      </c>
      <c r="F354" s="4">
        <v>3</v>
      </c>
      <c r="G354" s="6" t="str">
        <f t="shared" si="15"/>
        <v>193</v>
      </c>
      <c r="H354" s="5">
        <v>0.5</v>
      </c>
      <c r="I354" s="5">
        <v>218.50228056818187</v>
      </c>
      <c r="J354" s="5">
        <v>13713.758157726264</v>
      </c>
      <c r="K354" s="5">
        <v>12</v>
      </c>
      <c r="L354" s="5">
        <v>201.86809265151518</v>
      </c>
      <c r="M354" s="5">
        <v>12669.754270690599</v>
      </c>
      <c r="N354" s="5">
        <v>95.833333333333343</v>
      </c>
      <c r="O354" s="5">
        <v>16.63418791666669</v>
      </c>
      <c r="P354" s="5">
        <v>1044.0038870356657</v>
      </c>
      <c r="Q354" s="5">
        <v>8.240127351568276</v>
      </c>
    </row>
    <row r="355" spans="1:17" x14ac:dyDescent="0.2">
      <c r="A355" s="4" t="s">
        <v>65</v>
      </c>
      <c r="B355" s="4">
        <v>2014</v>
      </c>
      <c r="C355" s="4" t="s">
        <v>64</v>
      </c>
      <c r="D355" s="4">
        <v>3</v>
      </c>
      <c r="E355" s="4">
        <v>19</v>
      </c>
      <c r="F355" s="4">
        <v>3</v>
      </c>
      <c r="G355" s="6" t="str">
        <f t="shared" si="15"/>
        <v>193</v>
      </c>
      <c r="H355" s="5">
        <v>1</v>
      </c>
      <c r="I355" s="5">
        <v>218.58680303030303</v>
      </c>
      <c r="J355" s="5">
        <v>13719.063002148992</v>
      </c>
      <c r="K355" s="5">
        <v>7.5</v>
      </c>
      <c r="L355" s="5">
        <v>198.79034527462122</v>
      </c>
      <c r="M355" s="5">
        <v>12476.587027366886</v>
      </c>
      <c r="N355" s="5">
        <v>86.666666666666671</v>
      </c>
      <c r="O355" s="5">
        <v>19.796457755681814</v>
      </c>
      <c r="P355" s="5">
        <v>1242.4759747821063</v>
      </c>
      <c r="Q355" s="5">
        <v>9.9584603710677104</v>
      </c>
    </row>
    <row r="356" spans="1:17" x14ac:dyDescent="0.2">
      <c r="A356" s="4" t="s">
        <v>65</v>
      </c>
      <c r="B356" s="4">
        <v>2014</v>
      </c>
      <c r="C356" s="4" t="s">
        <v>64</v>
      </c>
      <c r="D356" s="4">
        <v>4</v>
      </c>
      <c r="E356" s="4">
        <v>19</v>
      </c>
      <c r="F356" s="4">
        <v>3</v>
      </c>
      <c r="G356" s="6" t="str">
        <f t="shared" si="15"/>
        <v>193</v>
      </c>
      <c r="H356" s="5">
        <v>0.5</v>
      </c>
      <c r="I356" s="5">
        <v>212.99472161931817</v>
      </c>
      <c r="J356" s="5">
        <v>13368.089768052092</v>
      </c>
      <c r="K356" s="5">
        <v>9</v>
      </c>
      <c r="L356" s="5">
        <v>204.74373928977272</v>
      </c>
      <c r="M356" s="5">
        <v>12850.237158290653</v>
      </c>
      <c r="N356" s="5">
        <v>94.444444444444443</v>
      </c>
      <c r="O356" s="5">
        <v>8.250982329545451</v>
      </c>
      <c r="P356" s="5">
        <v>517.85260976143945</v>
      </c>
      <c r="Q356" s="5">
        <v>4.0299070233683105</v>
      </c>
    </row>
    <row r="357" spans="1:17" x14ac:dyDescent="0.2">
      <c r="A357" s="4" t="s">
        <v>91</v>
      </c>
      <c r="B357" s="4">
        <v>2014</v>
      </c>
      <c r="C357" s="4" t="s">
        <v>64</v>
      </c>
      <c r="D357" s="4">
        <v>1</v>
      </c>
      <c r="E357" s="4">
        <v>19</v>
      </c>
      <c r="F357" s="4">
        <v>3</v>
      </c>
      <c r="G357" s="6" t="str">
        <f t="shared" si="15"/>
        <v>193</v>
      </c>
      <c r="H357" s="5">
        <v>1</v>
      </c>
      <c r="I357" s="29">
        <v>202.52742370000001</v>
      </c>
      <c r="J357" s="29">
        <f>I357*(25.4/0.4047)</f>
        <v>12711.13556209538</v>
      </c>
      <c r="K357" s="30">
        <v>0.1</v>
      </c>
      <c r="L357" s="29">
        <v>199.7</v>
      </c>
      <c r="M357" s="29">
        <f>L357*(25.4/0.4047)</f>
        <v>12533.67926859402</v>
      </c>
      <c r="N357" s="5">
        <f>(K357-H357)/K357*100</f>
        <v>-900</v>
      </c>
      <c r="O357" s="5">
        <f t="shared" ref="O357:P360" si="18">I357-L357</f>
        <v>2.8274237000000255</v>
      </c>
      <c r="P357" s="5">
        <f t="shared" si="18"/>
        <v>177.45629350136005</v>
      </c>
      <c r="Q357" s="5">
        <f>SUM(P357/M357)*100</f>
        <v>1.4158356034051158</v>
      </c>
    </row>
    <row r="358" spans="1:17" x14ac:dyDescent="0.2">
      <c r="A358" s="4" t="s">
        <v>91</v>
      </c>
      <c r="B358" s="4">
        <v>2014</v>
      </c>
      <c r="C358" s="4" t="s">
        <v>64</v>
      </c>
      <c r="D358" s="4">
        <v>2</v>
      </c>
      <c r="E358" s="4">
        <v>19</v>
      </c>
      <c r="F358" s="4">
        <v>3</v>
      </c>
      <c r="G358" s="6" t="str">
        <f t="shared" si="15"/>
        <v>193</v>
      </c>
      <c r="H358" s="5">
        <v>0.1</v>
      </c>
      <c r="I358" s="29">
        <v>219.03730060000001</v>
      </c>
      <c r="J358" s="29">
        <f>I358*(25.4/0.4047)</f>
        <v>13747.337373956017</v>
      </c>
      <c r="K358" s="30">
        <v>0</v>
      </c>
      <c r="L358" s="29">
        <v>203.3</v>
      </c>
      <c r="M358" s="29">
        <f>L358*(25.4/0.4047)</f>
        <v>12759.624413145541</v>
      </c>
      <c r="N358" s="5" t="s">
        <v>97</v>
      </c>
      <c r="O358" s="5">
        <f t="shared" si="18"/>
        <v>15.737300599999998</v>
      </c>
      <c r="P358" s="5">
        <f t="shared" si="18"/>
        <v>987.71296081047694</v>
      </c>
      <c r="Q358" s="5">
        <f>SUM(P358/M358)*100</f>
        <v>7.7409250368912943</v>
      </c>
    </row>
    <row r="359" spans="1:17" x14ac:dyDescent="0.2">
      <c r="A359" s="4" t="s">
        <v>91</v>
      </c>
      <c r="B359" s="4">
        <v>2014</v>
      </c>
      <c r="C359" s="4" t="s">
        <v>64</v>
      </c>
      <c r="D359" s="4">
        <v>3</v>
      </c>
      <c r="E359" s="4">
        <v>19</v>
      </c>
      <c r="F359" s="4">
        <v>3</v>
      </c>
      <c r="G359" s="6" t="str">
        <f t="shared" si="15"/>
        <v>193</v>
      </c>
      <c r="H359" s="5">
        <v>0.1</v>
      </c>
      <c r="I359" s="29">
        <v>213.0187798</v>
      </c>
      <c r="J359" s="29">
        <f>I359*(25.4/0.4047)</f>
        <v>13369.599720583148</v>
      </c>
      <c r="K359" s="30">
        <v>0.1</v>
      </c>
      <c r="L359" s="29">
        <v>199.7</v>
      </c>
      <c r="M359" s="29">
        <f>L359*(25.4/0.4047)</f>
        <v>12533.67926859402</v>
      </c>
      <c r="N359" s="5">
        <f>(K359-H359)/K359*100</f>
        <v>0</v>
      </c>
      <c r="O359" s="5">
        <f t="shared" si="18"/>
        <v>13.318779800000016</v>
      </c>
      <c r="P359" s="5">
        <f t="shared" si="18"/>
        <v>835.9204519891282</v>
      </c>
      <c r="Q359" s="5">
        <f>SUM(P359/M359)*100</f>
        <v>6.6693939909864834</v>
      </c>
    </row>
    <row r="360" spans="1:17" x14ac:dyDescent="0.2">
      <c r="A360" s="4" t="s">
        <v>91</v>
      </c>
      <c r="B360" s="4">
        <v>2014</v>
      </c>
      <c r="C360" s="4" t="s">
        <v>64</v>
      </c>
      <c r="D360" s="4">
        <v>4</v>
      </c>
      <c r="E360" s="4">
        <v>19</v>
      </c>
      <c r="F360" s="4">
        <v>3</v>
      </c>
      <c r="G360" s="6" t="str">
        <f t="shared" si="15"/>
        <v>193</v>
      </c>
      <c r="H360" s="5">
        <v>1</v>
      </c>
      <c r="I360" s="29">
        <v>222.0935709</v>
      </c>
      <c r="J360" s="29">
        <f>I360*(25.4/0.4047)</f>
        <v>13939.1566613788</v>
      </c>
      <c r="K360" s="30">
        <v>0.1</v>
      </c>
      <c r="L360" s="29">
        <v>203.3</v>
      </c>
      <c r="M360" s="29">
        <f>L360*(25.4/0.4047)</f>
        <v>12759.624413145541</v>
      </c>
      <c r="N360" s="5">
        <f>(K360-H360)/K360*100</f>
        <v>-900</v>
      </c>
      <c r="O360" s="5">
        <f t="shared" si="18"/>
        <v>18.793570899999992</v>
      </c>
      <c r="P360" s="5">
        <f t="shared" si="18"/>
        <v>1179.5322482332595</v>
      </c>
      <c r="Q360" s="5">
        <f>SUM(P360/M360)*100</f>
        <v>9.2442552385637011</v>
      </c>
    </row>
    <row r="361" spans="1:17" x14ac:dyDescent="0.2">
      <c r="A361" s="4" t="s">
        <v>78</v>
      </c>
      <c r="B361" s="4">
        <v>2014</v>
      </c>
      <c r="C361" s="4" t="s">
        <v>64</v>
      </c>
      <c r="D361" s="4">
        <v>1</v>
      </c>
      <c r="E361" s="4">
        <v>19</v>
      </c>
      <c r="F361" s="4">
        <v>3</v>
      </c>
      <c r="G361" s="6" t="str">
        <f t="shared" si="15"/>
        <v>193</v>
      </c>
      <c r="H361" s="5">
        <v>12</v>
      </c>
      <c r="I361" s="5">
        <v>212.09264580000001</v>
      </c>
      <c r="J361" s="5">
        <v>13311.473198220905</v>
      </c>
      <c r="K361" s="5">
        <v>12</v>
      </c>
      <c r="L361" s="5">
        <v>186.603284</v>
      </c>
      <c r="M361" s="5">
        <v>11711.696104768964</v>
      </c>
      <c r="N361" s="5">
        <v>0</v>
      </c>
      <c r="O361" s="5">
        <v>25.489361800000012</v>
      </c>
      <c r="P361" s="5">
        <v>1599.7770934519413</v>
      </c>
      <c r="Q361" s="5">
        <v>13.659653385306994</v>
      </c>
    </row>
    <row r="362" spans="1:17" x14ac:dyDescent="0.2">
      <c r="A362" s="4" t="s">
        <v>78</v>
      </c>
      <c r="B362" s="4">
        <v>2014</v>
      </c>
      <c r="C362" s="4" t="s">
        <v>64</v>
      </c>
      <c r="D362" s="4">
        <v>2</v>
      </c>
      <c r="E362" s="4">
        <v>19</v>
      </c>
      <c r="F362" s="4">
        <v>3</v>
      </c>
      <c r="G362" s="6" t="str">
        <f t="shared" si="15"/>
        <v>193</v>
      </c>
      <c r="H362" s="5">
        <v>8</v>
      </c>
      <c r="I362" s="5">
        <v>231.56811329999999</v>
      </c>
      <c r="J362" s="5">
        <v>14533.803009191994</v>
      </c>
      <c r="K362" s="5">
        <v>14</v>
      </c>
      <c r="L362" s="5">
        <v>190.84363060000001</v>
      </c>
      <c r="M362" s="5">
        <v>11977.831028514949</v>
      </c>
      <c r="N362" s="5">
        <v>42.857142857142854</v>
      </c>
      <c r="O362" s="5">
        <v>40.724482699999982</v>
      </c>
      <c r="P362" s="5">
        <v>2555.9719806770445</v>
      </c>
      <c r="Q362" s="5">
        <v>21.339188828028931</v>
      </c>
    </row>
    <row r="363" spans="1:17" x14ac:dyDescent="0.2">
      <c r="A363" s="4" t="s">
        <v>78</v>
      </c>
      <c r="B363" s="4">
        <v>2014</v>
      </c>
      <c r="C363" s="4" t="s">
        <v>64</v>
      </c>
      <c r="D363" s="4">
        <v>3</v>
      </c>
      <c r="E363" s="4">
        <v>19</v>
      </c>
      <c r="F363" s="4">
        <v>3</v>
      </c>
      <c r="G363" s="6" t="str">
        <f t="shared" si="15"/>
        <v>193</v>
      </c>
      <c r="H363" s="5">
        <v>8</v>
      </c>
      <c r="I363" s="5">
        <v>204.82271510000001</v>
      </c>
      <c r="J363" s="5">
        <v>12855.193880751174</v>
      </c>
      <c r="K363" s="5">
        <v>18</v>
      </c>
      <c r="L363" s="5">
        <v>191.81078445</v>
      </c>
      <c r="M363" s="5">
        <v>12038.532060859896</v>
      </c>
      <c r="N363" s="5">
        <v>55.555555555555557</v>
      </c>
      <c r="O363" s="5">
        <v>13.011930650000011</v>
      </c>
      <c r="P363" s="5">
        <v>816.66181989127836</v>
      </c>
      <c r="Q363" s="5">
        <v>6.7837325660861785</v>
      </c>
    </row>
    <row r="364" spans="1:17" x14ac:dyDescent="0.2">
      <c r="A364" s="4" t="s">
        <v>78</v>
      </c>
      <c r="B364" s="4">
        <v>2014</v>
      </c>
      <c r="C364" s="4" t="s">
        <v>64</v>
      </c>
      <c r="D364" s="4">
        <v>4</v>
      </c>
      <c r="E364" s="4">
        <v>19</v>
      </c>
      <c r="F364" s="4">
        <v>3</v>
      </c>
      <c r="G364" s="6" t="str">
        <f t="shared" si="15"/>
        <v>193</v>
      </c>
      <c r="H364" s="5">
        <v>8</v>
      </c>
      <c r="I364" s="5">
        <v>221.0279189</v>
      </c>
      <c r="J364" s="5">
        <v>13872.273634939462</v>
      </c>
      <c r="K364" s="5">
        <v>16</v>
      </c>
      <c r="L364" s="5">
        <v>212.23650125</v>
      </c>
      <c r="M364" s="5">
        <v>13320.501931677785</v>
      </c>
      <c r="N364" s="5">
        <v>50</v>
      </c>
      <c r="O364" s="5">
        <v>8.7914176499999996</v>
      </c>
      <c r="P364" s="5">
        <v>551.77170326167652</v>
      </c>
      <c r="Q364" s="5">
        <v>4.1422741131810943</v>
      </c>
    </row>
    <row r="365" spans="1:17" x14ac:dyDescent="0.2">
      <c r="A365" s="4" t="s">
        <v>91</v>
      </c>
      <c r="B365" s="4">
        <v>2014</v>
      </c>
      <c r="C365" s="4" t="s">
        <v>64</v>
      </c>
      <c r="D365" s="4">
        <v>1</v>
      </c>
      <c r="E365" s="4">
        <v>1</v>
      </c>
      <c r="F365" s="4">
        <v>0</v>
      </c>
      <c r="G365" s="6" t="str">
        <f t="shared" si="15"/>
        <v>10</v>
      </c>
      <c r="H365" s="30">
        <v>0.1</v>
      </c>
      <c r="I365" s="29">
        <v>199.7</v>
      </c>
      <c r="J365" s="29">
        <f>I365*(25.4/0.4047)</f>
        <v>12533.67926859402</v>
      </c>
      <c r="K365" s="30">
        <v>0.1</v>
      </c>
      <c r="L365" s="29">
        <v>199.7</v>
      </c>
      <c r="M365" s="29">
        <f>L365*(25.4/0.4047)</f>
        <v>12533.67926859402</v>
      </c>
      <c r="N365" s="5">
        <f>(K365-H365)/K365*100</f>
        <v>0</v>
      </c>
      <c r="O365" s="5">
        <f>I365-L365</f>
        <v>0</v>
      </c>
      <c r="P365" s="5">
        <f>J365-M365</f>
        <v>0</v>
      </c>
      <c r="Q365" s="5">
        <f>SUM(P365/M365)*100</f>
        <v>0</v>
      </c>
    </row>
    <row r="366" spans="1:17" x14ac:dyDescent="0.2">
      <c r="A366" s="4" t="s">
        <v>77</v>
      </c>
      <c r="B366" s="25">
        <v>2014</v>
      </c>
      <c r="C366" s="25" t="s">
        <v>50</v>
      </c>
      <c r="D366" s="26">
        <v>1</v>
      </c>
      <c r="E366" s="26">
        <v>1</v>
      </c>
      <c r="F366" s="26">
        <v>0</v>
      </c>
      <c r="G366" s="6" t="str">
        <f t="shared" si="15"/>
        <v>10</v>
      </c>
      <c r="H366" s="5">
        <v>5</v>
      </c>
      <c r="I366" s="5">
        <v>203.90911865546221</v>
      </c>
      <c r="J366" s="5">
        <v>12797.85424721705</v>
      </c>
      <c r="K366" s="5">
        <v>5</v>
      </c>
      <c r="L366" s="5">
        <v>203.90911865546221</v>
      </c>
      <c r="M366" s="5">
        <v>12797.85424721705</v>
      </c>
      <c r="N366" s="5">
        <v>0</v>
      </c>
      <c r="O366" s="5">
        <v>0</v>
      </c>
      <c r="P366" s="5">
        <v>0</v>
      </c>
      <c r="Q366" s="5">
        <v>0</v>
      </c>
    </row>
    <row r="367" spans="1:17" x14ac:dyDescent="0.2">
      <c r="A367" s="4" t="s">
        <v>77</v>
      </c>
      <c r="B367" s="25">
        <v>2014</v>
      </c>
      <c r="C367" s="25" t="s">
        <v>50</v>
      </c>
      <c r="D367" s="26">
        <v>2</v>
      </c>
      <c r="E367" s="26">
        <v>1</v>
      </c>
      <c r="F367" s="26">
        <v>0</v>
      </c>
      <c r="G367" s="6" t="str">
        <f t="shared" si="15"/>
        <v>10</v>
      </c>
      <c r="H367" s="5">
        <v>31.666666666666668</v>
      </c>
      <c r="I367" s="5">
        <v>233.84911462184877</v>
      </c>
      <c r="J367" s="5">
        <v>14676.96444624403</v>
      </c>
      <c r="K367" s="5">
        <v>31.666666666666668</v>
      </c>
      <c r="L367" s="5">
        <v>233.84911462184877</v>
      </c>
      <c r="M367" s="5">
        <v>14676.96444624403</v>
      </c>
      <c r="N367" s="5">
        <v>0</v>
      </c>
      <c r="O367" s="5">
        <v>0</v>
      </c>
      <c r="P367" s="5">
        <v>0</v>
      </c>
      <c r="Q367" s="5">
        <v>0</v>
      </c>
    </row>
    <row r="368" spans="1:17" x14ac:dyDescent="0.2">
      <c r="A368" s="4" t="s">
        <v>77</v>
      </c>
      <c r="B368" s="25">
        <v>2014</v>
      </c>
      <c r="C368" s="25" t="s">
        <v>50</v>
      </c>
      <c r="D368" s="26">
        <v>3</v>
      </c>
      <c r="E368" s="26">
        <v>1</v>
      </c>
      <c r="F368" s="26">
        <v>0</v>
      </c>
      <c r="G368" s="6" t="str">
        <f t="shared" si="15"/>
        <v>10</v>
      </c>
      <c r="H368" s="5">
        <v>10</v>
      </c>
      <c r="I368" s="5">
        <v>216.62039332828175</v>
      </c>
      <c r="J368" s="5">
        <v>13595.64613426824</v>
      </c>
      <c r="K368" s="5">
        <v>10</v>
      </c>
      <c r="L368" s="5">
        <v>216.62039332828175</v>
      </c>
      <c r="M368" s="5">
        <v>13595.64613426824</v>
      </c>
      <c r="N368" s="5">
        <v>0</v>
      </c>
      <c r="O368" s="5">
        <v>0</v>
      </c>
      <c r="P368" s="5">
        <v>0</v>
      </c>
      <c r="Q368" s="5">
        <v>0</v>
      </c>
    </row>
    <row r="369" spans="1:17" s="7" customFormat="1" x14ac:dyDescent="0.2">
      <c r="A369" s="7" t="s">
        <v>77</v>
      </c>
      <c r="B369" s="27">
        <v>2014</v>
      </c>
      <c r="C369" s="27" t="s">
        <v>50</v>
      </c>
      <c r="D369" s="28">
        <v>4</v>
      </c>
      <c r="E369" s="28">
        <v>1</v>
      </c>
      <c r="F369" s="28">
        <v>0</v>
      </c>
      <c r="G369" s="6" t="str">
        <f t="shared" si="15"/>
        <v>10</v>
      </c>
      <c r="H369" s="9">
        <v>18.333333333333332</v>
      </c>
      <c r="I369" s="9">
        <v>214.28523421746976</v>
      </c>
      <c r="J369" s="9">
        <v>13449.085616811792</v>
      </c>
      <c r="K369" s="9">
        <v>18.333333333333332</v>
      </c>
      <c r="L369" s="9">
        <v>214.28523421746976</v>
      </c>
      <c r="M369" s="9">
        <v>13449.085616811792</v>
      </c>
      <c r="N369" s="9">
        <v>0</v>
      </c>
      <c r="O369" s="9">
        <v>0</v>
      </c>
      <c r="P369" s="9">
        <v>0</v>
      </c>
      <c r="Q369" s="9">
        <v>0</v>
      </c>
    </row>
    <row r="370" spans="1:17" x14ac:dyDescent="0.2">
      <c r="A370" s="4" t="s">
        <v>86</v>
      </c>
      <c r="B370" s="25">
        <v>2014</v>
      </c>
      <c r="C370" s="25" t="s">
        <v>50</v>
      </c>
      <c r="D370" s="25">
        <v>1</v>
      </c>
      <c r="E370" s="25">
        <v>1</v>
      </c>
      <c r="F370" s="25">
        <v>0</v>
      </c>
      <c r="G370" s="6" t="str">
        <f t="shared" si="15"/>
        <v>10</v>
      </c>
      <c r="H370" s="5">
        <v>0</v>
      </c>
      <c r="I370" s="5" t="s">
        <v>97</v>
      </c>
      <c r="J370" s="5" t="s">
        <v>97</v>
      </c>
      <c r="K370" s="5">
        <v>0</v>
      </c>
      <c r="L370" s="5" t="s">
        <v>97</v>
      </c>
      <c r="M370" s="5" t="s">
        <v>97</v>
      </c>
      <c r="N370" s="5" t="s">
        <v>97</v>
      </c>
      <c r="O370" s="5" t="s">
        <v>97</v>
      </c>
      <c r="P370" s="5" t="s">
        <v>97</v>
      </c>
      <c r="Q370" s="5" t="s">
        <v>97</v>
      </c>
    </row>
    <row r="371" spans="1:17" x14ac:dyDescent="0.2">
      <c r="A371" s="4" t="s">
        <v>86</v>
      </c>
      <c r="B371" s="25">
        <v>2014</v>
      </c>
      <c r="C371" s="25" t="s">
        <v>50</v>
      </c>
      <c r="D371" s="25">
        <v>2</v>
      </c>
      <c r="E371" s="25">
        <v>1</v>
      </c>
      <c r="F371" s="25">
        <v>0</v>
      </c>
      <c r="G371" s="6" t="str">
        <f t="shared" si="15"/>
        <v>10</v>
      </c>
      <c r="H371" s="5">
        <v>0</v>
      </c>
      <c r="I371" s="5">
        <v>141.78670184873954</v>
      </c>
      <c r="J371" s="5">
        <v>8898.8935679712977</v>
      </c>
      <c r="K371" s="5">
        <v>0</v>
      </c>
      <c r="L371" s="5">
        <v>141.80000000000001</v>
      </c>
      <c r="M371" s="5">
        <v>8899.7281937237458</v>
      </c>
      <c r="N371" s="5" t="s">
        <v>97</v>
      </c>
      <c r="O371" s="5">
        <v>-1.3298151260471514E-2</v>
      </c>
      <c r="P371" s="5">
        <v>-0.83462575244811887</v>
      </c>
      <c r="Q371" s="5">
        <v>-9.3781038508199879E-3</v>
      </c>
    </row>
    <row r="372" spans="1:17" x14ac:dyDescent="0.2">
      <c r="A372" s="4" t="s">
        <v>86</v>
      </c>
      <c r="B372" s="25">
        <v>2014</v>
      </c>
      <c r="C372" s="25" t="s">
        <v>50</v>
      </c>
      <c r="D372" s="25">
        <v>3</v>
      </c>
      <c r="E372" s="25">
        <v>1</v>
      </c>
      <c r="F372" s="25">
        <v>0</v>
      </c>
      <c r="G372" s="6" t="str">
        <f t="shared" si="15"/>
        <v>10</v>
      </c>
      <c r="H372" s="5">
        <v>0</v>
      </c>
      <c r="I372" s="5">
        <v>147.88436974789917</v>
      </c>
      <c r="J372" s="5">
        <v>9281.5986943331827</v>
      </c>
      <c r="K372" s="5">
        <v>0</v>
      </c>
      <c r="L372" s="5">
        <v>147.9</v>
      </c>
      <c r="M372" s="5">
        <v>9282.5796886582648</v>
      </c>
      <c r="N372" s="5" t="s">
        <v>97</v>
      </c>
      <c r="O372" s="5">
        <v>-1.5630252100834241E-2</v>
      </c>
      <c r="P372" s="5">
        <v>-0.98099432508206519</v>
      </c>
      <c r="Q372" s="5">
        <v>-1.0568121772018543E-2</v>
      </c>
    </row>
    <row r="373" spans="1:17" x14ac:dyDescent="0.2">
      <c r="A373" s="4" t="s">
        <v>86</v>
      </c>
      <c r="B373" s="25">
        <v>2014</v>
      </c>
      <c r="C373" s="25" t="s">
        <v>50</v>
      </c>
      <c r="D373" s="25">
        <v>4</v>
      </c>
      <c r="E373" s="25">
        <v>1</v>
      </c>
      <c r="F373" s="25">
        <v>0</v>
      </c>
      <c r="G373" s="6" t="str">
        <f t="shared" si="15"/>
        <v>10</v>
      </c>
      <c r="H373" s="5">
        <v>0</v>
      </c>
      <c r="I373" s="5">
        <v>158.59500504201679</v>
      </c>
      <c r="J373" s="5">
        <v>9953.82537204652</v>
      </c>
      <c r="K373" s="5">
        <v>0</v>
      </c>
      <c r="L373" s="5">
        <v>158.6</v>
      </c>
      <c r="M373" s="5">
        <v>9954.138868297503</v>
      </c>
      <c r="N373" s="5" t="s">
        <v>97</v>
      </c>
      <c r="O373" s="5">
        <v>-4.9949579832002655E-3</v>
      </c>
      <c r="P373" s="5">
        <v>-0.31349625098300749</v>
      </c>
      <c r="Q373" s="5">
        <v>-3.1494060423594033E-3</v>
      </c>
    </row>
    <row r="374" spans="1:17" x14ac:dyDescent="0.2">
      <c r="A374" s="4" t="s">
        <v>51</v>
      </c>
      <c r="B374" s="25">
        <v>2014</v>
      </c>
      <c r="C374" s="25" t="s">
        <v>50</v>
      </c>
      <c r="D374" s="25">
        <v>1</v>
      </c>
      <c r="E374" s="25">
        <v>1</v>
      </c>
      <c r="F374" s="25">
        <v>0</v>
      </c>
      <c r="G374" s="6" t="str">
        <f t="shared" si="15"/>
        <v>10</v>
      </c>
      <c r="H374" s="5">
        <v>11.666666666666666</v>
      </c>
      <c r="I374" s="5">
        <v>201.86765546218487</v>
      </c>
      <c r="J374" s="5">
        <v>12669.726831577702</v>
      </c>
      <c r="K374" s="5">
        <v>11.666666666666666</v>
      </c>
      <c r="L374" s="5">
        <v>201.86765546218487</v>
      </c>
      <c r="M374" s="5">
        <v>12669.726831577702</v>
      </c>
      <c r="N374" s="5">
        <v>0</v>
      </c>
      <c r="O374" s="5">
        <v>0</v>
      </c>
      <c r="P374" s="5">
        <v>0</v>
      </c>
      <c r="Q374" s="5">
        <v>0</v>
      </c>
    </row>
    <row r="375" spans="1:17" x14ac:dyDescent="0.2">
      <c r="A375" s="4" t="s">
        <v>51</v>
      </c>
      <c r="B375" s="25">
        <v>2014</v>
      </c>
      <c r="C375" s="25" t="s">
        <v>50</v>
      </c>
      <c r="D375" s="25">
        <v>2</v>
      </c>
      <c r="E375" s="25">
        <v>1</v>
      </c>
      <c r="F375" s="25">
        <v>0</v>
      </c>
      <c r="G375" s="6" t="str">
        <f t="shared" si="15"/>
        <v>10</v>
      </c>
      <c r="H375" s="5">
        <v>13.333333333333334</v>
      </c>
      <c r="I375" s="5">
        <v>183.37661848739492</v>
      </c>
      <c r="J375" s="5">
        <v>11509.182380973143</v>
      </c>
      <c r="K375" s="5">
        <v>13.333333333333334</v>
      </c>
      <c r="L375" s="5">
        <v>183.37661848739492</v>
      </c>
      <c r="M375" s="5">
        <v>11509.182380973143</v>
      </c>
      <c r="N375" s="5">
        <v>0</v>
      </c>
      <c r="O375" s="5">
        <v>0</v>
      </c>
      <c r="P375" s="5">
        <v>0</v>
      </c>
      <c r="Q375" s="5">
        <v>0</v>
      </c>
    </row>
    <row r="376" spans="1:17" x14ac:dyDescent="0.2">
      <c r="A376" s="4" t="s">
        <v>51</v>
      </c>
      <c r="B376" s="25">
        <v>2014</v>
      </c>
      <c r="C376" s="25" t="s">
        <v>50</v>
      </c>
      <c r="D376" s="25">
        <v>3</v>
      </c>
      <c r="E376" s="25">
        <v>1</v>
      </c>
      <c r="F376" s="25">
        <v>0</v>
      </c>
      <c r="G376" s="6" t="str">
        <f t="shared" si="15"/>
        <v>10</v>
      </c>
      <c r="H376" s="5">
        <v>11.666666666666666</v>
      </c>
      <c r="I376" s="5">
        <v>198.14675294117649</v>
      </c>
      <c r="J376" s="5">
        <v>12436.19353769677</v>
      </c>
      <c r="K376" s="5">
        <v>11.666666666666666</v>
      </c>
      <c r="L376" s="5">
        <v>198.14675294117649</v>
      </c>
      <c r="M376" s="5">
        <v>12436.19353769677</v>
      </c>
      <c r="N376" s="5">
        <v>0</v>
      </c>
      <c r="O376" s="5">
        <v>0</v>
      </c>
      <c r="P376" s="5">
        <v>0</v>
      </c>
      <c r="Q376" s="5">
        <v>0</v>
      </c>
    </row>
    <row r="377" spans="1:17" x14ac:dyDescent="0.2">
      <c r="A377" s="4" t="s">
        <v>51</v>
      </c>
      <c r="B377" s="25">
        <v>2014</v>
      </c>
      <c r="C377" s="25" t="s">
        <v>50</v>
      </c>
      <c r="D377" s="25">
        <v>4</v>
      </c>
      <c r="E377" s="25">
        <v>1</v>
      </c>
      <c r="F377" s="25">
        <v>0</v>
      </c>
      <c r="G377" s="6" t="str">
        <f t="shared" si="15"/>
        <v>10</v>
      </c>
      <c r="H377" s="5">
        <v>11.666666666666666</v>
      </c>
      <c r="I377" s="5">
        <v>193.20141176470591</v>
      </c>
      <c r="J377" s="5">
        <v>12125.811363537263</v>
      </c>
      <c r="K377" s="5">
        <v>11.666666666666666</v>
      </c>
      <c r="L377" s="5">
        <v>193.20141176470591</v>
      </c>
      <c r="M377" s="5">
        <v>12125.811363537263</v>
      </c>
      <c r="N377" s="5">
        <v>0</v>
      </c>
      <c r="O377" s="5">
        <v>0</v>
      </c>
      <c r="P377" s="5">
        <v>0</v>
      </c>
      <c r="Q377" s="5">
        <v>0</v>
      </c>
    </row>
    <row r="378" spans="1:17" x14ac:dyDescent="0.2">
      <c r="A378" s="4" t="s">
        <v>80</v>
      </c>
      <c r="B378" s="25">
        <v>2014</v>
      </c>
      <c r="C378" s="25" t="s">
        <v>50</v>
      </c>
      <c r="D378" s="25">
        <v>1</v>
      </c>
      <c r="E378" s="25">
        <v>1</v>
      </c>
      <c r="F378" s="25">
        <v>0</v>
      </c>
      <c r="G378" s="6" t="str">
        <f t="shared" si="15"/>
        <v>10</v>
      </c>
      <c r="H378" s="5">
        <v>13.333333333333334</v>
      </c>
      <c r="I378" s="5">
        <v>195.65573825485967</v>
      </c>
      <c r="J378" s="5">
        <v>12279.8511284246</v>
      </c>
      <c r="K378" s="5">
        <v>13.333333333333334</v>
      </c>
      <c r="L378" s="5">
        <v>195.65573825485967</v>
      </c>
      <c r="M378" s="5">
        <v>12279.8511284246</v>
      </c>
      <c r="N378" s="5">
        <v>0</v>
      </c>
      <c r="O378" s="5">
        <v>0</v>
      </c>
      <c r="P378" s="5">
        <v>0</v>
      </c>
      <c r="Q378" s="5">
        <v>0</v>
      </c>
    </row>
    <row r="379" spans="1:17" x14ac:dyDescent="0.2">
      <c r="A379" s="4" t="s">
        <v>80</v>
      </c>
      <c r="B379" s="25">
        <v>2014</v>
      </c>
      <c r="C379" s="25" t="s">
        <v>50</v>
      </c>
      <c r="D379" s="25">
        <v>2</v>
      </c>
      <c r="E379" s="25">
        <v>1</v>
      </c>
      <c r="F379" s="25">
        <v>0</v>
      </c>
      <c r="G379" s="6" t="str">
        <f t="shared" si="15"/>
        <v>10</v>
      </c>
      <c r="H379" s="5">
        <v>26.666666666666668</v>
      </c>
      <c r="I379" s="5">
        <v>200.14342489396395</v>
      </c>
      <c r="J379" s="5">
        <v>12561.509741306361</v>
      </c>
      <c r="K379" s="5">
        <v>26.666666666666668</v>
      </c>
      <c r="L379" s="5">
        <v>200.14342489396395</v>
      </c>
      <c r="M379" s="5">
        <v>12561.509741306361</v>
      </c>
      <c r="N379" s="5">
        <v>0</v>
      </c>
      <c r="O379" s="5">
        <v>0</v>
      </c>
      <c r="P379" s="5">
        <v>0</v>
      </c>
      <c r="Q379" s="5">
        <v>0</v>
      </c>
    </row>
    <row r="380" spans="1:17" x14ac:dyDescent="0.2">
      <c r="A380" s="4" t="s">
        <v>80</v>
      </c>
      <c r="B380" s="25">
        <v>2014</v>
      </c>
      <c r="C380" s="25" t="s">
        <v>50</v>
      </c>
      <c r="D380" s="25">
        <v>3</v>
      </c>
      <c r="E380" s="25">
        <v>1</v>
      </c>
      <c r="F380" s="25">
        <v>0</v>
      </c>
      <c r="G380" s="6" t="str">
        <f t="shared" si="15"/>
        <v>10</v>
      </c>
      <c r="H380" s="5">
        <v>13.333333333333334</v>
      </c>
      <c r="I380" s="5">
        <v>225.62453573684817</v>
      </c>
      <c r="J380" s="5">
        <v>14160.768983731019</v>
      </c>
      <c r="K380" s="5">
        <v>13.333333333333334</v>
      </c>
      <c r="L380" s="5">
        <v>225.62453573684817</v>
      </c>
      <c r="M380" s="5">
        <v>14160.768983731019</v>
      </c>
      <c r="N380" s="5">
        <v>0</v>
      </c>
      <c r="O380" s="5">
        <v>0</v>
      </c>
      <c r="P380" s="5">
        <v>0</v>
      </c>
      <c r="Q380" s="5">
        <v>0</v>
      </c>
    </row>
    <row r="381" spans="1:17" x14ac:dyDescent="0.2">
      <c r="A381" s="4" t="s">
        <v>80</v>
      </c>
      <c r="B381" s="25">
        <v>2014</v>
      </c>
      <c r="C381" s="25" t="s">
        <v>50</v>
      </c>
      <c r="D381" s="25">
        <v>4</v>
      </c>
      <c r="E381" s="25">
        <v>1</v>
      </c>
      <c r="F381" s="25">
        <v>0</v>
      </c>
      <c r="G381" s="6" t="str">
        <f t="shared" si="15"/>
        <v>10</v>
      </c>
      <c r="H381" s="5">
        <v>41.666666666666664</v>
      </c>
      <c r="I381" s="5">
        <v>227.77236153538229</v>
      </c>
      <c r="J381" s="5">
        <v>14295.571986653595</v>
      </c>
      <c r="K381" s="5">
        <v>41.666666666666664</v>
      </c>
      <c r="L381" s="5">
        <v>227.77236153538229</v>
      </c>
      <c r="M381" s="5">
        <v>14295.571986653595</v>
      </c>
      <c r="N381" s="5">
        <v>0</v>
      </c>
      <c r="O381" s="5">
        <v>0</v>
      </c>
      <c r="P381" s="5">
        <v>0</v>
      </c>
      <c r="Q381" s="5">
        <v>0</v>
      </c>
    </row>
    <row r="382" spans="1:17" x14ac:dyDescent="0.2">
      <c r="A382" s="4" t="s">
        <v>87</v>
      </c>
      <c r="B382" s="4">
        <v>2014</v>
      </c>
      <c r="C382" s="4" t="s">
        <v>50</v>
      </c>
      <c r="D382" s="4">
        <v>1</v>
      </c>
      <c r="E382" s="4">
        <v>1</v>
      </c>
      <c r="F382" s="4">
        <v>0</v>
      </c>
      <c r="G382" s="6" t="str">
        <f t="shared" si="15"/>
        <v>10</v>
      </c>
      <c r="H382" s="5">
        <v>10.5</v>
      </c>
      <c r="I382" s="5">
        <v>198.27910945210084</v>
      </c>
      <c r="J382" s="5">
        <v>12444.500568528198</v>
      </c>
      <c r="K382" s="5">
        <v>10.5</v>
      </c>
      <c r="L382" s="5">
        <v>198.27910945210084</v>
      </c>
      <c r="M382" s="5">
        <v>12444.500568528198</v>
      </c>
      <c r="N382" s="5">
        <v>0</v>
      </c>
      <c r="O382" s="5">
        <v>0</v>
      </c>
      <c r="P382" s="5">
        <v>0</v>
      </c>
      <c r="Q382" s="5">
        <v>0</v>
      </c>
    </row>
    <row r="383" spans="1:17" x14ac:dyDescent="0.2">
      <c r="A383" s="4" t="s">
        <v>87</v>
      </c>
      <c r="B383" s="4">
        <v>2014</v>
      </c>
      <c r="C383" s="4" t="s">
        <v>50</v>
      </c>
      <c r="D383" s="4">
        <v>2</v>
      </c>
      <c r="E383" s="4">
        <v>1</v>
      </c>
      <c r="F383" s="4">
        <v>0</v>
      </c>
      <c r="G383" s="6" t="str">
        <f t="shared" si="15"/>
        <v>10</v>
      </c>
      <c r="H383" s="5">
        <v>12.5</v>
      </c>
      <c r="I383" s="5">
        <v>195.36490518655461</v>
      </c>
      <c r="J383" s="5">
        <v>12261.597706297225</v>
      </c>
      <c r="K383" s="5">
        <v>12.5</v>
      </c>
      <c r="L383" s="5">
        <v>195.36490518655461</v>
      </c>
      <c r="M383" s="5">
        <v>12261.597706297225</v>
      </c>
      <c r="N383" s="5">
        <v>0</v>
      </c>
      <c r="O383" s="5">
        <v>0</v>
      </c>
      <c r="P383" s="5">
        <v>0</v>
      </c>
      <c r="Q383" s="5">
        <v>0</v>
      </c>
    </row>
    <row r="384" spans="1:17" x14ac:dyDescent="0.2">
      <c r="A384" s="4" t="s">
        <v>87</v>
      </c>
      <c r="B384" s="4">
        <v>2014</v>
      </c>
      <c r="C384" s="4" t="s">
        <v>50</v>
      </c>
      <c r="D384" s="4">
        <v>3</v>
      </c>
      <c r="E384" s="4">
        <v>1</v>
      </c>
      <c r="F384" s="4">
        <v>0</v>
      </c>
      <c r="G384" s="6" t="str">
        <f t="shared" si="15"/>
        <v>10</v>
      </c>
      <c r="H384" s="5">
        <v>7.5</v>
      </c>
      <c r="I384" s="5">
        <v>197.00707692100843</v>
      </c>
      <c r="J384" s="5">
        <v>12364.664575719333</v>
      </c>
      <c r="K384" s="5">
        <v>7.5</v>
      </c>
      <c r="L384" s="5">
        <v>197.00707692100843</v>
      </c>
      <c r="M384" s="5">
        <v>12364.664575719333</v>
      </c>
      <c r="N384" s="5">
        <v>0</v>
      </c>
      <c r="O384" s="5">
        <v>0</v>
      </c>
      <c r="P384" s="5">
        <v>0</v>
      </c>
      <c r="Q384" s="5">
        <v>0</v>
      </c>
    </row>
    <row r="385" spans="1:17" x14ac:dyDescent="0.2">
      <c r="A385" s="4" t="s">
        <v>87</v>
      </c>
      <c r="B385" s="4">
        <v>2014</v>
      </c>
      <c r="C385" s="4" t="s">
        <v>50</v>
      </c>
      <c r="D385" s="4">
        <v>4</v>
      </c>
      <c r="E385" s="4">
        <v>1</v>
      </c>
      <c r="F385" s="4">
        <v>0</v>
      </c>
      <c r="G385" s="6" t="str">
        <f t="shared" si="15"/>
        <v>10</v>
      </c>
      <c r="H385" s="5">
        <v>12.5</v>
      </c>
      <c r="I385" s="5">
        <v>198.94150697142859</v>
      </c>
      <c r="J385" s="5">
        <v>12486.074319432386</v>
      </c>
      <c r="K385" s="5">
        <v>12.5</v>
      </c>
      <c r="L385" s="5">
        <v>198.94150697142859</v>
      </c>
      <c r="M385" s="5">
        <v>12486.074319432386</v>
      </c>
      <c r="N385" s="5">
        <v>0</v>
      </c>
      <c r="O385" s="5">
        <v>0</v>
      </c>
      <c r="P385" s="5">
        <v>0</v>
      </c>
      <c r="Q385" s="5">
        <v>0</v>
      </c>
    </row>
    <row r="386" spans="1:17" x14ac:dyDescent="0.2">
      <c r="A386" s="4" t="s">
        <v>77</v>
      </c>
      <c r="B386" s="25">
        <v>2014</v>
      </c>
      <c r="C386" s="25" t="s">
        <v>50</v>
      </c>
      <c r="D386" s="26">
        <v>1</v>
      </c>
      <c r="E386" s="26">
        <v>2</v>
      </c>
      <c r="F386" s="26">
        <v>1</v>
      </c>
      <c r="G386" s="6" t="str">
        <f t="shared" ref="G386:G449" si="19">E386&amp;F386</f>
        <v>21</v>
      </c>
      <c r="H386" s="5">
        <v>1</v>
      </c>
      <c r="I386" s="5">
        <v>214.58377186685181</v>
      </c>
      <c r="J386" s="5">
        <v>13467.822598018374</v>
      </c>
      <c r="K386" s="5">
        <v>5</v>
      </c>
      <c r="L386" s="5">
        <v>203.90911865546221</v>
      </c>
      <c r="M386" s="5">
        <v>12797.85424721705</v>
      </c>
      <c r="N386" s="5">
        <v>80</v>
      </c>
      <c r="O386" s="5">
        <v>10.674653211389597</v>
      </c>
      <c r="P386" s="5">
        <v>669.96835080132405</v>
      </c>
      <c r="Q386" s="5">
        <v>5.2350053208881606</v>
      </c>
    </row>
    <row r="387" spans="1:17" x14ac:dyDescent="0.2">
      <c r="A387" s="4" t="s">
        <v>77</v>
      </c>
      <c r="B387" s="25">
        <v>2014</v>
      </c>
      <c r="C387" s="25" t="s">
        <v>50</v>
      </c>
      <c r="D387" s="26">
        <v>2</v>
      </c>
      <c r="E387" s="26">
        <v>2</v>
      </c>
      <c r="F387" s="26">
        <v>1</v>
      </c>
      <c r="G387" s="6" t="str">
        <f t="shared" si="19"/>
        <v>21</v>
      </c>
      <c r="H387" s="5">
        <v>9.3333333333333339</v>
      </c>
      <c r="I387" s="5">
        <v>219.24050189441141</v>
      </c>
      <c r="J387" s="5">
        <v>13760.090803355695</v>
      </c>
      <c r="K387" s="5">
        <v>31.6666666666667</v>
      </c>
      <c r="L387" s="5">
        <v>233.849114621849</v>
      </c>
      <c r="M387" s="5">
        <v>14676.964446244043</v>
      </c>
      <c r="N387" s="5">
        <v>70.526315789473699</v>
      </c>
      <c r="O387" s="5">
        <v>-14.608612727437588</v>
      </c>
      <c r="P387" s="5">
        <v>-916.8736428883476</v>
      </c>
      <c r="Q387" s="5">
        <v>-6.2470250319573619</v>
      </c>
    </row>
    <row r="388" spans="1:17" x14ac:dyDescent="0.2">
      <c r="A388" s="4" t="s">
        <v>77</v>
      </c>
      <c r="B388" s="25">
        <v>2014</v>
      </c>
      <c r="C388" s="25" t="s">
        <v>50</v>
      </c>
      <c r="D388" s="26">
        <v>3</v>
      </c>
      <c r="E388" s="26">
        <v>2</v>
      </c>
      <c r="F388" s="26">
        <v>1</v>
      </c>
      <c r="G388" s="6" t="str">
        <f t="shared" si="19"/>
        <v>21</v>
      </c>
      <c r="H388" s="5">
        <v>21.666666666666668</v>
      </c>
      <c r="I388" s="5">
        <v>214.64794952932289</v>
      </c>
      <c r="J388" s="5">
        <v>13471.850551136153</v>
      </c>
      <c r="K388" s="5">
        <v>10</v>
      </c>
      <c r="L388" s="5">
        <v>216.62039332828201</v>
      </c>
      <c r="M388" s="5">
        <v>13595.646134268256</v>
      </c>
      <c r="N388" s="5">
        <v>-116.66666666666667</v>
      </c>
      <c r="O388" s="5">
        <v>-1.9724437989591195</v>
      </c>
      <c r="P388" s="5">
        <v>-123.79558313210327</v>
      </c>
      <c r="Q388" s="5">
        <v>-0.91055314259814824</v>
      </c>
    </row>
    <row r="389" spans="1:17" x14ac:dyDescent="0.2">
      <c r="A389" s="4" t="s">
        <v>77</v>
      </c>
      <c r="B389" s="25">
        <v>2014</v>
      </c>
      <c r="C389" s="25" t="s">
        <v>50</v>
      </c>
      <c r="D389" s="26">
        <v>4</v>
      </c>
      <c r="E389" s="26">
        <v>2</v>
      </c>
      <c r="F389" s="26">
        <v>1</v>
      </c>
      <c r="G389" s="6" t="str">
        <f t="shared" si="19"/>
        <v>21</v>
      </c>
      <c r="H389" s="5">
        <v>21.666666666666668</v>
      </c>
      <c r="I389" s="5">
        <v>211.03931487653475</v>
      </c>
      <c r="J389" s="5">
        <v>13245.36347384231</v>
      </c>
      <c r="K389" s="5">
        <v>18.3333333333333</v>
      </c>
      <c r="L389" s="5">
        <v>214.28523421746999</v>
      </c>
      <c r="M389" s="5">
        <v>13449.085616811806</v>
      </c>
      <c r="N389" s="5">
        <v>-18.1818181818184</v>
      </c>
      <c r="O389" s="5">
        <v>-3.2459193409352451</v>
      </c>
      <c r="P389" s="5">
        <v>-203.72214296949642</v>
      </c>
      <c r="Q389" s="5">
        <v>-1.5147657526608123</v>
      </c>
    </row>
    <row r="390" spans="1:17" x14ac:dyDescent="0.2">
      <c r="A390" s="4" t="s">
        <v>86</v>
      </c>
      <c r="B390" s="25">
        <v>2014</v>
      </c>
      <c r="C390" s="25" t="s">
        <v>50</v>
      </c>
      <c r="D390" s="25">
        <v>1</v>
      </c>
      <c r="E390" s="25">
        <v>2</v>
      </c>
      <c r="F390" s="25">
        <v>1</v>
      </c>
      <c r="G390" s="6" t="str">
        <f t="shared" si="19"/>
        <v>21</v>
      </c>
      <c r="H390" s="5">
        <v>0</v>
      </c>
      <c r="I390" s="5">
        <v>172.39510588235294</v>
      </c>
      <c r="J390" s="5">
        <v>10819.954755156325</v>
      </c>
      <c r="K390" s="5">
        <v>0</v>
      </c>
      <c r="L390" s="5" t="s">
        <v>97</v>
      </c>
      <c r="M390" s="5" t="s">
        <v>97</v>
      </c>
      <c r="N390" s="5" t="s">
        <v>97</v>
      </c>
      <c r="O390" s="5" t="s">
        <v>97</v>
      </c>
      <c r="P390" s="5" t="s">
        <v>97</v>
      </c>
      <c r="Q390" s="5" t="s">
        <v>97</v>
      </c>
    </row>
    <row r="391" spans="1:17" x14ac:dyDescent="0.2">
      <c r="A391" s="4" t="s">
        <v>86</v>
      </c>
      <c r="B391" s="25">
        <v>2014</v>
      </c>
      <c r="C391" s="25" t="s">
        <v>50</v>
      </c>
      <c r="D391" s="25">
        <v>2</v>
      </c>
      <c r="E391" s="25">
        <v>2</v>
      </c>
      <c r="F391" s="25">
        <v>1</v>
      </c>
      <c r="G391" s="6" t="str">
        <f t="shared" si="19"/>
        <v>21</v>
      </c>
      <c r="H391" s="5">
        <v>0</v>
      </c>
      <c r="I391" s="5">
        <v>103.51905882352941</v>
      </c>
      <c r="J391" s="5">
        <v>6497.1190860332272</v>
      </c>
      <c r="K391" s="5">
        <v>0</v>
      </c>
      <c r="L391" s="5">
        <v>141.80000000000001</v>
      </c>
      <c r="M391" s="5">
        <v>8899.7281937237458</v>
      </c>
      <c r="N391" s="5" t="s">
        <v>97</v>
      </c>
      <c r="O391" s="5">
        <v>-38.280941176470606</v>
      </c>
      <c r="P391" s="5">
        <v>-2402.6091076905186</v>
      </c>
      <c r="Q391" s="5">
        <v>-26.996432423463034</v>
      </c>
    </row>
    <row r="392" spans="1:17" x14ac:dyDescent="0.2">
      <c r="A392" s="4" t="s">
        <v>86</v>
      </c>
      <c r="B392" s="25">
        <v>2014</v>
      </c>
      <c r="C392" s="25" t="s">
        <v>50</v>
      </c>
      <c r="D392" s="25">
        <v>3</v>
      </c>
      <c r="E392" s="25">
        <v>2</v>
      </c>
      <c r="F392" s="25">
        <v>1</v>
      </c>
      <c r="G392" s="6" t="str">
        <f t="shared" si="19"/>
        <v>21</v>
      </c>
      <c r="H392" s="5">
        <v>0</v>
      </c>
      <c r="I392" s="5">
        <v>155.34667361344535</v>
      </c>
      <c r="J392" s="5">
        <v>9749.9518403299026</v>
      </c>
      <c r="K392" s="5">
        <v>0</v>
      </c>
      <c r="L392" s="5">
        <v>147.9</v>
      </c>
      <c r="M392" s="5">
        <v>9282.5796886582648</v>
      </c>
      <c r="N392" s="5" t="s">
        <v>97</v>
      </c>
      <c r="O392" s="5">
        <v>7.4466736134453413</v>
      </c>
      <c r="P392" s="5">
        <v>467.37215167163777</v>
      </c>
      <c r="Q392" s="5">
        <v>5.0349382105783285</v>
      </c>
    </row>
    <row r="393" spans="1:17" x14ac:dyDescent="0.2">
      <c r="A393" s="4" t="s">
        <v>86</v>
      </c>
      <c r="B393" s="25">
        <v>2014</v>
      </c>
      <c r="C393" s="25" t="s">
        <v>50</v>
      </c>
      <c r="D393" s="25">
        <v>4</v>
      </c>
      <c r="E393" s="25">
        <v>2</v>
      </c>
      <c r="F393" s="25">
        <v>1</v>
      </c>
      <c r="G393" s="6" t="str">
        <f t="shared" si="19"/>
        <v>21</v>
      </c>
      <c r="H393" s="5">
        <v>0</v>
      </c>
      <c r="I393" s="5">
        <v>167.04491294117648</v>
      </c>
      <c r="J393" s="5">
        <v>10484.163055858371</v>
      </c>
      <c r="K393" s="5">
        <v>0</v>
      </c>
      <c r="L393" s="5">
        <v>158.6</v>
      </c>
      <c r="M393" s="5">
        <v>9954.138868297503</v>
      </c>
      <c r="N393" s="5" t="s">
        <v>97</v>
      </c>
      <c r="O393" s="5">
        <v>8.4449129411764829</v>
      </c>
      <c r="P393" s="5">
        <v>530.02418756086809</v>
      </c>
      <c r="Q393" s="5">
        <v>5.3246613752689216</v>
      </c>
    </row>
    <row r="394" spans="1:17" x14ac:dyDescent="0.2">
      <c r="A394" s="4" t="s">
        <v>51</v>
      </c>
      <c r="B394" s="25">
        <v>2014</v>
      </c>
      <c r="C394" s="25" t="s">
        <v>50</v>
      </c>
      <c r="D394" s="25">
        <v>1</v>
      </c>
      <c r="E394" s="25">
        <v>2</v>
      </c>
      <c r="F394" s="25">
        <v>1</v>
      </c>
      <c r="G394" s="6" t="str">
        <f t="shared" si="19"/>
        <v>21</v>
      </c>
      <c r="H394" s="5">
        <v>11.666666666666666</v>
      </c>
      <c r="I394" s="5">
        <v>181.23613865546218</v>
      </c>
      <c r="J394" s="5">
        <v>11374.840429574349</v>
      </c>
      <c r="K394" s="5">
        <v>11.666666666666666</v>
      </c>
      <c r="L394" s="5">
        <v>201.86765546218487</v>
      </c>
      <c r="M394" s="5">
        <v>12669.726831577702</v>
      </c>
      <c r="N394" s="5">
        <v>0</v>
      </c>
      <c r="O394" s="5">
        <v>-20.631516806722686</v>
      </c>
      <c r="P394" s="5">
        <v>-1294.8864020033525</v>
      </c>
      <c r="Q394" s="5">
        <v>-10.220318237454109</v>
      </c>
    </row>
    <row r="395" spans="1:17" x14ac:dyDescent="0.2">
      <c r="A395" s="4" t="s">
        <v>51</v>
      </c>
      <c r="B395" s="25">
        <v>2014</v>
      </c>
      <c r="C395" s="25" t="s">
        <v>50</v>
      </c>
      <c r="D395" s="25">
        <v>2</v>
      </c>
      <c r="E395" s="25">
        <v>2</v>
      </c>
      <c r="F395" s="25">
        <v>1</v>
      </c>
      <c r="G395" s="6" t="str">
        <f t="shared" si="19"/>
        <v>21</v>
      </c>
      <c r="H395" s="5">
        <v>8.3333333333333339</v>
      </c>
      <c r="I395" s="5">
        <v>193.46679831932772</v>
      </c>
      <c r="J395" s="5">
        <v>12142.467697827833</v>
      </c>
      <c r="K395" s="5">
        <v>13.3333333333333</v>
      </c>
      <c r="L395" s="5">
        <v>183.37661848739501</v>
      </c>
      <c r="M395" s="5">
        <v>11509.182380973149</v>
      </c>
      <c r="N395" s="5">
        <v>37.499999999999837</v>
      </c>
      <c r="O395" s="5">
        <v>10.090179831932716</v>
      </c>
      <c r="P395" s="5">
        <v>633.28531685468442</v>
      </c>
      <c r="Q395" s="5">
        <v>5.5024353241775428</v>
      </c>
    </row>
    <row r="396" spans="1:17" x14ac:dyDescent="0.2">
      <c r="A396" s="4" t="s">
        <v>51</v>
      </c>
      <c r="B396" s="25">
        <v>2014</v>
      </c>
      <c r="C396" s="25" t="s">
        <v>50</v>
      </c>
      <c r="D396" s="25">
        <v>3</v>
      </c>
      <c r="E396" s="25">
        <v>2</v>
      </c>
      <c r="F396" s="25">
        <v>1</v>
      </c>
      <c r="G396" s="6" t="str">
        <f t="shared" si="19"/>
        <v>21</v>
      </c>
      <c r="H396" s="5">
        <v>11.666666666666666</v>
      </c>
      <c r="I396" s="5">
        <v>197.6443487394958</v>
      </c>
      <c r="J396" s="5">
        <v>12404.661373815648</v>
      </c>
      <c r="K396" s="5">
        <v>11.6666666666667</v>
      </c>
      <c r="L396" s="5">
        <v>198.146752941176</v>
      </c>
      <c r="M396" s="5">
        <v>12436.193537696739</v>
      </c>
      <c r="N396" s="5">
        <v>2.8929239955946851E-13</v>
      </c>
      <c r="O396" s="5">
        <v>-0.50240420168020705</v>
      </c>
      <c r="P396" s="5">
        <v>-31.532163881091037</v>
      </c>
      <c r="Q396" s="5">
        <v>-0.25355156934081446</v>
      </c>
    </row>
    <row r="397" spans="1:17" x14ac:dyDescent="0.2">
      <c r="A397" s="4" t="s">
        <v>51</v>
      </c>
      <c r="B397" s="25">
        <v>2014</v>
      </c>
      <c r="C397" s="25" t="s">
        <v>50</v>
      </c>
      <c r="D397" s="25">
        <v>4</v>
      </c>
      <c r="E397" s="25">
        <v>2</v>
      </c>
      <c r="F397" s="25">
        <v>1</v>
      </c>
      <c r="G397" s="6" t="str">
        <f t="shared" si="19"/>
        <v>21</v>
      </c>
      <c r="H397" s="5">
        <v>10</v>
      </c>
      <c r="I397" s="5">
        <v>175.45986302521007</v>
      </c>
      <c r="J397" s="5">
        <v>11012.306698394701</v>
      </c>
      <c r="K397" s="5">
        <v>11.6666666666667</v>
      </c>
      <c r="L397" s="5">
        <v>193.20141176470599</v>
      </c>
      <c r="M397" s="5">
        <v>12125.811363537268</v>
      </c>
      <c r="N397" s="5">
        <v>14.28571428571453</v>
      </c>
      <c r="O397" s="5">
        <v>-17.741548739495926</v>
      </c>
      <c r="P397" s="5">
        <v>-1113.5046651425673</v>
      </c>
      <c r="Q397" s="5">
        <v>-9.1829291398257613</v>
      </c>
    </row>
    <row r="398" spans="1:17" x14ac:dyDescent="0.2">
      <c r="A398" s="4" t="s">
        <v>80</v>
      </c>
      <c r="B398" s="25">
        <v>2014</v>
      </c>
      <c r="C398" s="25" t="s">
        <v>50</v>
      </c>
      <c r="D398" s="25">
        <v>1</v>
      </c>
      <c r="E398" s="25">
        <v>2</v>
      </c>
      <c r="F398" s="25">
        <v>1</v>
      </c>
      <c r="G398" s="6" t="str">
        <f t="shared" si="19"/>
        <v>21</v>
      </c>
      <c r="H398" s="5">
        <v>23.333333333333332</v>
      </c>
      <c r="I398" s="5">
        <v>203.7711176674359</v>
      </c>
      <c r="J398" s="5">
        <v>12789.192954664868</v>
      </c>
      <c r="K398" s="5">
        <v>13.333333333333334</v>
      </c>
      <c r="L398" s="5">
        <v>195.65573825485967</v>
      </c>
      <c r="M398" s="5">
        <v>12279.8511284246</v>
      </c>
      <c r="N398" s="5">
        <v>-74.999999999999986</v>
      </c>
      <c r="O398" s="5">
        <v>8.1153794125762317</v>
      </c>
      <c r="P398" s="5">
        <v>509.34182624026835</v>
      </c>
      <c r="Q398" s="5">
        <v>4.1477850253516273</v>
      </c>
    </row>
    <row r="399" spans="1:17" x14ac:dyDescent="0.2">
      <c r="A399" s="4" t="s">
        <v>80</v>
      </c>
      <c r="B399" s="25">
        <v>2014</v>
      </c>
      <c r="C399" s="25" t="s">
        <v>50</v>
      </c>
      <c r="D399" s="25">
        <v>2</v>
      </c>
      <c r="E399" s="25">
        <v>2</v>
      </c>
      <c r="F399" s="25">
        <v>1</v>
      </c>
      <c r="G399" s="6" t="str">
        <f t="shared" si="19"/>
        <v>21</v>
      </c>
      <c r="H399" s="5">
        <v>43.333333333333336</v>
      </c>
      <c r="I399" s="5">
        <v>193.5490432126322</v>
      </c>
      <c r="J399" s="5">
        <v>12147.629596246252</v>
      </c>
      <c r="K399" s="5">
        <v>26.6666666666667</v>
      </c>
      <c r="L399" s="5">
        <v>200.14342489396401</v>
      </c>
      <c r="M399" s="5">
        <v>12561.509741306365</v>
      </c>
      <c r="N399" s="5">
        <v>-62.499999999999808</v>
      </c>
      <c r="O399" s="5">
        <v>-6.5943816813318108</v>
      </c>
      <c r="P399" s="5">
        <v>-413.88014506011314</v>
      </c>
      <c r="Q399" s="5">
        <v>-3.2948280388553886</v>
      </c>
    </row>
    <row r="400" spans="1:17" x14ac:dyDescent="0.2">
      <c r="A400" s="4" t="s">
        <v>80</v>
      </c>
      <c r="B400" s="25">
        <v>2014</v>
      </c>
      <c r="C400" s="25" t="s">
        <v>50</v>
      </c>
      <c r="D400" s="25">
        <v>3</v>
      </c>
      <c r="E400" s="25">
        <v>2</v>
      </c>
      <c r="F400" s="25">
        <v>1</v>
      </c>
      <c r="G400" s="6" t="str">
        <f t="shared" si="19"/>
        <v>21</v>
      </c>
      <c r="H400" s="5">
        <v>41.666666666666664</v>
      </c>
      <c r="I400" s="5">
        <v>223.88625380390118</v>
      </c>
      <c r="J400" s="5">
        <v>14051.669994116852</v>
      </c>
      <c r="K400" s="5">
        <v>13.3333333333333</v>
      </c>
      <c r="L400" s="5">
        <v>225.624535736848</v>
      </c>
      <c r="M400" s="5">
        <v>14160.768983731008</v>
      </c>
      <c r="N400" s="5">
        <v>-212.50000000000077</v>
      </c>
      <c r="O400" s="5">
        <v>-1.7382819329468191</v>
      </c>
      <c r="P400" s="5">
        <v>-109.09898961415638</v>
      </c>
      <c r="Q400" s="5">
        <v>-0.77043125086990527</v>
      </c>
    </row>
    <row r="401" spans="1:17" x14ac:dyDescent="0.2">
      <c r="A401" s="4" t="s">
        <v>80</v>
      </c>
      <c r="B401" s="25">
        <v>2014</v>
      </c>
      <c r="C401" s="25" t="s">
        <v>50</v>
      </c>
      <c r="D401" s="25">
        <v>4</v>
      </c>
      <c r="E401" s="25">
        <v>2</v>
      </c>
      <c r="F401" s="25">
        <v>1</v>
      </c>
      <c r="G401" s="6" t="str">
        <f t="shared" si="19"/>
        <v>21</v>
      </c>
      <c r="H401" s="5">
        <v>40</v>
      </c>
      <c r="I401" s="5">
        <v>205.33154901212976</v>
      </c>
      <c r="J401" s="5">
        <v>12887.129589592527</v>
      </c>
      <c r="K401" s="5">
        <v>41.6666666666667</v>
      </c>
      <c r="L401" s="5">
        <v>227.772361535382</v>
      </c>
      <c r="M401" s="5">
        <v>14295.571986653578</v>
      </c>
      <c r="N401" s="5">
        <v>4.0000000000000764</v>
      </c>
      <c r="O401" s="5">
        <v>-22.440812523252248</v>
      </c>
      <c r="P401" s="5">
        <v>-1408.4423970610515</v>
      </c>
      <c r="Q401" s="5">
        <v>-9.8522983087069242</v>
      </c>
    </row>
    <row r="402" spans="1:17" x14ac:dyDescent="0.2">
      <c r="A402" s="4" t="s">
        <v>87</v>
      </c>
      <c r="B402" s="4">
        <v>2014</v>
      </c>
      <c r="C402" s="4" t="s">
        <v>50</v>
      </c>
      <c r="D402" s="4">
        <v>1</v>
      </c>
      <c r="E402" s="4">
        <v>2</v>
      </c>
      <c r="F402" s="4">
        <v>1</v>
      </c>
      <c r="G402" s="6" t="str">
        <f t="shared" si="19"/>
        <v>21</v>
      </c>
      <c r="H402" s="5">
        <v>15</v>
      </c>
      <c r="I402" s="5">
        <v>195.80236838319325</v>
      </c>
      <c r="J402" s="5">
        <v>12289.054007741805</v>
      </c>
      <c r="K402" s="5">
        <v>10.5</v>
      </c>
      <c r="L402" s="5">
        <v>198.27910945210084</v>
      </c>
      <c r="M402" s="5">
        <v>12444.500568528198</v>
      </c>
      <c r="N402" s="5">
        <v>-42.857142857142854</v>
      </c>
      <c r="O402" s="5">
        <v>-2.4767410689075859</v>
      </c>
      <c r="P402" s="5">
        <v>-155.44656078639309</v>
      </c>
      <c r="Q402" s="5">
        <v>-1.249118515688072</v>
      </c>
    </row>
    <row r="403" spans="1:17" x14ac:dyDescent="0.2">
      <c r="A403" s="4" t="s">
        <v>87</v>
      </c>
      <c r="B403" s="4">
        <v>2014</v>
      </c>
      <c r="C403" s="4" t="s">
        <v>50</v>
      </c>
      <c r="D403" s="4">
        <v>2</v>
      </c>
      <c r="E403" s="4">
        <v>2</v>
      </c>
      <c r="F403" s="4">
        <v>1</v>
      </c>
      <c r="G403" s="6" t="str">
        <f t="shared" si="19"/>
        <v>21</v>
      </c>
      <c r="H403" s="5">
        <v>3</v>
      </c>
      <c r="I403" s="5">
        <v>197.35972257478991</v>
      </c>
      <c r="J403" s="5">
        <v>12386.797512724645</v>
      </c>
      <c r="K403" s="5">
        <v>12.5</v>
      </c>
      <c r="L403" s="5">
        <v>195.36490518655501</v>
      </c>
      <c r="M403" s="5">
        <v>12261.597706297251</v>
      </c>
      <c r="N403" s="5">
        <v>76</v>
      </c>
      <c r="O403" s="5">
        <v>1.9948173882349067</v>
      </c>
      <c r="P403" s="5">
        <v>125.19980642739392</v>
      </c>
      <c r="Q403" s="5">
        <v>1.0210725341534768</v>
      </c>
    </row>
    <row r="404" spans="1:17" x14ac:dyDescent="0.2">
      <c r="A404" s="4" t="s">
        <v>87</v>
      </c>
      <c r="B404" s="4">
        <v>2014</v>
      </c>
      <c r="C404" s="4" t="s">
        <v>50</v>
      </c>
      <c r="D404" s="4">
        <v>3</v>
      </c>
      <c r="E404" s="4">
        <v>2</v>
      </c>
      <c r="F404" s="4">
        <v>1</v>
      </c>
      <c r="G404" s="6" t="str">
        <f t="shared" si="19"/>
        <v>21</v>
      </c>
      <c r="H404" s="5">
        <v>5</v>
      </c>
      <c r="I404" s="5">
        <v>200.3169926722689</v>
      </c>
      <c r="J404" s="5">
        <v>12572.403295961527</v>
      </c>
      <c r="K404" s="5">
        <v>7.5</v>
      </c>
      <c r="L404" s="5">
        <v>197.00707692100801</v>
      </c>
      <c r="M404" s="5">
        <v>12364.664575719307</v>
      </c>
      <c r="N404" s="5">
        <v>33.333333333333329</v>
      </c>
      <c r="O404" s="5">
        <v>3.3099157512608883</v>
      </c>
      <c r="P404" s="5">
        <v>207.73872024221964</v>
      </c>
      <c r="Q404" s="5">
        <v>1.6800999248306303</v>
      </c>
    </row>
    <row r="405" spans="1:17" x14ac:dyDescent="0.2">
      <c r="A405" s="4" t="s">
        <v>87</v>
      </c>
      <c r="B405" s="4">
        <v>2014</v>
      </c>
      <c r="C405" s="4" t="s">
        <v>50</v>
      </c>
      <c r="D405" s="4">
        <v>4</v>
      </c>
      <c r="E405" s="4">
        <v>2</v>
      </c>
      <c r="F405" s="4">
        <v>1</v>
      </c>
      <c r="G405" s="6" t="str">
        <f t="shared" si="19"/>
        <v>21</v>
      </c>
      <c r="H405" s="5">
        <v>10</v>
      </c>
      <c r="I405" s="5">
        <v>208.5233306218488</v>
      </c>
      <c r="J405" s="5">
        <v>13087.453911032764</v>
      </c>
      <c r="K405" s="5">
        <v>12.5</v>
      </c>
      <c r="L405" s="5">
        <v>198.94150697142899</v>
      </c>
      <c r="M405" s="5">
        <v>12486.07431943241</v>
      </c>
      <c r="N405" s="5">
        <v>20</v>
      </c>
      <c r="O405" s="5">
        <v>9.5818236504198069</v>
      </c>
      <c r="P405" s="5">
        <v>601.37959160035462</v>
      </c>
      <c r="Q405" s="5">
        <v>4.8164024673824946</v>
      </c>
    </row>
    <row r="406" spans="1:17" x14ac:dyDescent="0.2">
      <c r="A406" s="4" t="s">
        <v>77</v>
      </c>
      <c r="B406" s="25">
        <v>2014</v>
      </c>
      <c r="C406" s="25" t="s">
        <v>50</v>
      </c>
      <c r="D406" s="26">
        <v>1</v>
      </c>
      <c r="E406" s="26">
        <v>3</v>
      </c>
      <c r="F406" s="26">
        <v>1</v>
      </c>
      <c r="G406" s="6" t="str">
        <f t="shared" si="19"/>
        <v>31</v>
      </c>
      <c r="H406" s="5">
        <v>6</v>
      </c>
      <c r="I406" s="5">
        <v>194.37849152620993</v>
      </c>
      <c r="J406" s="5">
        <v>12199.687879332178</v>
      </c>
      <c r="K406" s="5">
        <v>5</v>
      </c>
      <c r="L406" s="5">
        <v>203.90911865546221</v>
      </c>
      <c r="M406" s="5">
        <v>12797.85424721705</v>
      </c>
      <c r="N406" s="5">
        <v>-20</v>
      </c>
      <c r="O406" s="5">
        <v>-9.5306271292522808</v>
      </c>
      <c r="P406" s="5">
        <v>-598.16636788487267</v>
      </c>
      <c r="Q406" s="5">
        <v>-4.6739582771459256</v>
      </c>
    </row>
    <row r="407" spans="1:17" x14ac:dyDescent="0.2">
      <c r="A407" s="4" t="s">
        <v>77</v>
      </c>
      <c r="B407" s="25">
        <v>2014</v>
      </c>
      <c r="C407" s="25" t="s">
        <v>50</v>
      </c>
      <c r="D407" s="26">
        <v>2</v>
      </c>
      <c r="E407" s="26">
        <v>3</v>
      </c>
      <c r="F407" s="26">
        <v>1</v>
      </c>
      <c r="G407" s="6" t="str">
        <f t="shared" si="19"/>
        <v>31</v>
      </c>
      <c r="H407" s="5">
        <v>13.333333333333334</v>
      </c>
      <c r="I407" s="5">
        <v>212.13968722344126</v>
      </c>
      <c r="J407" s="5">
        <v>13314.425637448499</v>
      </c>
      <c r="K407" s="5">
        <v>31.6666666666667</v>
      </c>
      <c r="L407" s="5">
        <v>233.849114621849</v>
      </c>
      <c r="M407" s="5">
        <v>14676.964446244043</v>
      </c>
      <c r="N407" s="5">
        <v>57.894736842105296</v>
      </c>
      <c r="O407" s="5">
        <v>-21.70942739840774</v>
      </c>
      <c r="P407" s="5">
        <v>-1362.5388087955434</v>
      </c>
      <c r="Q407" s="5">
        <v>-9.283519175821322</v>
      </c>
    </row>
    <row r="408" spans="1:17" x14ac:dyDescent="0.2">
      <c r="A408" s="4" t="s">
        <v>77</v>
      </c>
      <c r="B408" s="25">
        <v>2014</v>
      </c>
      <c r="C408" s="25" t="s">
        <v>50</v>
      </c>
      <c r="D408" s="26">
        <v>3</v>
      </c>
      <c r="E408" s="26">
        <v>3</v>
      </c>
      <c r="F408" s="26">
        <v>1</v>
      </c>
      <c r="G408" s="6" t="str">
        <f t="shared" si="19"/>
        <v>31</v>
      </c>
      <c r="H408" s="5">
        <v>36.666666666666664</v>
      </c>
      <c r="I408" s="5">
        <v>210.31694756456207</v>
      </c>
      <c r="J408" s="5">
        <v>13200.025866419264</v>
      </c>
      <c r="K408" s="5">
        <v>10</v>
      </c>
      <c r="L408" s="5">
        <v>216.62039332828175</v>
      </c>
      <c r="M408" s="5">
        <v>13595.64613426824</v>
      </c>
      <c r="N408" s="5">
        <v>-266.66666666666663</v>
      </c>
      <c r="O408" s="5">
        <v>-6.3034457637196795</v>
      </c>
      <c r="P408" s="5">
        <v>-395.62026784897535</v>
      </c>
      <c r="Q408" s="5">
        <v>-2.9099041262320178</v>
      </c>
    </row>
    <row r="409" spans="1:17" x14ac:dyDescent="0.2">
      <c r="A409" s="4" t="s">
        <v>77</v>
      </c>
      <c r="B409" s="25">
        <v>2014</v>
      </c>
      <c r="C409" s="25" t="s">
        <v>50</v>
      </c>
      <c r="D409" s="26">
        <v>4</v>
      </c>
      <c r="E409" s="26">
        <v>3</v>
      </c>
      <c r="F409" s="26">
        <v>1</v>
      </c>
      <c r="G409" s="6" t="str">
        <f t="shared" si="19"/>
        <v>31</v>
      </c>
      <c r="H409" s="5">
        <v>6</v>
      </c>
      <c r="I409" s="5">
        <v>243.25449188664498</v>
      </c>
      <c r="J409" s="5">
        <v>15267.269814481795</v>
      </c>
      <c r="K409" s="5">
        <v>18.3333333333333</v>
      </c>
      <c r="L409" s="5">
        <v>214.28523421746999</v>
      </c>
      <c r="M409" s="5">
        <v>13449.085616811806</v>
      </c>
      <c r="N409" s="5">
        <v>67.272727272727224</v>
      </c>
      <c r="O409" s="5">
        <v>28.969257669174993</v>
      </c>
      <c r="P409" s="5">
        <v>1818.1841976699889</v>
      </c>
      <c r="Q409" s="5">
        <v>13.51901719918563</v>
      </c>
    </row>
    <row r="410" spans="1:17" x14ac:dyDescent="0.2">
      <c r="A410" s="4" t="s">
        <v>86</v>
      </c>
      <c r="B410" s="25">
        <v>2014</v>
      </c>
      <c r="C410" s="25" t="s">
        <v>50</v>
      </c>
      <c r="D410" s="25">
        <v>1</v>
      </c>
      <c r="E410" s="25">
        <v>3</v>
      </c>
      <c r="F410" s="25">
        <v>1</v>
      </c>
      <c r="G410" s="6" t="str">
        <f t="shared" si="19"/>
        <v>31</v>
      </c>
      <c r="H410" s="5">
        <v>0</v>
      </c>
      <c r="I410" s="5">
        <v>170.33643831932773</v>
      </c>
      <c r="J410" s="5">
        <v>10690.747549569865</v>
      </c>
      <c r="K410" s="5">
        <v>0</v>
      </c>
      <c r="L410" s="5" t="s">
        <v>97</v>
      </c>
      <c r="M410" s="5" t="s">
        <v>97</v>
      </c>
      <c r="N410" s="5" t="s">
        <v>97</v>
      </c>
      <c r="O410" s="5" t="s">
        <v>97</v>
      </c>
      <c r="P410" s="5" t="s">
        <v>97</v>
      </c>
      <c r="Q410" s="5" t="s">
        <v>97</v>
      </c>
    </row>
    <row r="411" spans="1:17" x14ac:dyDescent="0.2">
      <c r="A411" s="4" t="s">
        <v>86</v>
      </c>
      <c r="B411" s="25">
        <v>2014</v>
      </c>
      <c r="C411" s="25" t="s">
        <v>50</v>
      </c>
      <c r="D411" s="25">
        <v>2</v>
      </c>
      <c r="E411" s="25">
        <v>3</v>
      </c>
      <c r="F411" s="25">
        <v>1</v>
      </c>
      <c r="G411" s="6" t="str">
        <f t="shared" si="19"/>
        <v>31</v>
      </c>
      <c r="H411" s="5">
        <v>0</v>
      </c>
      <c r="I411" s="5">
        <v>171.66007663865548</v>
      </c>
      <c r="J411" s="5">
        <v>10773.822452734987</v>
      </c>
      <c r="K411" s="5">
        <v>0</v>
      </c>
      <c r="L411" s="5">
        <v>141.80000000000001</v>
      </c>
      <c r="M411" s="5">
        <v>8899.7281937237458</v>
      </c>
      <c r="N411" s="5" t="s">
        <v>97</v>
      </c>
      <c r="O411" s="5">
        <v>29.860076638655471</v>
      </c>
      <c r="P411" s="5">
        <v>1874.0942590112409</v>
      </c>
      <c r="Q411" s="5">
        <v>21.05788197366395</v>
      </c>
    </row>
    <row r="412" spans="1:17" x14ac:dyDescent="0.2">
      <c r="A412" s="4" t="s">
        <v>86</v>
      </c>
      <c r="B412" s="25">
        <v>2014</v>
      </c>
      <c r="C412" s="25" t="s">
        <v>50</v>
      </c>
      <c r="D412" s="25">
        <v>3</v>
      </c>
      <c r="E412" s="25">
        <v>3</v>
      </c>
      <c r="F412" s="25">
        <v>1</v>
      </c>
      <c r="G412" s="6" t="str">
        <f t="shared" si="19"/>
        <v>31</v>
      </c>
      <c r="H412" s="5">
        <v>0</v>
      </c>
      <c r="I412" s="5">
        <v>153.49519058823529</v>
      </c>
      <c r="J412" s="5">
        <v>9633.7480626171891</v>
      </c>
      <c r="K412" s="5">
        <v>0</v>
      </c>
      <c r="L412" s="5">
        <v>147.9</v>
      </c>
      <c r="M412" s="5">
        <v>9282.5796886582648</v>
      </c>
      <c r="N412" s="5" t="s">
        <v>97</v>
      </c>
      <c r="O412" s="5">
        <v>5.5951905882352833</v>
      </c>
      <c r="P412" s="5">
        <v>351.16837395892435</v>
      </c>
      <c r="Q412" s="5">
        <v>3.7830903233504416</v>
      </c>
    </row>
    <row r="413" spans="1:17" x14ac:dyDescent="0.2">
      <c r="A413" s="4" t="s">
        <v>86</v>
      </c>
      <c r="B413" s="25">
        <v>2014</v>
      </c>
      <c r="C413" s="25" t="s">
        <v>50</v>
      </c>
      <c r="D413" s="25">
        <v>4</v>
      </c>
      <c r="E413" s="25">
        <v>3</v>
      </c>
      <c r="F413" s="25">
        <v>1</v>
      </c>
      <c r="G413" s="6" t="str">
        <f t="shared" si="19"/>
        <v>31</v>
      </c>
      <c r="H413" s="5">
        <v>0</v>
      </c>
      <c r="I413" s="5">
        <v>130.23195428571427</v>
      </c>
      <c r="J413" s="5">
        <v>8173.6882600868357</v>
      </c>
      <c r="K413" s="5">
        <v>0</v>
      </c>
      <c r="L413" s="5">
        <v>158.6</v>
      </c>
      <c r="M413" s="5">
        <v>9954.138868297503</v>
      </c>
      <c r="N413" s="5" t="s">
        <v>97</v>
      </c>
      <c r="O413" s="5">
        <v>-28.368045714285728</v>
      </c>
      <c r="P413" s="5">
        <v>-1780.4506082106673</v>
      </c>
      <c r="Q413" s="5">
        <v>-17.886535759322644</v>
      </c>
    </row>
    <row r="414" spans="1:17" x14ac:dyDescent="0.2">
      <c r="A414" s="4" t="s">
        <v>51</v>
      </c>
      <c r="B414" s="25">
        <v>2014</v>
      </c>
      <c r="C414" s="25" t="s">
        <v>50</v>
      </c>
      <c r="D414" s="25">
        <v>1</v>
      </c>
      <c r="E414" s="25">
        <v>3</v>
      </c>
      <c r="F414" s="25">
        <v>1</v>
      </c>
      <c r="G414" s="6" t="str">
        <f t="shared" si="19"/>
        <v>31</v>
      </c>
      <c r="H414" s="5">
        <v>8.3333333333333339</v>
      </c>
      <c r="I414" s="5">
        <v>200.87931932773108</v>
      </c>
      <c r="J414" s="5">
        <v>12607.696345254188</v>
      </c>
      <c r="K414" s="5">
        <v>11.666666666666666</v>
      </c>
      <c r="L414" s="5">
        <v>201.86765546218487</v>
      </c>
      <c r="M414" s="5">
        <v>12669.726831577702</v>
      </c>
      <c r="N414" s="5">
        <v>28.571428571428566</v>
      </c>
      <c r="O414" s="5">
        <v>-0.98833613445378887</v>
      </c>
      <c r="P414" s="5">
        <v>-62.030486323514197</v>
      </c>
      <c r="Q414" s="5">
        <v>-0.48959608323133696</v>
      </c>
    </row>
    <row r="415" spans="1:17" x14ac:dyDescent="0.2">
      <c r="A415" s="4" t="s">
        <v>51</v>
      </c>
      <c r="B415" s="25">
        <v>2014</v>
      </c>
      <c r="C415" s="25" t="s">
        <v>50</v>
      </c>
      <c r="D415" s="25">
        <v>2</v>
      </c>
      <c r="E415" s="25">
        <v>3</v>
      </c>
      <c r="F415" s="25">
        <v>1</v>
      </c>
      <c r="G415" s="6" t="str">
        <f t="shared" si="19"/>
        <v>31</v>
      </c>
      <c r="H415" s="5">
        <v>6.666666666666667</v>
      </c>
      <c r="I415" s="5">
        <v>197.40184033613446</v>
      </c>
      <c r="J415" s="5">
        <v>12389.440930412195</v>
      </c>
      <c r="K415" s="5">
        <v>13.333333333333334</v>
      </c>
      <c r="L415" s="5">
        <v>183.37661848739492</v>
      </c>
      <c r="M415" s="5">
        <v>11509.182380973143</v>
      </c>
      <c r="N415" s="5">
        <v>50</v>
      </c>
      <c r="O415" s="5">
        <v>14.025221848739534</v>
      </c>
      <c r="P415" s="5">
        <v>880.25854943905142</v>
      </c>
      <c r="Q415" s="5">
        <v>7.648315234749302</v>
      </c>
    </row>
    <row r="416" spans="1:17" x14ac:dyDescent="0.2">
      <c r="A416" s="4" t="s">
        <v>51</v>
      </c>
      <c r="B416" s="25">
        <v>2014</v>
      </c>
      <c r="C416" s="25" t="s">
        <v>50</v>
      </c>
      <c r="D416" s="25">
        <v>3</v>
      </c>
      <c r="E416" s="25">
        <v>3</v>
      </c>
      <c r="F416" s="25">
        <v>1</v>
      </c>
      <c r="G416" s="6" t="str">
        <f t="shared" si="19"/>
        <v>31</v>
      </c>
      <c r="H416" s="5">
        <v>8.3333333333333339</v>
      </c>
      <c r="I416" s="5">
        <v>201.62057142857142</v>
      </c>
      <c r="J416" s="5">
        <v>12654.219209996823</v>
      </c>
      <c r="K416" s="5">
        <v>11.666666666666666</v>
      </c>
      <c r="L416" s="5">
        <v>198.14675294117649</v>
      </c>
      <c r="M416" s="5">
        <v>12436.19353769677</v>
      </c>
      <c r="N416" s="5">
        <v>28.571428571428566</v>
      </c>
      <c r="O416" s="5">
        <v>3.4738184873949365</v>
      </c>
      <c r="P416" s="5">
        <v>218.02567230005297</v>
      </c>
      <c r="Q416" s="5">
        <v>1.7531543847333222</v>
      </c>
    </row>
    <row r="417" spans="1:17" x14ac:dyDescent="0.2">
      <c r="A417" s="4" t="s">
        <v>51</v>
      </c>
      <c r="B417" s="25">
        <v>2014</v>
      </c>
      <c r="C417" s="25" t="s">
        <v>50</v>
      </c>
      <c r="D417" s="25">
        <v>4</v>
      </c>
      <c r="E417" s="25">
        <v>3</v>
      </c>
      <c r="F417" s="25">
        <v>1</v>
      </c>
      <c r="G417" s="6" t="str">
        <f t="shared" si="19"/>
        <v>31</v>
      </c>
      <c r="H417" s="5">
        <v>11.666666666666666</v>
      </c>
      <c r="I417" s="5">
        <v>189.67268571428571</v>
      </c>
      <c r="J417" s="5">
        <v>11904.339553108122</v>
      </c>
      <c r="K417" s="5">
        <v>11.6666666666667</v>
      </c>
      <c r="L417" s="5">
        <v>193.20141176470599</v>
      </c>
      <c r="M417" s="5">
        <v>12125.811363537268</v>
      </c>
      <c r="N417" s="5">
        <v>2.8929239955946851E-13</v>
      </c>
      <c r="O417" s="5">
        <v>-3.5287260504202891</v>
      </c>
      <c r="P417" s="5">
        <v>-221.47181042914599</v>
      </c>
      <c r="Q417" s="5">
        <v>-1.8264494126563713</v>
      </c>
    </row>
    <row r="418" spans="1:17" x14ac:dyDescent="0.2">
      <c r="A418" s="4" t="s">
        <v>80</v>
      </c>
      <c r="B418" s="25">
        <v>2014</v>
      </c>
      <c r="C418" s="25" t="s">
        <v>50</v>
      </c>
      <c r="D418" s="25">
        <v>1</v>
      </c>
      <c r="E418" s="25">
        <v>3</v>
      </c>
      <c r="F418" s="25">
        <v>1</v>
      </c>
      <c r="G418" s="6" t="str">
        <f t="shared" si="19"/>
        <v>31</v>
      </c>
      <c r="H418" s="5">
        <v>46.666666666666664</v>
      </c>
      <c r="I418" s="5">
        <v>212.28886136576668</v>
      </c>
      <c r="J418" s="5">
        <v>13323.788185546018</v>
      </c>
      <c r="K418" s="5">
        <v>13.333333333333334</v>
      </c>
      <c r="L418" s="5">
        <v>195.65573825485967</v>
      </c>
      <c r="M418" s="5">
        <v>12279.8511284246</v>
      </c>
      <c r="N418" s="5">
        <v>-249.99999999999994</v>
      </c>
      <c r="O418" s="5">
        <v>16.633123110907007</v>
      </c>
      <c r="P418" s="5">
        <v>1043.9370571214185</v>
      </c>
      <c r="Q418" s="5">
        <v>8.5012191614031956</v>
      </c>
    </row>
    <row r="419" spans="1:17" x14ac:dyDescent="0.2">
      <c r="A419" s="4" t="s">
        <v>80</v>
      </c>
      <c r="B419" s="25">
        <v>2014</v>
      </c>
      <c r="C419" s="25" t="s">
        <v>50</v>
      </c>
      <c r="D419" s="25">
        <v>2</v>
      </c>
      <c r="E419" s="25">
        <v>3</v>
      </c>
      <c r="F419" s="25">
        <v>1</v>
      </c>
      <c r="G419" s="6" t="str">
        <f t="shared" si="19"/>
        <v>31</v>
      </c>
      <c r="H419" s="5">
        <v>33.333333333333336</v>
      </c>
      <c r="I419" s="5">
        <v>196.89981884321938</v>
      </c>
      <c r="J419" s="5">
        <v>12357.932786305342</v>
      </c>
      <c r="K419" s="5">
        <v>26.6666666666667</v>
      </c>
      <c r="L419" s="5">
        <v>200.14342489396401</v>
      </c>
      <c r="M419" s="5">
        <v>12561.509741306365</v>
      </c>
      <c r="N419" s="5">
        <v>-24.999999999999854</v>
      </c>
      <c r="O419" s="5">
        <v>-3.2436060507446314</v>
      </c>
      <c r="P419" s="5">
        <v>-203.57695500102272</v>
      </c>
      <c r="Q419" s="5">
        <v>-1.6206408241805117</v>
      </c>
    </row>
    <row r="420" spans="1:17" x14ac:dyDescent="0.2">
      <c r="A420" s="4" t="s">
        <v>80</v>
      </c>
      <c r="B420" s="25">
        <v>2014</v>
      </c>
      <c r="C420" s="25" t="s">
        <v>50</v>
      </c>
      <c r="D420" s="25">
        <v>3</v>
      </c>
      <c r="E420" s="25">
        <v>3</v>
      </c>
      <c r="F420" s="25">
        <v>1</v>
      </c>
      <c r="G420" s="6" t="str">
        <f t="shared" si="19"/>
        <v>31</v>
      </c>
      <c r="H420" s="5">
        <v>35</v>
      </c>
      <c r="I420" s="5">
        <v>234.44404640999909</v>
      </c>
      <c r="J420" s="5">
        <v>14714.303876486229</v>
      </c>
      <c r="K420" s="5">
        <v>13.333333333333334</v>
      </c>
      <c r="L420" s="5">
        <v>225.62453573684817</v>
      </c>
      <c r="M420" s="5">
        <v>14160.768983731019</v>
      </c>
      <c r="N420" s="5">
        <v>-162.49999999999997</v>
      </c>
      <c r="O420" s="5">
        <v>8.8195106731509156</v>
      </c>
      <c r="P420" s="5">
        <v>553.53489275520951</v>
      </c>
      <c r="Q420" s="5">
        <v>3.9089324413889734</v>
      </c>
    </row>
    <row r="421" spans="1:17" x14ac:dyDescent="0.2">
      <c r="A421" s="4" t="s">
        <v>80</v>
      </c>
      <c r="B421" s="25">
        <v>2014</v>
      </c>
      <c r="C421" s="25" t="s">
        <v>50</v>
      </c>
      <c r="D421" s="25">
        <v>4</v>
      </c>
      <c r="E421" s="25">
        <v>3</v>
      </c>
      <c r="F421" s="25">
        <v>1</v>
      </c>
      <c r="G421" s="6" t="str">
        <f t="shared" si="19"/>
        <v>31</v>
      </c>
      <c r="H421" s="5">
        <v>45</v>
      </c>
      <c r="I421" s="5">
        <v>218.90580506390739</v>
      </c>
      <c r="J421" s="5">
        <v>13739.084380092037</v>
      </c>
      <c r="K421" s="5">
        <v>41.6666666666667</v>
      </c>
      <c r="L421" s="5">
        <v>227.772361535382</v>
      </c>
      <c r="M421" s="5">
        <v>14295.571986653578</v>
      </c>
      <c r="N421" s="5">
        <v>-7.9999999999999138</v>
      </c>
      <c r="O421" s="5">
        <v>-8.8665564714746097</v>
      </c>
      <c r="P421" s="5">
        <v>-556.48760656154082</v>
      </c>
      <c r="Q421" s="5">
        <v>-3.8927271121510953</v>
      </c>
    </row>
    <row r="422" spans="1:17" x14ac:dyDescent="0.2">
      <c r="A422" s="4" t="s">
        <v>87</v>
      </c>
      <c r="B422" s="4">
        <v>2014</v>
      </c>
      <c r="C422" s="4" t="s">
        <v>50</v>
      </c>
      <c r="D422" s="4">
        <v>1</v>
      </c>
      <c r="E422" s="4">
        <v>3</v>
      </c>
      <c r="F422" s="4">
        <v>1</v>
      </c>
      <c r="G422" s="6" t="str">
        <f t="shared" si="19"/>
        <v>31</v>
      </c>
      <c r="H422" s="5">
        <v>10</v>
      </c>
      <c r="I422" s="5">
        <v>200.96809387563025</v>
      </c>
      <c r="J422" s="5">
        <v>12613.26806138129</v>
      </c>
      <c r="K422" s="5">
        <v>10.5</v>
      </c>
      <c r="L422" s="5">
        <v>198.27910945210084</v>
      </c>
      <c r="M422" s="5">
        <v>12444.500568528198</v>
      </c>
      <c r="N422" s="5">
        <v>4.7619047619047619</v>
      </c>
      <c r="O422" s="5">
        <v>2.6889844235294049</v>
      </c>
      <c r="P422" s="5">
        <v>168.76749285309234</v>
      </c>
      <c r="Q422" s="5">
        <v>1.3561612370359057</v>
      </c>
    </row>
    <row r="423" spans="1:17" x14ac:dyDescent="0.2">
      <c r="A423" s="4" t="s">
        <v>87</v>
      </c>
      <c r="B423" s="4">
        <v>2014</v>
      </c>
      <c r="C423" s="4" t="s">
        <v>50</v>
      </c>
      <c r="D423" s="4">
        <v>2</v>
      </c>
      <c r="E423" s="4">
        <v>3</v>
      </c>
      <c r="F423" s="4">
        <v>1</v>
      </c>
      <c r="G423" s="6" t="str">
        <f t="shared" si="19"/>
        <v>31</v>
      </c>
      <c r="H423" s="5">
        <v>1</v>
      </c>
      <c r="I423" s="5">
        <v>202.35448787899162</v>
      </c>
      <c r="J423" s="5">
        <v>12700.281670685414</v>
      </c>
      <c r="K423" s="5">
        <v>12.5</v>
      </c>
      <c r="L423" s="5">
        <v>195.36490518655501</v>
      </c>
      <c r="M423" s="5">
        <v>12261.597706297251</v>
      </c>
      <c r="N423" s="5">
        <v>92</v>
      </c>
      <c r="O423" s="5">
        <v>6.9895826924366133</v>
      </c>
      <c r="P423" s="5">
        <v>438.68396438816308</v>
      </c>
      <c r="Q423" s="5">
        <v>3.5777063878295885</v>
      </c>
    </row>
    <row r="424" spans="1:17" x14ac:dyDescent="0.2">
      <c r="A424" s="4" t="s">
        <v>87</v>
      </c>
      <c r="B424" s="4">
        <v>2014</v>
      </c>
      <c r="C424" s="4" t="s">
        <v>50</v>
      </c>
      <c r="D424" s="4">
        <v>3</v>
      </c>
      <c r="E424" s="4">
        <v>3</v>
      </c>
      <c r="F424" s="4">
        <v>1</v>
      </c>
      <c r="G424" s="6" t="str">
        <f t="shared" si="19"/>
        <v>31</v>
      </c>
      <c r="H424" s="5">
        <v>5</v>
      </c>
      <c r="I424" s="5">
        <v>192.86069203361342</v>
      </c>
      <c r="J424" s="5">
        <v>12104.426927733582</v>
      </c>
      <c r="K424" s="5">
        <v>7.5</v>
      </c>
      <c r="L424" s="5">
        <v>197.00707692100801</v>
      </c>
      <c r="M424" s="5">
        <v>12364.664575719307</v>
      </c>
      <c r="N424" s="5">
        <v>33.333333333333329</v>
      </c>
      <c r="O424" s="5">
        <v>-4.1463848873945892</v>
      </c>
      <c r="P424" s="5">
        <v>-260.23764798572483</v>
      </c>
      <c r="Q424" s="5">
        <v>-2.1046882945515377</v>
      </c>
    </row>
    <row r="425" spans="1:17" x14ac:dyDescent="0.2">
      <c r="A425" s="4" t="s">
        <v>87</v>
      </c>
      <c r="B425" s="4">
        <v>2014</v>
      </c>
      <c r="C425" s="4" t="s">
        <v>50</v>
      </c>
      <c r="D425" s="4">
        <v>4</v>
      </c>
      <c r="E425" s="4">
        <v>3</v>
      </c>
      <c r="F425" s="4">
        <v>1</v>
      </c>
      <c r="G425" s="6" t="str">
        <f t="shared" si="19"/>
        <v>31</v>
      </c>
      <c r="H425" s="5">
        <v>15</v>
      </c>
      <c r="I425" s="5">
        <v>205.08660036302518</v>
      </c>
      <c r="J425" s="5">
        <v>12871.755990167629</v>
      </c>
      <c r="K425" s="5">
        <v>12.5</v>
      </c>
      <c r="L425" s="5">
        <v>198.94150697142899</v>
      </c>
      <c r="M425" s="5">
        <v>12486.07431943241</v>
      </c>
      <c r="N425" s="5">
        <v>-20</v>
      </c>
      <c r="O425" s="5">
        <v>6.1450933915961912</v>
      </c>
      <c r="P425" s="5">
        <v>385.68167073521909</v>
      </c>
      <c r="Q425" s="5">
        <v>3.0888945626006121</v>
      </c>
    </row>
    <row r="426" spans="1:17" x14ac:dyDescent="0.2">
      <c r="A426" s="4" t="s">
        <v>77</v>
      </c>
      <c r="B426" s="25">
        <v>2014</v>
      </c>
      <c r="C426" s="25" t="s">
        <v>50</v>
      </c>
      <c r="D426" s="26">
        <v>1</v>
      </c>
      <c r="E426" s="26">
        <v>4</v>
      </c>
      <c r="F426" s="26">
        <v>1</v>
      </c>
      <c r="G426" s="6" t="str">
        <f t="shared" si="19"/>
        <v>41</v>
      </c>
      <c r="H426" s="5">
        <v>11.666666666666666</v>
      </c>
      <c r="I426" s="5">
        <v>218.06484080179916</v>
      </c>
      <c r="J426" s="5">
        <v>13686.303326824063</v>
      </c>
      <c r="K426" s="5">
        <v>5</v>
      </c>
      <c r="L426" s="5">
        <v>203.90911865546201</v>
      </c>
      <c r="M426" s="5">
        <v>12797.854247217037</v>
      </c>
      <c r="N426" s="5">
        <v>-133.33333333333331</v>
      </c>
      <c r="O426" s="5">
        <v>14.155722146337155</v>
      </c>
      <c r="P426" s="5">
        <v>888.44907960702585</v>
      </c>
      <c r="Q426" s="5">
        <v>6.9421721989076719</v>
      </c>
    </row>
    <row r="427" spans="1:17" x14ac:dyDescent="0.2">
      <c r="A427" s="4" t="s">
        <v>77</v>
      </c>
      <c r="B427" s="25">
        <v>2014</v>
      </c>
      <c r="C427" s="25" t="s">
        <v>50</v>
      </c>
      <c r="D427" s="26">
        <v>2</v>
      </c>
      <c r="E427" s="26">
        <v>4</v>
      </c>
      <c r="F427" s="26">
        <v>1</v>
      </c>
      <c r="G427" s="6" t="str">
        <f t="shared" si="19"/>
        <v>41</v>
      </c>
      <c r="H427" s="5">
        <v>25</v>
      </c>
      <c r="I427" s="5">
        <v>191.9452141511085</v>
      </c>
      <c r="J427" s="5">
        <v>12046.969210373501</v>
      </c>
      <c r="K427" s="5">
        <v>31.666666666666668</v>
      </c>
      <c r="L427" s="5">
        <v>233.84911462184877</v>
      </c>
      <c r="M427" s="5">
        <v>14676.96444624403</v>
      </c>
      <c r="N427" s="5">
        <v>21.05263157894737</v>
      </c>
      <c r="O427" s="5">
        <v>-41.903900470740268</v>
      </c>
      <c r="P427" s="5">
        <v>-2629.9952358705286</v>
      </c>
      <c r="Q427" s="5">
        <v>-17.919204243514866</v>
      </c>
    </row>
    <row r="428" spans="1:17" x14ac:dyDescent="0.2">
      <c r="A428" s="4" t="s">
        <v>77</v>
      </c>
      <c r="B428" s="25">
        <v>2014</v>
      </c>
      <c r="C428" s="25" t="s">
        <v>50</v>
      </c>
      <c r="D428" s="26">
        <v>3</v>
      </c>
      <c r="E428" s="26">
        <v>4</v>
      </c>
      <c r="F428" s="26">
        <v>1</v>
      </c>
      <c r="G428" s="6" t="str">
        <f t="shared" si="19"/>
        <v>41</v>
      </c>
      <c r="H428" s="5">
        <v>21</v>
      </c>
      <c r="I428" s="5">
        <v>222.61095358299494</v>
      </c>
      <c r="J428" s="5">
        <v>13971.628912794838</v>
      </c>
      <c r="K428" s="5">
        <v>10</v>
      </c>
      <c r="L428" s="5">
        <v>216.62039332828201</v>
      </c>
      <c r="M428" s="5">
        <v>13595.646134268256</v>
      </c>
      <c r="N428" s="5">
        <v>-110.00000000000001</v>
      </c>
      <c r="O428" s="5">
        <v>5.990560254712932</v>
      </c>
      <c r="P428" s="5">
        <v>375.98277852658248</v>
      </c>
      <c r="Q428" s="5">
        <v>2.7654645819216053</v>
      </c>
    </row>
    <row r="429" spans="1:17" x14ac:dyDescent="0.2">
      <c r="A429" s="4" t="s">
        <v>77</v>
      </c>
      <c r="B429" s="25">
        <v>2014</v>
      </c>
      <c r="C429" s="25" t="s">
        <v>50</v>
      </c>
      <c r="D429" s="26">
        <v>4</v>
      </c>
      <c r="E429" s="26">
        <v>4</v>
      </c>
      <c r="F429" s="26">
        <v>1</v>
      </c>
      <c r="G429" s="6" t="str">
        <f t="shared" si="19"/>
        <v>41</v>
      </c>
      <c r="H429" s="5">
        <v>15</v>
      </c>
      <c r="I429" s="5">
        <v>225.64920714757849</v>
      </c>
      <c r="J429" s="5">
        <v>14162.317424137616</v>
      </c>
      <c r="K429" s="5">
        <v>18.3333333333333</v>
      </c>
      <c r="L429" s="5">
        <v>214.28523421746999</v>
      </c>
      <c r="M429" s="5">
        <v>13449.085616811806</v>
      </c>
      <c r="N429" s="5">
        <v>18.181818181818034</v>
      </c>
      <c r="O429" s="5">
        <v>11.363972930108503</v>
      </c>
      <c r="P429" s="5">
        <v>713.23180732581022</v>
      </c>
      <c r="Q429" s="5">
        <v>5.303199248239201</v>
      </c>
    </row>
    <row r="430" spans="1:17" x14ac:dyDescent="0.2">
      <c r="A430" s="4" t="s">
        <v>86</v>
      </c>
      <c r="B430" s="25">
        <v>2014</v>
      </c>
      <c r="C430" s="25" t="s">
        <v>50</v>
      </c>
      <c r="D430" s="25">
        <v>1</v>
      </c>
      <c r="E430" s="25">
        <v>4</v>
      </c>
      <c r="F430" s="25">
        <v>1</v>
      </c>
      <c r="G430" s="6" t="str">
        <f t="shared" si="19"/>
        <v>41</v>
      </c>
      <c r="H430" s="5">
        <v>0</v>
      </c>
      <c r="I430" s="5">
        <v>172.26039932773108</v>
      </c>
      <c r="J430" s="5">
        <v>10811.500229612971</v>
      </c>
      <c r="K430" s="5">
        <v>0</v>
      </c>
      <c r="L430" s="5" t="s">
        <v>97</v>
      </c>
      <c r="M430" s="5" t="s">
        <v>97</v>
      </c>
      <c r="N430" s="5" t="s">
        <v>97</v>
      </c>
      <c r="O430" s="5" t="s">
        <v>97</v>
      </c>
      <c r="P430" s="5" t="s">
        <v>97</v>
      </c>
      <c r="Q430" s="5" t="s">
        <v>97</v>
      </c>
    </row>
    <row r="431" spans="1:17" x14ac:dyDescent="0.2">
      <c r="A431" s="4" t="s">
        <v>86</v>
      </c>
      <c r="B431" s="25">
        <v>2014</v>
      </c>
      <c r="C431" s="25" t="s">
        <v>50</v>
      </c>
      <c r="D431" s="25">
        <v>2</v>
      </c>
      <c r="E431" s="25">
        <v>4</v>
      </c>
      <c r="F431" s="25">
        <v>1</v>
      </c>
      <c r="G431" s="6" t="str">
        <f t="shared" si="19"/>
        <v>41</v>
      </c>
      <c r="H431" s="5">
        <v>0</v>
      </c>
      <c r="I431" s="5">
        <v>160.69906285714288</v>
      </c>
      <c r="J431" s="5">
        <v>10085.881385153025</v>
      </c>
      <c r="K431" s="5">
        <v>0</v>
      </c>
      <c r="L431" s="5">
        <v>141.80000000000001</v>
      </c>
      <c r="M431" s="5">
        <v>8899.7281937237458</v>
      </c>
      <c r="N431" s="5" t="s">
        <v>97</v>
      </c>
      <c r="O431" s="5">
        <v>18.899062857142866</v>
      </c>
      <c r="P431" s="5">
        <v>1186.1531914292791</v>
      </c>
      <c r="Q431" s="5">
        <v>13.327970985291174</v>
      </c>
    </row>
    <row r="432" spans="1:17" x14ac:dyDescent="0.2">
      <c r="A432" s="4" t="s">
        <v>86</v>
      </c>
      <c r="B432" s="25">
        <v>2014</v>
      </c>
      <c r="C432" s="25" t="s">
        <v>50</v>
      </c>
      <c r="D432" s="25">
        <v>3</v>
      </c>
      <c r="E432" s="25">
        <v>4</v>
      </c>
      <c r="F432" s="25">
        <v>1</v>
      </c>
      <c r="G432" s="6" t="str">
        <f t="shared" si="19"/>
        <v>41</v>
      </c>
      <c r="H432" s="5">
        <v>0</v>
      </c>
      <c r="I432" s="5">
        <v>162.48904941176474</v>
      </c>
      <c r="J432" s="5">
        <v>10198.225488161168</v>
      </c>
      <c r="K432" s="5">
        <v>0</v>
      </c>
      <c r="L432" s="5">
        <v>147.9</v>
      </c>
      <c r="M432" s="5">
        <v>9282.5796886582648</v>
      </c>
      <c r="N432" s="5" t="s">
        <v>97</v>
      </c>
      <c r="O432" s="5">
        <v>14.589049411764734</v>
      </c>
      <c r="P432" s="5">
        <v>915.64579950290317</v>
      </c>
      <c r="Q432" s="5">
        <v>9.8641307719842874</v>
      </c>
    </row>
    <row r="433" spans="1:17" s="7" customFormat="1" x14ac:dyDescent="0.2">
      <c r="A433" s="7" t="s">
        <v>86</v>
      </c>
      <c r="B433" s="27">
        <v>2014</v>
      </c>
      <c r="C433" s="27" t="s">
        <v>50</v>
      </c>
      <c r="D433" s="27">
        <v>4</v>
      </c>
      <c r="E433" s="27">
        <v>4</v>
      </c>
      <c r="F433" s="27">
        <v>1</v>
      </c>
      <c r="G433" s="6" t="str">
        <f t="shared" si="19"/>
        <v>41</v>
      </c>
      <c r="H433" s="9">
        <v>0</v>
      </c>
      <c r="I433" s="9">
        <v>156.95949176470586</v>
      </c>
      <c r="J433" s="9">
        <v>9851.1764043082003</v>
      </c>
      <c r="K433" s="9">
        <v>0</v>
      </c>
      <c r="L433" s="9">
        <v>158.6</v>
      </c>
      <c r="M433" s="9">
        <v>9954.138868297503</v>
      </c>
      <c r="N433" s="9" t="s">
        <v>97</v>
      </c>
      <c r="O433" s="9">
        <v>-1.6405082352941349</v>
      </c>
      <c r="P433" s="9">
        <v>-102.96246398930271</v>
      </c>
      <c r="Q433" s="9">
        <v>-1.0343683702989448</v>
      </c>
    </row>
    <row r="434" spans="1:17" x14ac:dyDescent="0.2">
      <c r="A434" s="4" t="s">
        <v>51</v>
      </c>
      <c r="B434" s="25">
        <v>2014</v>
      </c>
      <c r="C434" s="25" t="s">
        <v>50</v>
      </c>
      <c r="D434" s="25">
        <v>1</v>
      </c>
      <c r="E434" s="25">
        <v>4</v>
      </c>
      <c r="F434" s="25">
        <v>1</v>
      </c>
      <c r="G434" s="6" t="str">
        <f t="shared" si="19"/>
        <v>41</v>
      </c>
      <c r="H434" s="5">
        <v>8.3333333333333339</v>
      </c>
      <c r="I434" s="5">
        <v>201.62057142857142</v>
      </c>
      <c r="J434" s="5">
        <v>12654.219209996823</v>
      </c>
      <c r="K434" s="5">
        <v>11.6666666666667</v>
      </c>
      <c r="L434" s="5">
        <v>201.86765546218501</v>
      </c>
      <c r="M434" s="5">
        <v>12669.726831577709</v>
      </c>
      <c r="N434" s="5">
        <v>28.571428571428768</v>
      </c>
      <c r="O434" s="5">
        <v>-0.24708403361358933</v>
      </c>
      <c r="P434" s="5">
        <v>-15.507621580885825</v>
      </c>
      <c r="Q434" s="5">
        <v>-0.1223990208078916</v>
      </c>
    </row>
    <row r="435" spans="1:17" x14ac:dyDescent="0.2">
      <c r="A435" s="4" t="s">
        <v>51</v>
      </c>
      <c r="B435" s="25">
        <v>2014</v>
      </c>
      <c r="C435" s="25" t="s">
        <v>50</v>
      </c>
      <c r="D435" s="25">
        <v>2</v>
      </c>
      <c r="E435" s="25">
        <v>4</v>
      </c>
      <c r="F435" s="25">
        <v>1</v>
      </c>
      <c r="G435" s="6" t="str">
        <f t="shared" si="19"/>
        <v>41</v>
      </c>
      <c r="H435" s="5">
        <v>8.3333333333333339</v>
      </c>
      <c r="I435" s="5">
        <v>184.3439067226891</v>
      </c>
      <c r="J435" s="5">
        <v>11569.891847680512</v>
      </c>
      <c r="K435" s="5">
        <v>13.3333333333333</v>
      </c>
      <c r="L435" s="5">
        <v>183.37661848739501</v>
      </c>
      <c r="M435" s="5">
        <v>11509.182380973149</v>
      </c>
      <c r="N435" s="5">
        <v>37.499999999999837</v>
      </c>
      <c r="O435" s="5">
        <v>0.96728823529409169</v>
      </c>
      <c r="P435" s="5">
        <v>60.70946670736339</v>
      </c>
      <c r="Q435" s="5">
        <v>0.52748722452889096</v>
      </c>
    </row>
    <row r="436" spans="1:17" x14ac:dyDescent="0.2">
      <c r="A436" s="4" t="s">
        <v>51</v>
      </c>
      <c r="B436" s="25">
        <v>2014</v>
      </c>
      <c r="C436" s="25" t="s">
        <v>50</v>
      </c>
      <c r="D436" s="25">
        <v>3</v>
      </c>
      <c r="E436" s="25">
        <v>4</v>
      </c>
      <c r="F436" s="25">
        <v>1</v>
      </c>
      <c r="G436" s="6" t="str">
        <f t="shared" si="19"/>
        <v>41</v>
      </c>
      <c r="H436" s="5">
        <v>8.3333333333333339</v>
      </c>
      <c r="I436" s="5">
        <v>194.44781344537813</v>
      </c>
      <c r="J436" s="5">
        <v>12204.038699067469</v>
      </c>
      <c r="K436" s="5">
        <v>11.6666666666667</v>
      </c>
      <c r="L436" s="5">
        <v>198.146752941176</v>
      </c>
      <c r="M436" s="5">
        <v>12436.193537696739</v>
      </c>
      <c r="N436" s="5">
        <v>28.571428571428768</v>
      </c>
      <c r="O436" s="5">
        <v>-3.6989394957978732</v>
      </c>
      <c r="P436" s="5">
        <v>-232.15483862927067</v>
      </c>
      <c r="Q436" s="5">
        <v>-1.8667676562411171</v>
      </c>
    </row>
    <row r="437" spans="1:17" x14ac:dyDescent="0.2">
      <c r="A437" s="4" t="s">
        <v>51</v>
      </c>
      <c r="B437" s="25">
        <v>2014</v>
      </c>
      <c r="C437" s="25" t="s">
        <v>50</v>
      </c>
      <c r="D437" s="25">
        <v>4</v>
      </c>
      <c r="E437" s="25">
        <v>4</v>
      </c>
      <c r="F437" s="25">
        <v>1</v>
      </c>
      <c r="G437" s="6" t="str">
        <f t="shared" si="19"/>
        <v>41</v>
      </c>
      <c r="H437" s="5">
        <v>10</v>
      </c>
      <c r="I437" s="5">
        <v>175.98240000000001</v>
      </c>
      <c r="J437" s="5">
        <v>11045.102446256487</v>
      </c>
      <c r="K437" s="5">
        <v>11.6666666666667</v>
      </c>
      <c r="L437" s="5">
        <v>193.20141176470599</v>
      </c>
      <c r="M437" s="5">
        <v>12125.811363537268</v>
      </c>
      <c r="N437" s="5">
        <v>14.28571428571453</v>
      </c>
      <c r="O437" s="5">
        <v>-17.219011764705982</v>
      </c>
      <c r="P437" s="5">
        <v>-1080.708917280781</v>
      </c>
      <c r="Q437" s="5">
        <v>-8.9124668435013756</v>
      </c>
    </row>
    <row r="438" spans="1:17" x14ac:dyDescent="0.2">
      <c r="A438" s="4" t="s">
        <v>80</v>
      </c>
      <c r="B438" s="25">
        <v>2014</v>
      </c>
      <c r="C438" s="25" t="s">
        <v>50</v>
      </c>
      <c r="D438" s="25">
        <v>1</v>
      </c>
      <c r="E438" s="25">
        <v>4</v>
      </c>
      <c r="F438" s="25">
        <v>1</v>
      </c>
      <c r="G438" s="6" t="str">
        <f t="shared" si="19"/>
        <v>41</v>
      </c>
      <c r="H438" s="5">
        <v>26.666666666666668</v>
      </c>
      <c r="I438" s="5">
        <v>204.93598993645998</v>
      </c>
      <c r="J438" s="5">
        <v>12862.303297222839</v>
      </c>
      <c r="K438" s="5">
        <v>13.3333333333333</v>
      </c>
      <c r="L438" s="5">
        <v>195.65573825486001</v>
      </c>
      <c r="M438" s="5">
        <v>12279.851128424621</v>
      </c>
      <c r="N438" s="5">
        <v>-100.00000000000051</v>
      </c>
      <c r="O438" s="5">
        <v>9.2802516815999638</v>
      </c>
      <c r="P438" s="5">
        <v>582.45216879821783</v>
      </c>
      <c r="Q438" s="5">
        <v>4.743153338805504</v>
      </c>
    </row>
    <row r="439" spans="1:17" x14ac:dyDescent="0.2">
      <c r="A439" s="4" t="s">
        <v>80</v>
      </c>
      <c r="B439" s="25">
        <v>2014</v>
      </c>
      <c r="C439" s="25" t="s">
        <v>50</v>
      </c>
      <c r="D439" s="25">
        <v>2</v>
      </c>
      <c r="E439" s="25">
        <v>4</v>
      </c>
      <c r="F439" s="25">
        <v>1</v>
      </c>
      <c r="G439" s="6" t="str">
        <f t="shared" si="19"/>
        <v>41</v>
      </c>
      <c r="H439" s="5">
        <v>38.333333333333336</v>
      </c>
      <c r="I439" s="5">
        <v>216.73080002167308</v>
      </c>
      <c r="J439" s="5">
        <v>13602.575538795394</v>
      </c>
      <c r="K439" s="5">
        <v>26.666666666666668</v>
      </c>
      <c r="L439" s="5">
        <v>200.14342489396395</v>
      </c>
      <c r="M439" s="5">
        <v>12561.509741306361</v>
      </c>
      <c r="N439" s="5">
        <v>-43.75</v>
      </c>
      <c r="O439" s="5">
        <v>16.587375127709123</v>
      </c>
      <c r="P439" s="5">
        <v>1041.0657974890328</v>
      </c>
      <c r="Q439" s="5">
        <v>8.2877442196750231</v>
      </c>
    </row>
    <row r="440" spans="1:17" x14ac:dyDescent="0.2">
      <c r="A440" s="4" t="s">
        <v>80</v>
      </c>
      <c r="B440" s="25">
        <v>2014</v>
      </c>
      <c r="C440" s="25" t="s">
        <v>50</v>
      </c>
      <c r="D440" s="25">
        <v>3</v>
      </c>
      <c r="E440" s="25">
        <v>4</v>
      </c>
      <c r="F440" s="25">
        <v>1</v>
      </c>
      <c r="G440" s="6" t="str">
        <f t="shared" si="19"/>
        <v>41</v>
      </c>
      <c r="H440" s="5">
        <v>46.666666666666664</v>
      </c>
      <c r="I440" s="5">
        <v>219.71947691272825</v>
      </c>
      <c r="J440" s="5">
        <v>13790.152492175186</v>
      </c>
      <c r="K440" s="5">
        <v>13.3333333333333</v>
      </c>
      <c r="L440" s="5">
        <v>225.624535736848</v>
      </c>
      <c r="M440" s="5">
        <v>14160.768983731008</v>
      </c>
      <c r="N440" s="5">
        <v>-250.00000000000085</v>
      </c>
      <c r="O440" s="5">
        <v>-5.9050588241197488</v>
      </c>
      <c r="P440" s="5">
        <v>-370.61649155582199</v>
      </c>
      <c r="Q440" s="5">
        <v>-2.6172059722294394</v>
      </c>
    </row>
    <row r="441" spans="1:17" x14ac:dyDescent="0.2">
      <c r="A441" s="4" t="s">
        <v>80</v>
      </c>
      <c r="B441" s="25">
        <v>2014</v>
      </c>
      <c r="C441" s="25" t="s">
        <v>50</v>
      </c>
      <c r="D441" s="25">
        <v>4</v>
      </c>
      <c r="E441" s="25">
        <v>4</v>
      </c>
      <c r="F441" s="25">
        <v>1</v>
      </c>
      <c r="G441" s="6" t="str">
        <f t="shared" si="19"/>
        <v>41</v>
      </c>
      <c r="H441" s="5">
        <v>28.333333333333332</v>
      </c>
      <c r="I441" s="5">
        <v>216.30524976952967</v>
      </c>
      <c r="J441" s="5">
        <v>13575.86692400804</v>
      </c>
      <c r="K441" s="5">
        <v>41.6666666666667</v>
      </c>
      <c r="L441" s="5">
        <v>227.772361535382</v>
      </c>
      <c r="M441" s="5">
        <v>14295.571986653578</v>
      </c>
      <c r="N441" s="5">
        <v>32.000000000000057</v>
      </c>
      <c r="O441" s="5">
        <v>-11.467111765852337</v>
      </c>
      <c r="P441" s="5">
        <v>-719.70506264553842</v>
      </c>
      <c r="Q441" s="5">
        <v>-5.0344614634339839</v>
      </c>
    </row>
    <row r="442" spans="1:17" x14ac:dyDescent="0.2">
      <c r="A442" s="4" t="s">
        <v>87</v>
      </c>
      <c r="B442" s="4">
        <v>2014</v>
      </c>
      <c r="C442" s="4" t="s">
        <v>50</v>
      </c>
      <c r="D442" s="4">
        <v>1</v>
      </c>
      <c r="E442" s="4">
        <v>4</v>
      </c>
      <c r="F442" s="4">
        <v>1</v>
      </c>
      <c r="G442" s="6" t="str">
        <f t="shared" si="19"/>
        <v>41</v>
      </c>
      <c r="H442" s="5">
        <v>5</v>
      </c>
      <c r="I442" s="5">
        <v>205.2301506957983</v>
      </c>
      <c r="J442" s="5">
        <v>12880.765573692308</v>
      </c>
      <c r="K442" s="5">
        <v>10.5</v>
      </c>
      <c r="L442" s="5">
        <v>198.27910945210101</v>
      </c>
      <c r="M442" s="5">
        <v>12444.500568528207</v>
      </c>
      <c r="N442" s="5">
        <v>52.380952380952387</v>
      </c>
      <c r="O442" s="5">
        <v>6.9510412436972899</v>
      </c>
      <c r="P442" s="5">
        <v>436.26500516410124</v>
      </c>
      <c r="Q442" s="5">
        <v>3.5056851238160833</v>
      </c>
    </row>
    <row r="443" spans="1:17" x14ac:dyDescent="0.2">
      <c r="A443" s="4" t="s">
        <v>87</v>
      </c>
      <c r="B443" s="4">
        <v>2014</v>
      </c>
      <c r="C443" s="4" t="s">
        <v>50</v>
      </c>
      <c r="D443" s="4">
        <v>2</v>
      </c>
      <c r="E443" s="4">
        <v>4</v>
      </c>
      <c r="F443" s="4">
        <v>1</v>
      </c>
      <c r="G443" s="6" t="str">
        <f t="shared" si="19"/>
        <v>41</v>
      </c>
      <c r="H443" s="5">
        <v>1</v>
      </c>
      <c r="I443" s="5">
        <v>204.30884571428572</v>
      </c>
      <c r="J443" s="5">
        <v>12822.942132796781</v>
      </c>
      <c r="K443" s="5">
        <v>12.5</v>
      </c>
      <c r="L443" s="5">
        <v>195.36490518655461</v>
      </c>
      <c r="M443" s="5">
        <v>12261.597706297225</v>
      </c>
      <c r="N443" s="5">
        <v>92</v>
      </c>
      <c r="O443" s="5">
        <v>8.9439405277311153</v>
      </c>
      <c r="P443" s="5">
        <v>561.34442649955599</v>
      </c>
      <c r="Q443" s="5">
        <v>4.5780691876007698</v>
      </c>
    </row>
    <row r="444" spans="1:17" x14ac:dyDescent="0.2">
      <c r="A444" s="4" t="s">
        <v>87</v>
      </c>
      <c r="B444" s="4">
        <v>2014</v>
      </c>
      <c r="C444" s="4" t="s">
        <v>50</v>
      </c>
      <c r="D444" s="4">
        <v>3</v>
      </c>
      <c r="E444" s="4">
        <v>4</v>
      </c>
      <c r="F444" s="4">
        <v>1</v>
      </c>
      <c r="G444" s="6" t="str">
        <f t="shared" si="19"/>
        <v>41</v>
      </c>
      <c r="H444" s="5">
        <v>10</v>
      </c>
      <c r="I444" s="5">
        <v>202.0181900369748</v>
      </c>
      <c r="J444" s="5">
        <v>12679.174763872399</v>
      </c>
      <c r="K444" s="5">
        <v>7.5</v>
      </c>
      <c r="L444" s="5">
        <v>197.00707692100843</v>
      </c>
      <c r="M444" s="5">
        <v>12364.664575719333</v>
      </c>
      <c r="N444" s="5">
        <v>-33.333333333333329</v>
      </c>
      <c r="O444" s="5">
        <v>5.0111131159663671</v>
      </c>
      <c r="P444" s="5">
        <v>314.51018815306634</v>
      </c>
      <c r="Q444" s="5">
        <v>2.5436208659527608</v>
      </c>
    </row>
    <row r="445" spans="1:17" x14ac:dyDescent="0.2">
      <c r="A445" s="4" t="s">
        <v>87</v>
      </c>
      <c r="B445" s="4">
        <v>2014</v>
      </c>
      <c r="C445" s="4" t="s">
        <v>50</v>
      </c>
      <c r="D445" s="4">
        <v>4</v>
      </c>
      <c r="E445" s="4">
        <v>4</v>
      </c>
      <c r="F445" s="4">
        <v>1</v>
      </c>
      <c r="G445" s="6" t="str">
        <f t="shared" si="19"/>
        <v>41</v>
      </c>
      <c r="H445" s="5">
        <v>15</v>
      </c>
      <c r="I445" s="5">
        <v>196.77786346890755</v>
      </c>
      <c r="J445" s="5">
        <v>12350.278557228197</v>
      </c>
      <c r="K445" s="5">
        <v>12.5</v>
      </c>
      <c r="L445" s="5">
        <v>198.94150697142899</v>
      </c>
      <c r="M445" s="5">
        <v>12486.07431943241</v>
      </c>
      <c r="N445" s="5">
        <v>-20</v>
      </c>
      <c r="O445" s="5">
        <v>-2.1636435025214382</v>
      </c>
      <c r="P445" s="5">
        <v>-135.79576220421222</v>
      </c>
      <c r="Q445" s="5">
        <v>-1.0875777184256359</v>
      </c>
    </row>
    <row r="446" spans="1:17" x14ac:dyDescent="0.2">
      <c r="A446" s="4" t="s">
        <v>77</v>
      </c>
      <c r="B446" s="25">
        <v>2014</v>
      </c>
      <c r="C446" s="25" t="s">
        <v>50</v>
      </c>
      <c r="D446" s="26">
        <v>1</v>
      </c>
      <c r="E446" s="26">
        <v>5</v>
      </c>
      <c r="F446" s="26">
        <v>1</v>
      </c>
      <c r="G446" s="6" t="str">
        <f t="shared" si="19"/>
        <v>51</v>
      </c>
      <c r="H446" s="5">
        <v>10</v>
      </c>
      <c r="I446" s="5">
        <v>216.29188540785719</v>
      </c>
      <c r="J446" s="5">
        <v>13575.028142721949</v>
      </c>
      <c r="K446" s="5">
        <v>5</v>
      </c>
      <c r="L446" s="5">
        <v>203.90911865546201</v>
      </c>
      <c r="M446" s="5">
        <v>12797.854247217037</v>
      </c>
      <c r="N446" s="5">
        <v>-100</v>
      </c>
      <c r="O446" s="5">
        <v>12.382766752395185</v>
      </c>
      <c r="P446" s="5">
        <v>777.17389550491134</v>
      </c>
      <c r="Q446" s="5">
        <v>6.072689065621387</v>
      </c>
    </row>
    <row r="447" spans="1:17" x14ac:dyDescent="0.2">
      <c r="A447" s="4" t="s">
        <v>77</v>
      </c>
      <c r="B447" s="25">
        <v>2014</v>
      </c>
      <c r="C447" s="25" t="s">
        <v>50</v>
      </c>
      <c r="D447" s="26">
        <v>2</v>
      </c>
      <c r="E447" s="26">
        <v>5</v>
      </c>
      <c r="F447" s="26">
        <v>1</v>
      </c>
      <c r="G447" s="6" t="str">
        <f t="shared" si="19"/>
        <v>51</v>
      </c>
      <c r="H447" s="5">
        <v>15</v>
      </c>
      <c r="I447" s="5">
        <v>220.93149040796916</v>
      </c>
      <c r="J447" s="5">
        <v>13866.221537836464</v>
      </c>
      <c r="K447" s="5">
        <v>31.6666666666667</v>
      </c>
      <c r="L447" s="5">
        <v>233.849114621849</v>
      </c>
      <c r="M447" s="5">
        <v>14676.964446244043</v>
      </c>
      <c r="N447" s="5">
        <v>52.631578947368475</v>
      </c>
      <c r="O447" s="5">
        <v>-12.917624213879833</v>
      </c>
      <c r="P447" s="5">
        <v>-810.74290840757931</v>
      </c>
      <c r="Q447" s="5">
        <v>-5.5239140993835081</v>
      </c>
    </row>
    <row r="448" spans="1:17" x14ac:dyDescent="0.2">
      <c r="A448" s="4" t="s">
        <v>77</v>
      </c>
      <c r="B448" s="25">
        <v>2014</v>
      </c>
      <c r="C448" s="25" t="s">
        <v>50</v>
      </c>
      <c r="D448" s="26">
        <v>3</v>
      </c>
      <c r="E448" s="26">
        <v>5</v>
      </c>
      <c r="F448" s="26">
        <v>1</v>
      </c>
      <c r="G448" s="6" t="str">
        <f t="shared" si="19"/>
        <v>51</v>
      </c>
      <c r="H448" s="5">
        <v>21.666666666666668</v>
      </c>
      <c r="I448" s="5">
        <v>218.79973863258496</v>
      </c>
      <c r="J448" s="5">
        <v>13732.427381437257</v>
      </c>
      <c r="K448" s="5">
        <v>10</v>
      </c>
      <c r="L448" s="5">
        <v>216.62039332828201</v>
      </c>
      <c r="M448" s="5">
        <v>13595.646134268256</v>
      </c>
      <c r="N448" s="5">
        <v>-116.66666666666667</v>
      </c>
      <c r="O448" s="5">
        <v>2.1793453043029558</v>
      </c>
      <c r="P448" s="5">
        <v>136.78124716900129</v>
      </c>
      <c r="Q448" s="5">
        <v>1.0060665437903671</v>
      </c>
    </row>
    <row r="449" spans="1:17" x14ac:dyDescent="0.2">
      <c r="A449" s="4" t="s">
        <v>77</v>
      </c>
      <c r="B449" s="25">
        <v>2014</v>
      </c>
      <c r="C449" s="25" t="s">
        <v>50</v>
      </c>
      <c r="D449" s="26">
        <v>4</v>
      </c>
      <c r="E449" s="26">
        <v>5</v>
      </c>
      <c r="F449" s="26">
        <v>1</v>
      </c>
      <c r="G449" s="6" t="str">
        <f t="shared" si="19"/>
        <v>51</v>
      </c>
      <c r="H449" s="5">
        <v>4</v>
      </c>
      <c r="I449" s="5">
        <v>196.98218550871889</v>
      </c>
      <c r="J449" s="5">
        <v>12363.102327456041</v>
      </c>
      <c r="K449" s="5">
        <v>18.3333333333333</v>
      </c>
      <c r="L449" s="5">
        <v>214.28523421746999</v>
      </c>
      <c r="M449" s="5">
        <v>13449.085616811806</v>
      </c>
      <c r="N449" s="5">
        <v>78.181818181818144</v>
      </c>
      <c r="O449" s="5">
        <v>-17.303048708751106</v>
      </c>
      <c r="P449" s="5">
        <v>-1085.983289355765</v>
      </c>
      <c r="Q449" s="5">
        <v>-8.074774154149555</v>
      </c>
    </row>
    <row r="450" spans="1:17" x14ac:dyDescent="0.2">
      <c r="A450" s="4" t="s">
        <v>86</v>
      </c>
      <c r="B450" s="25">
        <v>2014</v>
      </c>
      <c r="C450" s="25" t="s">
        <v>50</v>
      </c>
      <c r="D450" s="25">
        <v>1</v>
      </c>
      <c r="E450" s="25">
        <v>5</v>
      </c>
      <c r="F450" s="25">
        <v>1</v>
      </c>
      <c r="G450" s="6" t="str">
        <f t="shared" ref="G450:G513" si="20">E450&amp;F450</f>
        <v>51</v>
      </c>
      <c r="H450" s="5">
        <v>0</v>
      </c>
      <c r="I450" s="5">
        <v>166.63347226890755</v>
      </c>
      <c r="J450" s="5">
        <v>10458.339994144433</v>
      </c>
      <c r="K450" s="5">
        <v>0</v>
      </c>
      <c r="L450" s="5" t="s">
        <v>97</v>
      </c>
      <c r="M450" s="5" t="s">
        <v>97</v>
      </c>
      <c r="N450" s="5" t="s">
        <v>97</v>
      </c>
      <c r="O450" s="5" t="s">
        <v>97</v>
      </c>
      <c r="P450" s="5" t="s">
        <v>97</v>
      </c>
      <c r="Q450" s="5" t="s">
        <v>97</v>
      </c>
    </row>
    <row r="451" spans="1:17" x14ac:dyDescent="0.2">
      <c r="A451" s="4" t="s">
        <v>86</v>
      </c>
      <c r="B451" s="25">
        <v>2014</v>
      </c>
      <c r="C451" s="25" t="s">
        <v>50</v>
      </c>
      <c r="D451" s="25">
        <v>2</v>
      </c>
      <c r="E451" s="25">
        <v>5</v>
      </c>
      <c r="F451" s="25">
        <v>1</v>
      </c>
      <c r="G451" s="6" t="str">
        <f t="shared" si="20"/>
        <v>51</v>
      </c>
      <c r="H451" s="5">
        <v>0</v>
      </c>
      <c r="I451" s="5">
        <v>153.34218151260507</v>
      </c>
      <c r="J451" s="5">
        <v>9624.1448243641426</v>
      </c>
      <c r="K451" s="5">
        <v>0</v>
      </c>
      <c r="L451" s="5">
        <v>141.80000000000001</v>
      </c>
      <c r="M451" s="5">
        <v>8899.7281937237458</v>
      </c>
      <c r="N451" s="5" t="s">
        <v>97</v>
      </c>
      <c r="O451" s="5">
        <v>11.542181512605055</v>
      </c>
      <c r="P451" s="5">
        <v>724.41663064039676</v>
      </c>
      <c r="Q451" s="5">
        <v>8.1397612923872078</v>
      </c>
    </row>
    <row r="452" spans="1:17" x14ac:dyDescent="0.2">
      <c r="A452" s="4" t="s">
        <v>86</v>
      </c>
      <c r="B452" s="25">
        <v>2014</v>
      </c>
      <c r="C452" s="25" t="s">
        <v>50</v>
      </c>
      <c r="D452" s="25">
        <v>3</v>
      </c>
      <c r="E452" s="25">
        <v>5</v>
      </c>
      <c r="F452" s="25">
        <v>1</v>
      </c>
      <c r="G452" s="6" t="str">
        <f t="shared" si="20"/>
        <v>51</v>
      </c>
      <c r="H452" s="5">
        <v>0</v>
      </c>
      <c r="I452" s="5">
        <v>169.17971899159664</v>
      </c>
      <c r="J452" s="5">
        <v>10618.148906317159</v>
      </c>
      <c r="K452" s="5">
        <v>0</v>
      </c>
      <c r="L452" s="5">
        <v>147.9</v>
      </c>
      <c r="M452" s="5">
        <v>9282.5796886582648</v>
      </c>
      <c r="N452" s="5" t="s">
        <v>97</v>
      </c>
      <c r="O452" s="5">
        <v>21.279718991596638</v>
      </c>
      <c r="P452" s="5">
        <v>1335.5692176588946</v>
      </c>
      <c r="Q452" s="5">
        <v>14.387910068692792</v>
      </c>
    </row>
    <row r="453" spans="1:17" x14ac:dyDescent="0.2">
      <c r="A453" s="4" t="s">
        <v>86</v>
      </c>
      <c r="B453" s="25">
        <v>2014</v>
      </c>
      <c r="C453" s="25" t="s">
        <v>50</v>
      </c>
      <c r="D453" s="25">
        <v>4</v>
      </c>
      <c r="E453" s="25">
        <v>5</v>
      </c>
      <c r="F453" s="25">
        <v>1</v>
      </c>
      <c r="G453" s="6" t="str">
        <f t="shared" si="20"/>
        <v>51</v>
      </c>
      <c r="H453" s="5">
        <v>0</v>
      </c>
      <c r="I453" s="5">
        <v>153.77704941176469</v>
      </c>
      <c r="J453" s="5">
        <v>9651.4382383464872</v>
      </c>
      <c r="K453" s="5">
        <v>0</v>
      </c>
      <c r="L453" s="5">
        <v>158.6</v>
      </c>
      <c r="M453" s="5">
        <v>9954.138868297503</v>
      </c>
      <c r="N453" s="5" t="s">
        <v>97</v>
      </c>
      <c r="O453" s="5">
        <v>-4.822950588235301</v>
      </c>
      <c r="P453" s="5">
        <v>-302.7006299510158</v>
      </c>
      <c r="Q453" s="5">
        <v>-3.0409524515985371</v>
      </c>
    </row>
    <row r="454" spans="1:17" x14ac:dyDescent="0.2">
      <c r="A454" s="4" t="s">
        <v>51</v>
      </c>
      <c r="B454" s="25">
        <v>2014</v>
      </c>
      <c r="C454" s="25" t="s">
        <v>50</v>
      </c>
      <c r="D454" s="25">
        <v>1</v>
      </c>
      <c r="E454" s="25">
        <v>5</v>
      </c>
      <c r="F454" s="25">
        <v>1</v>
      </c>
      <c r="G454" s="6" t="str">
        <f t="shared" si="20"/>
        <v>51</v>
      </c>
      <c r="H454" s="5">
        <v>8.3333333333333339</v>
      </c>
      <c r="I454" s="5">
        <v>201.86216470588235</v>
      </c>
      <c r="J454" s="5">
        <v>12669.382217764793</v>
      </c>
      <c r="K454" s="5">
        <v>11.6666666666667</v>
      </c>
      <c r="L454" s="5">
        <v>201.86765546218501</v>
      </c>
      <c r="M454" s="5">
        <v>12669.726831577709</v>
      </c>
      <c r="N454" s="5">
        <v>28.571428571428768</v>
      </c>
      <c r="O454" s="5">
        <v>-5.4907563026631578E-3</v>
      </c>
      <c r="P454" s="5">
        <v>-0.34461381291657744</v>
      </c>
      <c r="Q454" s="5">
        <v>-2.7199782402385396E-3</v>
      </c>
    </row>
    <row r="455" spans="1:17" x14ac:dyDescent="0.2">
      <c r="A455" s="4" t="s">
        <v>51</v>
      </c>
      <c r="B455" s="25">
        <v>2014</v>
      </c>
      <c r="C455" s="25" t="s">
        <v>50</v>
      </c>
      <c r="D455" s="25">
        <v>2</v>
      </c>
      <c r="E455" s="25">
        <v>5</v>
      </c>
      <c r="F455" s="25">
        <v>1</v>
      </c>
      <c r="G455" s="6" t="str">
        <f t="shared" si="20"/>
        <v>51</v>
      </c>
      <c r="H455" s="5">
        <v>6.666666666666667</v>
      </c>
      <c r="I455" s="5">
        <v>210.58148571428572</v>
      </c>
      <c r="J455" s="5">
        <v>13216.628952663348</v>
      </c>
      <c r="K455" s="5">
        <v>13.3333333333333</v>
      </c>
      <c r="L455" s="5">
        <v>183.37661848739501</v>
      </c>
      <c r="M455" s="5">
        <v>11509.182380973149</v>
      </c>
      <c r="N455" s="5">
        <v>49.999999999999872</v>
      </c>
      <c r="O455" s="5">
        <v>27.204867226890713</v>
      </c>
      <c r="P455" s="5">
        <v>1707.4465716901996</v>
      </c>
      <c r="Q455" s="5">
        <v>14.835515809645445</v>
      </c>
    </row>
    <row r="456" spans="1:17" x14ac:dyDescent="0.2">
      <c r="A456" s="4" t="s">
        <v>51</v>
      </c>
      <c r="B456" s="25">
        <v>2014</v>
      </c>
      <c r="C456" s="25" t="s">
        <v>50</v>
      </c>
      <c r="D456" s="25">
        <v>3</v>
      </c>
      <c r="E456" s="25">
        <v>5</v>
      </c>
      <c r="F456" s="25">
        <v>1</v>
      </c>
      <c r="G456" s="6" t="str">
        <f t="shared" si="20"/>
        <v>51</v>
      </c>
      <c r="H456" s="5">
        <v>10</v>
      </c>
      <c r="I456" s="5">
        <v>189.25264285714286</v>
      </c>
      <c r="J456" s="5">
        <v>11877.976596420629</v>
      </c>
      <c r="K456" s="5">
        <v>11.6666666666667</v>
      </c>
      <c r="L456" s="5">
        <v>198.146752941176</v>
      </c>
      <c r="M456" s="5">
        <v>12436.193537696739</v>
      </c>
      <c r="N456" s="5">
        <v>14.28571428571453</v>
      </c>
      <c r="O456" s="5">
        <v>-8.8941100840331444</v>
      </c>
      <c r="P456" s="5">
        <v>-558.21694127611045</v>
      </c>
      <c r="Q456" s="5">
        <v>-4.4886479097003154</v>
      </c>
    </row>
    <row r="457" spans="1:17" x14ac:dyDescent="0.2">
      <c r="A457" s="4" t="s">
        <v>51</v>
      </c>
      <c r="B457" s="25">
        <v>2014</v>
      </c>
      <c r="C457" s="25" t="s">
        <v>50</v>
      </c>
      <c r="D457" s="25">
        <v>4</v>
      </c>
      <c r="E457" s="25">
        <v>5</v>
      </c>
      <c r="F457" s="25">
        <v>1</v>
      </c>
      <c r="G457" s="6" t="str">
        <f t="shared" si="20"/>
        <v>51</v>
      </c>
      <c r="H457" s="5">
        <v>10</v>
      </c>
      <c r="I457" s="5">
        <v>191.91291428571429</v>
      </c>
      <c r="J457" s="5">
        <v>12044.941988774754</v>
      </c>
      <c r="K457" s="5">
        <v>11.6666666666667</v>
      </c>
      <c r="L457" s="5">
        <v>193.20141176470599</v>
      </c>
      <c r="M457" s="5">
        <v>12125.811363537268</v>
      </c>
      <c r="N457" s="5">
        <v>14.28571428571453</v>
      </c>
      <c r="O457" s="5">
        <v>-1.288497478991701</v>
      </c>
      <c r="P457" s="5">
        <v>-80.869374762514781</v>
      </c>
      <c r="Q457" s="5">
        <v>-0.66691928760900709</v>
      </c>
    </row>
    <row r="458" spans="1:17" x14ac:dyDescent="0.2">
      <c r="A458" s="4" t="s">
        <v>80</v>
      </c>
      <c r="B458" s="25">
        <v>2014</v>
      </c>
      <c r="C458" s="25" t="s">
        <v>50</v>
      </c>
      <c r="D458" s="25">
        <v>1</v>
      </c>
      <c r="E458" s="25">
        <v>5</v>
      </c>
      <c r="F458" s="25">
        <v>1</v>
      </c>
      <c r="G458" s="6" t="str">
        <f t="shared" si="20"/>
        <v>51</v>
      </c>
      <c r="H458" s="5">
        <v>30</v>
      </c>
      <c r="I458" s="5">
        <v>204.83286354989505</v>
      </c>
      <c r="J458" s="5">
        <v>12855.830823245204</v>
      </c>
      <c r="K458" s="5">
        <v>13.3333333333333</v>
      </c>
      <c r="L458" s="5">
        <v>195.65573825486001</v>
      </c>
      <c r="M458" s="5">
        <v>12279.851128424621</v>
      </c>
      <c r="N458" s="5">
        <v>-125.00000000000055</v>
      </c>
      <c r="O458" s="5">
        <v>9.1771252950350402</v>
      </c>
      <c r="P458" s="5">
        <v>575.97969482058215</v>
      </c>
      <c r="Q458" s="5">
        <v>4.6904452570059325</v>
      </c>
    </row>
    <row r="459" spans="1:17" x14ac:dyDescent="0.2">
      <c r="A459" s="4" t="s">
        <v>80</v>
      </c>
      <c r="B459" s="25">
        <v>2014</v>
      </c>
      <c r="C459" s="25" t="s">
        <v>50</v>
      </c>
      <c r="D459" s="25">
        <v>2</v>
      </c>
      <c r="E459" s="25">
        <v>5</v>
      </c>
      <c r="F459" s="25">
        <v>1</v>
      </c>
      <c r="G459" s="6" t="str">
        <f t="shared" si="20"/>
        <v>51</v>
      </c>
      <c r="H459" s="5">
        <v>48.333333333333336</v>
      </c>
      <c r="I459" s="5">
        <v>198.49323632237028</v>
      </c>
      <c r="J459" s="5">
        <v>12457.939714821361</v>
      </c>
      <c r="K459" s="5">
        <v>26.6666666666667</v>
      </c>
      <c r="L459" s="5">
        <v>200.14342489396401</v>
      </c>
      <c r="M459" s="5">
        <v>12561.509741306365</v>
      </c>
      <c r="N459" s="5">
        <v>-81.249999999999787</v>
      </c>
      <c r="O459" s="5">
        <v>-1.6501885715937306</v>
      </c>
      <c r="P459" s="5">
        <v>-103.57002648500384</v>
      </c>
      <c r="Q459" s="5">
        <v>-0.82450301450972574</v>
      </c>
    </row>
    <row r="460" spans="1:17" x14ac:dyDescent="0.2">
      <c r="A460" s="4" t="s">
        <v>80</v>
      </c>
      <c r="B460" s="25">
        <v>2014</v>
      </c>
      <c r="C460" s="25" t="s">
        <v>50</v>
      </c>
      <c r="D460" s="25">
        <v>3</v>
      </c>
      <c r="E460" s="25">
        <v>5</v>
      </c>
      <c r="F460" s="25">
        <v>1</v>
      </c>
      <c r="G460" s="6" t="str">
        <f t="shared" si="20"/>
        <v>51</v>
      </c>
      <c r="H460" s="5">
        <v>33.333333333333336</v>
      </c>
      <c r="I460" s="5">
        <v>211.38883489508845</v>
      </c>
      <c r="J460" s="5">
        <v>13267.300238041133</v>
      </c>
      <c r="K460" s="5">
        <v>13.3333333333333</v>
      </c>
      <c r="L460" s="5">
        <v>225.624535736848</v>
      </c>
      <c r="M460" s="5">
        <v>14160.768983731008</v>
      </c>
      <c r="N460" s="5">
        <v>-150.00000000000065</v>
      </c>
      <c r="O460" s="5">
        <v>-14.235700841759552</v>
      </c>
      <c r="P460" s="5">
        <v>-893.4687456898755</v>
      </c>
      <c r="Q460" s="5">
        <v>-6.3094648794593127</v>
      </c>
    </row>
    <row r="461" spans="1:17" x14ac:dyDescent="0.2">
      <c r="A461" s="4" t="s">
        <v>80</v>
      </c>
      <c r="B461" s="25">
        <v>2014</v>
      </c>
      <c r="C461" s="25" t="s">
        <v>50</v>
      </c>
      <c r="D461" s="25">
        <v>4</v>
      </c>
      <c r="E461" s="25">
        <v>5</v>
      </c>
      <c r="F461" s="25">
        <v>1</v>
      </c>
      <c r="G461" s="6" t="str">
        <f t="shared" si="20"/>
        <v>51</v>
      </c>
      <c r="H461" s="5">
        <v>45</v>
      </c>
      <c r="I461" s="5">
        <v>232.10990926690849</v>
      </c>
      <c r="J461" s="5">
        <v>14567.80750031993</v>
      </c>
      <c r="K461" s="5">
        <v>41.6666666666667</v>
      </c>
      <c r="L461" s="5">
        <v>227.772361535382</v>
      </c>
      <c r="M461" s="5">
        <v>14295.571986653578</v>
      </c>
      <c r="N461" s="5">
        <v>-7.9999999999999138</v>
      </c>
      <c r="O461" s="5">
        <v>4.3375477315264845</v>
      </c>
      <c r="P461" s="5">
        <v>272.23551366635184</v>
      </c>
      <c r="Q461" s="5">
        <v>1.9043345304441988</v>
      </c>
    </row>
    <row r="462" spans="1:17" x14ac:dyDescent="0.2">
      <c r="A462" s="4" t="s">
        <v>87</v>
      </c>
      <c r="B462" s="4">
        <v>2014</v>
      </c>
      <c r="C462" s="4" t="s">
        <v>50</v>
      </c>
      <c r="D462" s="4">
        <v>1</v>
      </c>
      <c r="E462" s="4">
        <v>5</v>
      </c>
      <c r="F462" s="4">
        <v>1</v>
      </c>
      <c r="G462" s="6" t="str">
        <f t="shared" si="20"/>
        <v>51</v>
      </c>
      <c r="H462" s="5">
        <v>20</v>
      </c>
      <c r="I462" s="5">
        <v>187.86220765714287</v>
      </c>
      <c r="J462" s="5">
        <v>11790.709351350208</v>
      </c>
      <c r="K462" s="5">
        <v>10.5</v>
      </c>
      <c r="L462" s="5">
        <v>198.27910945210101</v>
      </c>
      <c r="M462" s="5">
        <v>12444.500568528207</v>
      </c>
      <c r="N462" s="5">
        <v>-90.476190476190482</v>
      </c>
      <c r="O462" s="5">
        <v>-10.416901794958136</v>
      </c>
      <c r="P462" s="5">
        <v>-653.79121717799899</v>
      </c>
      <c r="Q462" s="5">
        <v>-5.2536557299167042</v>
      </c>
    </row>
    <row r="463" spans="1:17" x14ac:dyDescent="0.2">
      <c r="A463" s="4" t="s">
        <v>87</v>
      </c>
      <c r="B463" s="4">
        <v>2014</v>
      </c>
      <c r="C463" s="4" t="s">
        <v>50</v>
      </c>
      <c r="D463" s="4">
        <v>2</v>
      </c>
      <c r="E463" s="4">
        <v>5</v>
      </c>
      <c r="F463" s="4">
        <v>1</v>
      </c>
      <c r="G463" s="6" t="str">
        <f t="shared" si="20"/>
        <v>51</v>
      </c>
      <c r="H463" s="5">
        <v>10</v>
      </c>
      <c r="I463" s="5">
        <v>199.71282645378147</v>
      </c>
      <c r="J463" s="5">
        <v>12534.484289414502</v>
      </c>
      <c r="K463" s="5">
        <v>12.5</v>
      </c>
      <c r="L463" s="5">
        <v>195.36490518655501</v>
      </c>
      <c r="M463" s="5">
        <v>12261.597706297251</v>
      </c>
      <c r="N463" s="5">
        <v>20</v>
      </c>
      <c r="O463" s="5">
        <v>4.347921267226468</v>
      </c>
      <c r="P463" s="5">
        <v>272.88658311725158</v>
      </c>
      <c r="Q463" s="5">
        <v>2.2255385444353948</v>
      </c>
    </row>
    <row r="464" spans="1:17" x14ac:dyDescent="0.2">
      <c r="A464" s="4" t="s">
        <v>87</v>
      </c>
      <c r="B464" s="4">
        <v>2014</v>
      </c>
      <c r="C464" s="4" t="s">
        <v>50</v>
      </c>
      <c r="D464" s="4">
        <v>3</v>
      </c>
      <c r="E464" s="4">
        <v>5</v>
      </c>
      <c r="F464" s="4">
        <v>1</v>
      </c>
      <c r="G464" s="6" t="str">
        <f t="shared" si="20"/>
        <v>51</v>
      </c>
      <c r="H464" s="5">
        <v>5</v>
      </c>
      <c r="I464" s="5">
        <v>196.45157344537816</v>
      </c>
      <c r="J464" s="5">
        <v>12329.799766524846</v>
      </c>
      <c r="K464" s="5">
        <v>7.5</v>
      </c>
      <c r="L464" s="5">
        <v>197.00707692100801</v>
      </c>
      <c r="M464" s="5">
        <v>12364.664575719307</v>
      </c>
      <c r="N464" s="5">
        <v>33.333333333333329</v>
      </c>
      <c r="O464" s="5">
        <v>-0.55550347562984825</v>
      </c>
      <c r="P464" s="5">
        <v>-34.864809194461486</v>
      </c>
      <c r="Q464" s="5">
        <v>-0.28197133032566107</v>
      </c>
    </row>
    <row r="465" spans="1:17" x14ac:dyDescent="0.2">
      <c r="A465" s="4" t="s">
        <v>87</v>
      </c>
      <c r="B465" s="4">
        <v>2014</v>
      </c>
      <c r="C465" s="4" t="s">
        <v>50</v>
      </c>
      <c r="D465" s="4">
        <v>4</v>
      </c>
      <c r="E465" s="4">
        <v>5</v>
      </c>
      <c r="F465" s="4">
        <v>1</v>
      </c>
      <c r="G465" s="6" t="str">
        <f t="shared" si="20"/>
        <v>51</v>
      </c>
      <c r="H465" s="5">
        <v>10</v>
      </c>
      <c r="I465" s="5">
        <v>196.27851212773112</v>
      </c>
      <c r="J465" s="5">
        <v>12318.937998627058</v>
      </c>
      <c r="K465" s="5">
        <v>12.5</v>
      </c>
      <c r="L465" s="5">
        <v>198.94150697142899</v>
      </c>
      <c r="M465" s="5">
        <v>12486.07431943241</v>
      </c>
      <c r="N465" s="5">
        <v>20</v>
      </c>
      <c r="O465" s="5">
        <v>-2.6629948436978736</v>
      </c>
      <c r="P465" s="5">
        <v>-167.13632080535172</v>
      </c>
      <c r="Q465" s="5">
        <v>-1.3385818194693349</v>
      </c>
    </row>
    <row r="466" spans="1:17" x14ac:dyDescent="0.2">
      <c r="A466" s="4" t="s">
        <v>77</v>
      </c>
      <c r="B466" s="25">
        <v>2014</v>
      </c>
      <c r="C466" s="25" t="s">
        <v>50</v>
      </c>
      <c r="D466" s="26">
        <v>1</v>
      </c>
      <c r="E466" s="26">
        <v>6</v>
      </c>
      <c r="F466" s="26">
        <v>1</v>
      </c>
      <c r="G466" s="6" t="str">
        <f t="shared" si="20"/>
        <v>61</v>
      </c>
      <c r="H466" s="5">
        <v>10.333333333333334</v>
      </c>
      <c r="I466" s="5">
        <v>206.27245751725147</v>
      </c>
      <c r="J466" s="5">
        <v>12946.183397425715</v>
      </c>
      <c r="K466" s="5">
        <v>5</v>
      </c>
      <c r="L466" s="5">
        <v>203.90911865546201</v>
      </c>
      <c r="M466" s="5">
        <v>12797.854247217037</v>
      </c>
      <c r="N466" s="5">
        <v>-106.66666666666669</v>
      </c>
      <c r="O466" s="5">
        <v>2.3633388617894582</v>
      </c>
      <c r="P466" s="5">
        <v>148.32915020867767</v>
      </c>
      <c r="Q466" s="5">
        <v>1.1590157798596015</v>
      </c>
    </row>
    <row r="467" spans="1:17" x14ac:dyDescent="0.2">
      <c r="A467" s="4" t="s">
        <v>77</v>
      </c>
      <c r="B467" s="25">
        <v>2014</v>
      </c>
      <c r="C467" s="25" t="s">
        <v>50</v>
      </c>
      <c r="D467" s="26">
        <v>2</v>
      </c>
      <c r="E467" s="26">
        <v>6</v>
      </c>
      <c r="F467" s="26">
        <v>1</v>
      </c>
      <c r="G467" s="6" t="str">
        <f t="shared" si="20"/>
        <v>61</v>
      </c>
      <c r="H467" s="5">
        <v>20</v>
      </c>
      <c r="I467" s="5">
        <v>221.22582323736182</v>
      </c>
      <c r="J467" s="5">
        <v>13884.694613859625</v>
      </c>
      <c r="K467" s="5">
        <v>31.666666666666668</v>
      </c>
      <c r="L467" s="5">
        <v>233.84911462184877</v>
      </c>
      <c r="M467" s="5">
        <v>14676.96444624403</v>
      </c>
      <c r="N467" s="5">
        <v>36.842105263157897</v>
      </c>
      <c r="O467" s="5">
        <v>-12.623291384486947</v>
      </c>
      <c r="P467" s="5">
        <v>-792.26983238440516</v>
      </c>
      <c r="Q467" s="5">
        <v>-5.3980496804102724</v>
      </c>
    </row>
    <row r="468" spans="1:17" x14ac:dyDescent="0.2">
      <c r="A468" s="4" t="s">
        <v>77</v>
      </c>
      <c r="B468" s="25">
        <v>2014</v>
      </c>
      <c r="C468" s="25" t="s">
        <v>50</v>
      </c>
      <c r="D468" s="26">
        <v>3</v>
      </c>
      <c r="E468" s="26">
        <v>6</v>
      </c>
      <c r="F468" s="26">
        <v>1</v>
      </c>
      <c r="G468" s="6" t="str">
        <f t="shared" si="20"/>
        <v>61</v>
      </c>
      <c r="H468" s="5">
        <v>4</v>
      </c>
      <c r="I468" s="5">
        <v>224.68287742865587</v>
      </c>
      <c r="J468" s="5">
        <v>14101.668116352506</v>
      </c>
      <c r="K468" s="5">
        <v>10</v>
      </c>
      <c r="L468" s="5">
        <v>216.62039332828201</v>
      </c>
      <c r="M468" s="5">
        <v>13595.646134268256</v>
      </c>
      <c r="N468" s="5">
        <v>60</v>
      </c>
      <c r="O468" s="5">
        <v>8.0624841003738652</v>
      </c>
      <c r="P468" s="5">
        <v>506.02198208425034</v>
      </c>
      <c r="Q468" s="5">
        <v>3.7219414001134226</v>
      </c>
    </row>
    <row r="469" spans="1:17" x14ac:dyDescent="0.2">
      <c r="A469" s="4" t="s">
        <v>77</v>
      </c>
      <c r="B469" s="25">
        <v>2014</v>
      </c>
      <c r="C469" s="25" t="s">
        <v>50</v>
      </c>
      <c r="D469" s="26">
        <v>4</v>
      </c>
      <c r="E469" s="26">
        <v>6</v>
      </c>
      <c r="F469" s="26">
        <v>1</v>
      </c>
      <c r="G469" s="6" t="str">
        <f t="shared" si="20"/>
        <v>61</v>
      </c>
      <c r="H469" s="5">
        <v>12.666666666666666</v>
      </c>
      <c r="I469" s="5">
        <v>228.26569533783075</v>
      </c>
      <c r="J469" s="5">
        <v>14326.534869238698</v>
      </c>
      <c r="K469" s="5">
        <v>18.3333333333333</v>
      </c>
      <c r="L469" s="5">
        <v>214.28523421746999</v>
      </c>
      <c r="M469" s="5">
        <v>13449.085616811806</v>
      </c>
      <c r="N469" s="5">
        <v>30.909090909090786</v>
      </c>
      <c r="O469" s="5">
        <v>13.980461120360758</v>
      </c>
      <c r="P469" s="5">
        <v>877.44925242689169</v>
      </c>
      <c r="Q469" s="5">
        <v>6.5242298058542421</v>
      </c>
    </row>
    <row r="470" spans="1:17" x14ac:dyDescent="0.2">
      <c r="A470" s="4" t="s">
        <v>86</v>
      </c>
      <c r="B470" s="25">
        <v>2014</v>
      </c>
      <c r="C470" s="25" t="s">
        <v>50</v>
      </c>
      <c r="D470" s="25">
        <v>1</v>
      </c>
      <c r="E470" s="25">
        <v>6</v>
      </c>
      <c r="F470" s="25">
        <v>1</v>
      </c>
      <c r="G470" s="6" t="str">
        <f t="shared" si="20"/>
        <v>61</v>
      </c>
      <c r="H470" s="5">
        <v>0</v>
      </c>
      <c r="I470" s="5">
        <v>175.54606789915968</v>
      </c>
      <c r="J470" s="5">
        <v>11017.717135257366</v>
      </c>
      <c r="K470" s="5">
        <v>0</v>
      </c>
      <c r="L470" s="5" t="s">
        <v>97</v>
      </c>
      <c r="M470" s="5" t="s">
        <v>97</v>
      </c>
      <c r="N470" s="5" t="s">
        <v>97</v>
      </c>
      <c r="O470" s="5" t="s">
        <v>97</v>
      </c>
      <c r="P470" s="5" t="s">
        <v>97</v>
      </c>
      <c r="Q470" s="5" t="s">
        <v>97</v>
      </c>
    </row>
    <row r="471" spans="1:17" x14ac:dyDescent="0.2">
      <c r="A471" s="4" t="s">
        <v>86</v>
      </c>
      <c r="B471" s="25">
        <v>2014</v>
      </c>
      <c r="C471" s="25" t="s">
        <v>50</v>
      </c>
      <c r="D471" s="25">
        <v>2</v>
      </c>
      <c r="E471" s="25">
        <v>6</v>
      </c>
      <c r="F471" s="25">
        <v>1</v>
      </c>
      <c r="G471" s="6" t="str">
        <f t="shared" si="20"/>
        <v>61</v>
      </c>
      <c r="H471" s="5">
        <v>0</v>
      </c>
      <c r="I471" s="5">
        <v>168.44102924369747</v>
      </c>
      <c r="J471" s="5">
        <v>10571.786861353881</v>
      </c>
      <c r="K471" s="5">
        <v>0</v>
      </c>
      <c r="L471" s="5">
        <v>141.80000000000001</v>
      </c>
      <c r="M471" s="5">
        <v>8899.7281937237458</v>
      </c>
      <c r="N471" s="5" t="s">
        <v>97</v>
      </c>
      <c r="O471" s="5">
        <v>26.64102924369746</v>
      </c>
      <c r="P471" s="5">
        <v>1672.0586676301355</v>
      </c>
      <c r="Q471" s="5">
        <v>18.787749819250688</v>
      </c>
    </row>
    <row r="472" spans="1:17" x14ac:dyDescent="0.2">
      <c r="A472" s="4" t="s">
        <v>86</v>
      </c>
      <c r="B472" s="25">
        <v>2014</v>
      </c>
      <c r="C472" s="25" t="s">
        <v>50</v>
      </c>
      <c r="D472" s="25">
        <v>3</v>
      </c>
      <c r="E472" s="25">
        <v>6</v>
      </c>
      <c r="F472" s="25">
        <v>1</v>
      </c>
      <c r="G472" s="6" t="str">
        <f t="shared" si="20"/>
        <v>61</v>
      </c>
      <c r="H472" s="5">
        <v>0</v>
      </c>
      <c r="I472" s="5">
        <v>166.88970756302524</v>
      </c>
      <c r="J472" s="5">
        <v>10474.421972080161</v>
      </c>
      <c r="K472" s="5">
        <v>0</v>
      </c>
      <c r="L472" s="5">
        <v>147.9</v>
      </c>
      <c r="M472" s="5">
        <v>9282.5796886582648</v>
      </c>
      <c r="N472" s="5" t="s">
        <v>97</v>
      </c>
      <c r="O472" s="5">
        <v>18.989707563025235</v>
      </c>
      <c r="P472" s="5">
        <v>1191.8422834218964</v>
      </c>
      <c r="Q472" s="5">
        <v>12.839558866142836</v>
      </c>
    </row>
    <row r="473" spans="1:17" x14ac:dyDescent="0.2">
      <c r="A473" s="4" t="s">
        <v>86</v>
      </c>
      <c r="B473" s="25">
        <v>2014</v>
      </c>
      <c r="C473" s="25" t="s">
        <v>50</v>
      </c>
      <c r="D473" s="25">
        <v>4</v>
      </c>
      <c r="E473" s="25">
        <v>6</v>
      </c>
      <c r="F473" s="25">
        <v>1</v>
      </c>
      <c r="G473" s="6" t="str">
        <f t="shared" si="20"/>
        <v>61</v>
      </c>
      <c r="H473" s="5">
        <v>0</v>
      </c>
      <c r="I473" s="5" t="s">
        <v>97</v>
      </c>
      <c r="J473" s="5" t="s">
        <v>97</v>
      </c>
      <c r="K473" s="5">
        <v>0</v>
      </c>
      <c r="L473" s="5">
        <v>158.6</v>
      </c>
      <c r="M473" s="5">
        <v>9954.138868297503</v>
      </c>
      <c r="N473" s="5" t="s">
        <v>97</v>
      </c>
      <c r="O473" s="5" t="s">
        <v>97</v>
      </c>
      <c r="P473" s="5" t="s">
        <v>97</v>
      </c>
      <c r="Q473" s="5" t="s">
        <v>97</v>
      </c>
    </row>
    <row r="474" spans="1:17" x14ac:dyDescent="0.2">
      <c r="A474" s="4" t="s">
        <v>51</v>
      </c>
      <c r="B474" s="25">
        <v>2014</v>
      </c>
      <c r="C474" s="25" t="s">
        <v>50</v>
      </c>
      <c r="D474" s="25">
        <v>1</v>
      </c>
      <c r="E474" s="25">
        <v>6</v>
      </c>
      <c r="F474" s="25">
        <v>1</v>
      </c>
      <c r="G474" s="6" t="str">
        <f t="shared" si="20"/>
        <v>61</v>
      </c>
      <c r="H474" s="5">
        <v>6.666666666666667</v>
      </c>
      <c r="I474" s="5">
        <v>191.91291428571429</v>
      </c>
      <c r="J474" s="5">
        <v>12044.941988774754</v>
      </c>
      <c r="K474" s="5">
        <v>11.6666666666667</v>
      </c>
      <c r="L474" s="5">
        <v>201.86765546218501</v>
      </c>
      <c r="M474" s="5">
        <v>12669.726831577709</v>
      </c>
      <c r="N474" s="5">
        <v>42.857142857143018</v>
      </c>
      <c r="O474" s="5">
        <v>-9.9547411764707192</v>
      </c>
      <c r="P474" s="5">
        <v>-624.78484280295561</v>
      </c>
      <c r="Q474" s="5">
        <v>-4.9313205494356636</v>
      </c>
    </row>
    <row r="475" spans="1:17" x14ac:dyDescent="0.2">
      <c r="A475" s="4" t="s">
        <v>51</v>
      </c>
      <c r="B475" s="25">
        <v>2014</v>
      </c>
      <c r="C475" s="25" t="s">
        <v>50</v>
      </c>
      <c r="D475" s="25">
        <v>2</v>
      </c>
      <c r="E475" s="25">
        <v>6</v>
      </c>
      <c r="F475" s="25">
        <v>1</v>
      </c>
      <c r="G475" s="6" t="str">
        <f t="shared" si="20"/>
        <v>61</v>
      </c>
      <c r="H475" s="5">
        <v>6.666666666666667</v>
      </c>
      <c r="I475" s="5">
        <v>192.98910252100839</v>
      </c>
      <c r="J475" s="5">
        <v>12112.486296104802</v>
      </c>
      <c r="K475" s="5">
        <v>13.3333333333333</v>
      </c>
      <c r="L475" s="5">
        <v>183.37661848739501</v>
      </c>
      <c r="M475" s="5">
        <v>11509.182380973149</v>
      </c>
      <c r="N475" s="5">
        <v>49.999999999999872</v>
      </c>
      <c r="O475" s="5">
        <v>9.6124840336133843</v>
      </c>
      <c r="P475" s="5">
        <v>603.30391513165341</v>
      </c>
      <c r="Q475" s="5">
        <v>5.2419354838709369</v>
      </c>
    </row>
    <row r="476" spans="1:17" x14ac:dyDescent="0.2">
      <c r="A476" s="4" t="s">
        <v>51</v>
      </c>
      <c r="B476" s="25">
        <v>2014</v>
      </c>
      <c r="C476" s="25" t="s">
        <v>50</v>
      </c>
      <c r="D476" s="25">
        <v>3</v>
      </c>
      <c r="E476" s="25">
        <v>6</v>
      </c>
      <c r="F476" s="25">
        <v>1</v>
      </c>
      <c r="G476" s="6" t="str">
        <f t="shared" si="20"/>
        <v>61</v>
      </c>
      <c r="H476" s="5">
        <v>6</v>
      </c>
      <c r="I476" s="5">
        <v>181.15835294117647</v>
      </c>
      <c r="J476" s="5">
        <v>11369.958400558147</v>
      </c>
      <c r="K476" s="5">
        <v>11.6666666666667</v>
      </c>
      <c r="L476" s="5">
        <v>198.146752941176</v>
      </c>
      <c r="M476" s="5">
        <v>12436.193537696739</v>
      </c>
      <c r="N476" s="5">
        <v>48.571428571428719</v>
      </c>
      <c r="O476" s="5">
        <v>-16.98839999999953</v>
      </c>
      <c r="P476" s="5">
        <v>-1066.2351371385921</v>
      </c>
      <c r="Q476" s="5">
        <v>-8.573645415750466</v>
      </c>
    </row>
    <row r="477" spans="1:17" x14ac:dyDescent="0.2">
      <c r="A477" s="4" t="s">
        <v>51</v>
      </c>
      <c r="B477" s="25">
        <v>2014</v>
      </c>
      <c r="C477" s="25" t="s">
        <v>50</v>
      </c>
      <c r="D477" s="25">
        <v>4</v>
      </c>
      <c r="E477" s="25">
        <v>6</v>
      </c>
      <c r="F477" s="25">
        <v>1</v>
      </c>
      <c r="G477" s="6" t="str">
        <f t="shared" si="20"/>
        <v>61</v>
      </c>
      <c r="H477" s="5">
        <v>10</v>
      </c>
      <c r="I477" s="5">
        <v>192.72554621848741</v>
      </c>
      <c r="J477" s="5">
        <v>12095.944833085199</v>
      </c>
      <c r="K477" s="5">
        <v>11.666666666666666</v>
      </c>
      <c r="L477" s="5">
        <v>193.20141176470591</v>
      </c>
      <c r="M477" s="5">
        <v>12125.811363537263</v>
      </c>
      <c r="N477" s="5">
        <v>14.285714285714283</v>
      </c>
      <c r="O477" s="5">
        <v>-0.47586554621850041</v>
      </c>
      <c r="P477" s="5">
        <v>-29.866530452063671</v>
      </c>
      <c r="Q477" s="5">
        <v>-0.24630541871922376</v>
      </c>
    </row>
    <row r="478" spans="1:17" x14ac:dyDescent="0.2">
      <c r="A478" s="4" t="s">
        <v>80</v>
      </c>
      <c r="B478" s="25">
        <v>2014</v>
      </c>
      <c r="C478" s="25" t="s">
        <v>50</v>
      </c>
      <c r="D478" s="25">
        <v>1</v>
      </c>
      <c r="E478" s="25">
        <v>6</v>
      </c>
      <c r="F478" s="25">
        <v>1</v>
      </c>
      <c r="G478" s="6" t="str">
        <f t="shared" si="20"/>
        <v>61</v>
      </c>
      <c r="H478" s="5">
        <v>51.666666666666664</v>
      </c>
      <c r="I478" s="5">
        <v>190.93111716195023</v>
      </c>
      <c r="J478" s="5">
        <v>11983.321907372216</v>
      </c>
      <c r="K478" s="5">
        <v>13.3333333333333</v>
      </c>
      <c r="L478" s="5">
        <v>195.65573825486001</v>
      </c>
      <c r="M478" s="5">
        <v>12279.851128424621</v>
      </c>
      <c r="N478" s="5">
        <v>-287.50000000000091</v>
      </c>
      <c r="O478" s="5">
        <v>-4.7246210929097856</v>
      </c>
      <c r="P478" s="5">
        <v>-296.52922105240577</v>
      </c>
      <c r="Q478" s="5">
        <v>-2.4147623448464999</v>
      </c>
    </row>
    <row r="479" spans="1:17" x14ac:dyDescent="0.2">
      <c r="A479" s="4" t="s">
        <v>80</v>
      </c>
      <c r="B479" s="25">
        <v>2014</v>
      </c>
      <c r="C479" s="25" t="s">
        <v>50</v>
      </c>
      <c r="D479" s="25">
        <v>2</v>
      </c>
      <c r="E479" s="25">
        <v>6</v>
      </c>
      <c r="F479" s="25">
        <v>1</v>
      </c>
      <c r="G479" s="6" t="str">
        <f t="shared" si="20"/>
        <v>61</v>
      </c>
      <c r="H479" s="5">
        <v>41.666666666666664</v>
      </c>
      <c r="I479" s="5">
        <v>212.75815464312456</v>
      </c>
      <c r="J479" s="5">
        <v>13353.242223709818</v>
      </c>
      <c r="K479" s="5">
        <v>26.666666666666668</v>
      </c>
      <c r="L479" s="5">
        <v>200.14342489396395</v>
      </c>
      <c r="M479" s="5">
        <v>12561.509741306361</v>
      </c>
      <c r="N479" s="5">
        <v>-56.249999999999986</v>
      </c>
      <c r="O479" s="5">
        <v>12.614729749160603</v>
      </c>
      <c r="P479" s="5">
        <v>791.73248240345674</v>
      </c>
      <c r="Q479" s="5">
        <v>6.3028449502369996</v>
      </c>
    </row>
    <row r="480" spans="1:17" x14ac:dyDescent="0.2">
      <c r="A480" s="4" t="s">
        <v>80</v>
      </c>
      <c r="B480" s="25">
        <v>2014</v>
      </c>
      <c r="C480" s="25" t="s">
        <v>50</v>
      </c>
      <c r="D480" s="25">
        <v>3</v>
      </c>
      <c r="E480" s="25">
        <v>6</v>
      </c>
      <c r="F480" s="25">
        <v>1</v>
      </c>
      <c r="G480" s="6" t="str">
        <f t="shared" si="20"/>
        <v>61</v>
      </c>
      <c r="H480" s="5">
        <v>41.666666666666664</v>
      </c>
      <c r="I480" s="5">
        <v>221.1153519548846</v>
      </c>
      <c r="J480" s="5">
        <v>13877.761155557373</v>
      </c>
      <c r="K480" s="5">
        <v>13.3333333333333</v>
      </c>
      <c r="L480" s="5">
        <v>225.624535736848</v>
      </c>
      <c r="M480" s="5">
        <v>14160.768983731008</v>
      </c>
      <c r="N480" s="5">
        <v>-212.50000000000077</v>
      </c>
      <c r="O480" s="5">
        <v>-4.5091837819634009</v>
      </c>
      <c r="P480" s="5">
        <v>-283.00782817363506</v>
      </c>
      <c r="Q480" s="5">
        <v>-1.998534320408563</v>
      </c>
    </row>
    <row r="481" spans="1:17" x14ac:dyDescent="0.2">
      <c r="A481" s="4" t="s">
        <v>80</v>
      </c>
      <c r="B481" s="25">
        <v>2014</v>
      </c>
      <c r="C481" s="25" t="s">
        <v>50</v>
      </c>
      <c r="D481" s="25">
        <v>4</v>
      </c>
      <c r="E481" s="25">
        <v>6</v>
      </c>
      <c r="F481" s="25">
        <v>1</v>
      </c>
      <c r="G481" s="6" t="str">
        <f t="shared" si="20"/>
        <v>61</v>
      </c>
      <c r="H481" s="5">
        <v>30</v>
      </c>
      <c r="I481" s="5">
        <v>209.39490002093947</v>
      </c>
      <c r="J481" s="5">
        <v>13142.155820439493</v>
      </c>
      <c r="K481" s="5">
        <v>41.6666666666667</v>
      </c>
      <c r="L481" s="5">
        <v>227.772361535382</v>
      </c>
      <c r="M481" s="5">
        <v>14295.571986653578</v>
      </c>
      <c r="N481" s="5">
        <v>28.000000000000057</v>
      </c>
      <c r="O481" s="5">
        <v>-18.37746151444253</v>
      </c>
      <c r="P481" s="5">
        <v>-1153.416166214085</v>
      </c>
      <c r="Q481" s="5">
        <v>-8.0683456897766703</v>
      </c>
    </row>
    <row r="482" spans="1:17" x14ac:dyDescent="0.2">
      <c r="A482" s="4" t="s">
        <v>87</v>
      </c>
      <c r="B482" s="4">
        <v>2014</v>
      </c>
      <c r="C482" s="4" t="s">
        <v>50</v>
      </c>
      <c r="D482" s="4">
        <v>1</v>
      </c>
      <c r="E482" s="4">
        <v>6</v>
      </c>
      <c r="F482" s="4">
        <v>1</v>
      </c>
      <c r="G482" s="6" t="str">
        <f t="shared" si="20"/>
        <v>61</v>
      </c>
      <c r="H482" s="5">
        <v>5</v>
      </c>
      <c r="I482" s="5">
        <v>206.70958739495796</v>
      </c>
      <c r="J482" s="5">
        <v>12973.618778927434</v>
      </c>
      <c r="K482" s="5">
        <v>10.5</v>
      </c>
      <c r="L482" s="5">
        <v>198.27910945210101</v>
      </c>
      <c r="M482" s="5">
        <v>12444.500568528207</v>
      </c>
      <c r="N482" s="5">
        <v>52.380952380952387</v>
      </c>
      <c r="O482" s="5">
        <v>8.4304779428569532</v>
      </c>
      <c r="P482" s="5">
        <v>529.11821039922688</v>
      </c>
      <c r="Q482" s="5">
        <v>4.2518235865355019</v>
      </c>
    </row>
    <row r="483" spans="1:17" x14ac:dyDescent="0.2">
      <c r="A483" s="4" t="s">
        <v>87</v>
      </c>
      <c r="B483" s="4">
        <v>2014</v>
      </c>
      <c r="C483" s="4" t="s">
        <v>50</v>
      </c>
      <c r="D483" s="4">
        <v>2</v>
      </c>
      <c r="E483" s="4">
        <v>6</v>
      </c>
      <c r="F483" s="4">
        <v>1</v>
      </c>
      <c r="G483" s="6" t="str">
        <f t="shared" si="20"/>
        <v>61</v>
      </c>
      <c r="H483" s="5">
        <v>1</v>
      </c>
      <c r="I483" s="5">
        <v>212.13433748571427</v>
      </c>
      <c r="J483" s="5">
        <v>13314.089874319601</v>
      </c>
      <c r="K483" s="5">
        <v>12.5</v>
      </c>
      <c r="L483" s="5">
        <v>195.36490518655501</v>
      </c>
      <c r="M483" s="5">
        <v>12261.597706297251</v>
      </c>
      <c r="N483" s="5">
        <v>92</v>
      </c>
      <c r="O483" s="5">
        <v>16.769432299159263</v>
      </c>
      <c r="P483" s="5">
        <v>1052.4921680223506</v>
      </c>
      <c r="Q483" s="5">
        <v>8.5836462199523709</v>
      </c>
    </row>
    <row r="484" spans="1:17" x14ac:dyDescent="0.2">
      <c r="A484" s="4" t="s">
        <v>87</v>
      </c>
      <c r="B484" s="4">
        <v>2014</v>
      </c>
      <c r="C484" s="4" t="s">
        <v>50</v>
      </c>
      <c r="D484" s="4">
        <v>3</v>
      </c>
      <c r="E484" s="4">
        <v>6</v>
      </c>
      <c r="F484" s="4">
        <v>1</v>
      </c>
      <c r="G484" s="6" t="str">
        <f t="shared" si="20"/>
        <v>61</v>
      </c>
      <c r="H484" s="5">
        <v>10</v>
      </c>
      <c r="I484" s="5">
        <v>202.16759717647062</v>
      </c>
      <c r="J484" s="5">
        <v>12688.55193546418</v>
      </c>
      <c r="K484" s="5">
        <v>7.5</v>
      </c>
      <c r="L484" s="5">
        <v>197.00707692100801</v>
      </c>
      <c r="M484" s="5">
        <v>12364.664575719307</v>
      </c>
      <c r="N484" s="5">
        <v>-33.333333333333329</v>
      </c>
      <c r="O484" s="5">
        <v>5.1605202554626146</v>
      </c>
      <c r="P484" s="5">
        <v>323.88735974487281</v>
      </c>
      <c r="Q484" s="5">
        <v>2.6194593291345378</v>
      </c>
    </row>
    <row r="485" spans="1:17" x14ac:dyDescent="0.2">
      <c r="A485" s="4" t="s">
        <v>87</v>
      </c>
      <c r="B485" s="4">
        <v>2014</v>
      </c>
      <c r="C485" s="4" t="s">
        <v>50</v>
      </c>
      <c r="D485" s="4">
        <v>4</v>
      </c>
      <c r="E485" s="4">
        <v>6</v>
      </c>
      <c r="F485" s="4">
        <v>1</v>
      </c>
      <c r="G485" s="6" t="str">
        <f t="shared" si="20"/>
        <v>61</v>
      </c>
      <c r="H485" s="5">
        <v>10</v>
      </c>
      <c r="I485" s="5">
        <v>203.91424336134457</v>
      </c>
      <c r="J485" s="5">
        <v>12798.175886775765</v>
      </c>
      <c r="K485" s="5">
        <v>12.5</v>
      </c>
      <c r="L485" s="5">
        <v>198.94150697142899</v>
      </c>
      <c r="M485" s="5">
        <v>12486.07431943241</v>
      </c>
      <c r="N485" s="5">
        <v>20</v>
      </c>
      <c r="O485" s="5">
        <v>4.9727363899155819</v>
      </c>
      <c r="P485" s="5">
        <v>312.10156734335578</v>
      </c>
      <c r="Q485" s="5">
        <v>2.4995972261483645</v>
      </c>
    </row>
    <row r="486" spans="1:17" x14ac:dyDescent="0.2">
      <c r="A486" s="4" t="s">
        <v>77</v>
      </c>
      <c r="B486" s="25">
        <v>2014</v>
      </c>
      <c r="C486" s="25" t="s">
        <v>50</v>
      </c>
      <c r="D486" s="26">
        <v>1</v>
      </c>
      <c r="E486" s="26">
        <v>7</v>
      </c>
      <c r="F486" s="26">
        <v>2</v>
      </c>
      <c r="G486" s="6" t="str">
        <f t="shared" si="20"/>
        <v>72</v>
      </c>
      <c r="H486" s="5">
        <v>2.3333333333333335</v>
      </c>
      <c r="I486" s="5">
        <v>223.45790894796463</v>
      </c>
      <c r="J486" s="5">
        <v>14024.785982896718</v>
      </c>
      <c r="K486" s="5">
        <v>5</v>
      </c>
      <c r="L486" s="5">
        <v>203.90911865546201</v>
      </c>
      <c r="M486" s="5">
        <v>12797.854247217037</v>
      </c>
      <c r="N486" s="5">
        <v>53.333333333333336</v>
      </c>
      <c r="O486" s="5">
        <v>19.548790292502616</v>
      </c>
      <c r="P486" s="5">
        <v>1226.9317356796801</v>
      </c>
      <c r="Q486" s="5">
        <v>9.5870113222025708</v>
      </c>
    </row>
    <row r="487" spans="1:17" x14ac:dyDescent="0.2">
      <c r="A487" s="4" t="s">
        <v>77</v>
      </c>
      <c r="B487" s="25">
        <v>2014</v>
      </c>
      <c r="C487" s="25" t="s">
        <v>50</v>
      </c>
      <c r="D487" s="26">
        <v>2</v>
      </c>
      <c r="E487" s="26">
        <v>7</v>
      </c>
      <c r="F487" s="26">
        <v>2</v>
      </c>
      <c r="G487" s="6" t="str">
        <f t="shared" si="20"/>
        <v>72</v>
      </c>
      <c r="H487" s="5">
        <v>9.6666666666666661</v>
      </c>
      <c r="I487" s="5">
        <v>233.33196330296468</v>
      </c>
      <c r="J487" s="5">
        <v>14644.506715827287</v>
      </c>
      <c r="K487" s="5">
        <v>31.6666666666667</v>
      </c>
      <c r="L487" s="5">
        <v>233.849114621849</v>
      </c>
      <c r="M487" s="5">
        <v>14676.964446244043</v>
      </c>
      <c r="N487" s="5">
        <v>69.473684210526358</v>
      </c>
      <c r="O487" s="5">
        <v>-0.51715131888431642</v>
      </c>
      <c r="P487" s="5">
        <v>-32.457730416756021</v>
      </c>
      <c r="Q487" s="5">
        <v>-0.22114743505468001</v>
      </c>
    </row>
    <row r="488" spans="1:17" x14ac:dyDescent="0.2">
      <c r="A488" s="4" t="s">
        <v>77</v>
      </c>
      <c r="B488" s="25">
        <v>2014</v>
      </c>
      <c r="C488" s="25" t="s">
        <v>50</v>
      </c>
      <c r="D488" s="26">
        <v>3</v>
      </c>
      <c r="E488" s="26">
        <v>7</v>
      </c>
      <c r="F488" s="26">
        <v>2</v>
      </c>
      <c r="G488" s="6" t="str">
        <f t="shared" si="20"/>
        <v>72</v>
      </c>
      <c r="H488" s="5">
        <v>15</v>
      </c>
      <c r="I488" s="5">
        <v>226.23286903156463</v>
      </c>
      <c r="J488" s="5">
        <v>14198.94952656719</v>
      </c>
      <c r="K488" s="5">
        <v>10</v>
      </c>
      <c r="L488" s="5">
        <v>216.62039332828201</v>
      </c>
      <c r="M488" s="5">
        <v>13595.646134268256</v>
      </c>
      <c r="N488" s="5">
        <v>-50</v>
      </c>
      <c r="O488" s="5">
        <v>9.6124757032826267</v>
      </c>
      <c r="P488" s="5">
        <v>603.30339229893434</v>
      </c>
      <c r="Q488" s="5">
        <v>4.4374749558852455</v>
      </c>
    </row>
    <row r="489" spans="1:17" x14ac:dyDescent="0.2">
      <c r="A489" s="4" t="s">
        <v>77</v>
      </c>
      <c r="B489" s="25">
        <v>2014</v>
      </c>
      <c r="C489" s="25" t="s">
        <v>50</v>
      </c>
      <c r="D489" s="26">
        <v>4</v>
      </c>
      <c r="E489" s="26">
        <v>7</v>
      </c>
      <c r="F489" s="26">
        <v>2</v>
      </c>
      <c r="G489" s="6" t="str">
        <f t="shared" si="20"/>
        <v>72</v>
      </c>
      <c r="H489" s="5">
        <v>5.333333333333333</v>
      </c>
      <c r="I489" s="5">
        <v>236.08841200280889</v>
      </c>
      <c r="J489" s="5">
        <v>14817.508438031495</v>
      </c>
      <c r="K489" s="5">
        <v>18.3333333333333</v>
      </c>
      <c r="L489" s="5">
        <v>214.28523421746999</v>
      </c>
      <c r="M489" s="5">
        <v>13449.085616811806</v>
      </c>
      <c r="N489" s="5">
        <v>70.909090909090864</v>
      </c>
      <c r="O489" s="5">
        <v>21.803177785338903</v>
      </c>
      <c r="P489" s="5">
        <v>1368.4228212196886</v>
      </c>
      <c r="Q489" s="5">
        <v>10.174839094704806</v>
      </c>
    </row>
    <row r="490" spans="1:17" x14ac:dyDescent="0.2">
      <c r="A490" s="4" t="s">
        <v>86</v>
      </c>
      <c r="B490" s="25">
        <v>2014</v>
      </c>
      <c r="C490" s="25" t="s">
        <v>50</v>
      </c>
      <c r="D490" s="25">
        <v>1</v>
      </c>
      <c r="E490" s="25">
        <v>7</v>
      </c>
      <c r="F490" s="25">
        <v>2</v>
      </c>
      <c r="G490" s="6" t="str">
        <f t="shared" si="20"/>
        <v>72</v>
      </c>
      <c r="H490" s="5">
        <v>0</v>
      </c>
      <c r="I490" s="5">
        <v>185.87235025210086</v>
      </c>
      <c r="J490" s="5">
        <v>11665.820846067116</v>
      </c>
      <c r="K490" s="5">
        <v>0</v>
      </c>
      <c r="L490" s="5" t="s">
        <v>97</v>
      </c>
      <c r="M490" s="5" t="s">
        <v>97</v>
      </c>
      <c r="N490" s="5" t="s">
        <v>97</v>
      </c>
      <c r="O490" s="5" t="s">
        <v>97</v>
      </c>
      <c r="P490" s="5" t="s">
        <v>97</v>
      </c>
      <c r="Q490" s="5" t="s">
        <v>97</v>
      </c>
    </row>
    <row r="491" spans="1:17" x14ac:dyDescent="0.2">
      <c r="A491" s="4" t="s">
        <v>86</v>
      </c>
      <c r="B491" s="25">
        <v>2014</v>
      </c>
      <c r="C491" s="25" t="s">
        <v>50</v>
      </c>
      <c r="D491" s="25">
        <v>2</v>
      </c>
      <c r="E491" s="25">
        <v>7</v>
      </c>
      <c r="F491" s="25">
        <v>2</v>
      </c>
      <c r="G491" s="6" t="str">
        <f t="shared" si="20"/>
        <v>72</v>
      </c>
      <c r="H491" s="5">
        <v>0</v>
      </c>
      <c r="I491" s="5">
        <v>154.59919865546215</v>
      </c>
      <c r="J491" s="5">
        <v>9703.038413265971</v>
      </c>
      <c r="K491" s="5">
        <v>0</v>
      </c>
      <c r="L491" s="5">
        <v>141.80000000000001</v>
      </c>
      <c r="M491" s="5">
        <v>8899.7281937237458</v>
      </c>
      <c r="N491" s="5" t="s">
        <v>97</v>
      </c>
      <c r="O491" s="5">
        <v>12.799198655462135</v>
      </c>
      <c r="P491" s="5">
        <v>803.31021954222524</v>
      </c>
      <c r="Q491" s="5">
        <v>9.0262331843879746</v>
      </c>
    </row>
    <row r="492" spans="1:17" x14ac:dyDescent="0.2">
      <c r="A492" s="4" t="s">
        <v>86</v>
      </c>
      <c r="B492" s="25">
        <v>2014</v>
      </c>
      <c r="C492" s="25" t="s">
        <v>50</v>
      </c>
      <c r="D492" s="25">
        <v>3</v>
      </c>
      <c r="E492" s="25">
        <v>7</v>
      </c>
      <c r="F492" s="25">
        <v>2</v>
      </c>
      <c r="G492" s="6" t="str">
        <f t="shared" si="20"/>
        <v>72</v>
      </c>
      <c r="H492" s="5">
        <v>0</v>
      </c>
      <c r="I492" s="5">
        <v>160.69906285714282</v>
      </c>
      <c r="J492" s="5">
        <v>10085.881385153021</v>
      </c>
      <c r="K492" s="5">
        <v>0</v>
      </c>
      <c r="L492" s="5">
        <v>147.9</v>
      </c>
      <c r="M492" s="5">
        <v>9282.5796886582648</v>
      </c>
      <c r="N492" s="5" t="s">
        <v>97</v>
      </c>
      <c r="O492" s="5">
        <v>12.799062857142815</v>
      </c>
      <c r="P492" s="5">
        <v>803.30169649475647</v>
      </c>
      <c r="Q492" s="5">
        <v>8.653862648507662</v>
      </c>
    </row>
    <row r="493" spans="1:17" x14ac:dyDescent="0.2">
      <c r="A493" s="4" t="s">
        <v>86</v>
      </c>
      <c r="B493" s="25">
        <v>2014</v>
      </c>
      <c r="C493" s="25" t="s">
        <v>50</v>
      </c>
      <c r="D493" s="25">
        <v>4</v>
      </c>
      <c r="E493" s="25">
        <v>7</v>
      </c>
      <c r="F493" s="25">
        <v>2</v>
      </c>
      <c r="G493" s="6" t="str">
        <f t="shared" si="20"/>
        <v>72</v>
      </c>
      <c r="H493" s="5">
        <v>0</v>
      </c>
      <c r="I493" s="5">
        <v>147.06441680672268</v>
      </c>
      <c r="J493" s="5">
        <v>9230.1363649388586</v>
      </c>
      <c r="K493" s="5">
        <v>0</v>
      </c>
      <c r="L493" s="5">
        <v>158.6</v>
      </c>
      <c r="M493" s="5">
        <v>9954.138868297503</v>
      </c>
      <c r="N493" s="5" t="s">
        <v>97</v>
      </c>
      <c r="O493" s="5">
        <v>-11.535583193277319</v>
      </c>
      <c r="P493" s="5">
        <v>-724.00250335864439</v>
      </c>
      <c r="Q493" s="5">
        <v>-7.2733815846641239</v>
      </c>
    </row>
    <row r="494" spans="1:17" x14ac:dyDescent="0.2">
      <c r="A494" s="4" t="s">
        <v>51</v>
      </c>
      <c r="B494" s="25">
        <v>2014</v>
      </c>
      <c r="C494" s="25" t="s">
        <v>50</v>
      </c>
      <c r="D494" s="25">
        <v>1</v>
      </c>
      <c r="E494" s="25">
        <v>7</v>
      </c>
      <c r="F494" s="25">
        <v>2</v>
      </c>
      <c r="G494" s="6" t="str">
        <f t="shared" si="20"/>
        <v>72</v>
      </c>
      <c r="H494" s="5">
        <v>10</v>
      </c>
      <c r="I494" s="5">
        <v>179.16154789915967</v>
      </c>
      <c r="J494" s="5">
        <v>11244.633843930456</v>
      </c>
      <c r="K494" s="5">
        <v>11.6666666666667</v>
      </c>
      <c r="L494" s="5">
        <v>201.86765546218501</v>
      </c>
      <c r="M494" s="5">
        <v>12669.726831577709</v>
      </c>
      <c r="N494" s="5">
        <v>14.28571428571453</v>
      </c>
      <c r="O494" s="5">
        <v>-22.706107563025341</v>
      </c>
      <c r="P494" s="5">
        <v>-1425.0929876472528</v>
      </c>
      <c r="Q494" s="5">
        <v>-11.248016682533256</v>
      </c>
    </row>
    <row r="495" spans="1:17" x14ac:dyDescent="0.2">
      <c r="A495" s="4" t="s">
        <v>51</v>
      </c>
      <c r="B495" s="25">
        <v>2014</v>
      </c>
      <c r="C495" s="25" t="s">
        <v>50</v>
      </c>
      <c r="D495" s="25">
        <v>2</v>
      </c>
      <c r="E495" s="25">
        <v>7</v>
      </c>
      <c r="F495" s="25">
        <v>2</v>
      </c>
      <c r="G495" s="6" t="str">
        <f t="shared" si="20"/>
        <v>72</v>
      </c>
      <c r="H495" s="5">
        <v>5</v>
      </c>
      <c r="I495" s="5">
        <v>194.15314285714288</v>
      </c>
      <c r="J495" s="5">
        <v>12185.544424441387</v>
      </c>
      <c r="K495" s="5">
        <v>13.3333333333333</v>
      </c>
      <c r="L495" s="5">
        <v>183.37661848739501</v>
      </c>
      <c r="M495" s="5">
        <v>11509.182380973149</v>
      </c>
      <c r="N495" s="5">
        <v>62.499999999999915</v>
      </c>
      <c r="O495" s="5">
        <v>10.776524369747875</v>
      </c>
      <c r="P495" s="5">
        <v>676.36204346823797</v>
      </c>
      <c r="Q495" s="5">
        <v>5.87671670392844</v>
      </c>
    </row>
    <row r="496" spans="1:17" x14ac:dyDescent="0.2">
      <c r="A496" s="4" t="s">
        <v>51</v>
      </c>
      <c r="B496" s="25">
        <v>2014</v>
      </c>
      <c r="C496" s="25" t="s">
        <v>50</v>
      </c>
      <c r="D496" s="25">
        <v>3</v>
      </c>
      <c r="E496" s="25">
        <v>7</v>
      </c>
      <c r="F496" s="25">
        <v>2</v>
      </c>
      <c r="G496" s="6" t="str">
        <f t="shared" si="20"/>
        <v>72</v>
      </c>
      <c r="H496" s="5">
        <v>6</v>
      </c>
      <c r="I496" s="5">
        <v>169.64606722689072</v>
      </c>
      <c r="J496" s="5">
        <v>10647.418106160179</v>
      </c>
      <c r="K496" s="5">
        <v>11.6666666666667</v>
      </c>
      <c r="L496" s="5">
        <v>198.146752941176</v>
      </c>
      <c r="M496" s="5">
        <v>12436.193537696739</v>
      </c>
      <c r="N496" s="5">
        <v>48.571428571428719</v>
      </c>
      <c r="O496" s="5">
        <v>-28.500685714285282</v>
      </c>
      <c r="P496" s="5">
        <v>-1788.7754315365601</v>
      </c>
      <c r="Q496" s="5">
        <v>-14.38362490994051</v>
      </c>
    </row>
    <row r="497" spans="1:17" s="7" customFormat="1" x14ac:dyDescent="0.2">
      <c r="A497" s="7" t="s">
        <v>51</v>
      </c>
      <c r="B497" s="27">
        <v>2014</v>
      </c>
      <c r="C497" s="27" t="s">
        <v>50</v>
      </c>
      <c r="D497" s="27">
        <v>4</v>
      </c>
      <c r="E497" s="27">
        <v>7</v>
      </c>
      <c r="F497" s="27">
        <v>2</v>
      </c>
      <c r="G497" s="6" t="str">
        <f t="shared" si="20"/>
        <v>72</v>
      </c>
      <c r="H497" s="9">
        <v>8.3333333333333339</v>
      </c>
      <c r="I497" s="9">
        <v>194.66103781512606</v>
      </c>
      <c r="J497" s="9">
        <v>12217.421202135414</v>
      </c>
      <c r="K497" s="9">
        <v>11.6666666666667</v>
      </c>
      <c r="L497" s="9">
        <v>193.20141176470599</v>
      </c>
      <c r="M497" s="9">
        <v>12125.811363537268</v>
      </c>
      <c r="N497" s="9">
        <v>28.571428571428768</v>
      </c>
      <c r="O497" s="9">
        <v>1.45962605042007</v>
      </c>
      <c r="P497" s="9">
        <v>91.60983859814587</v>
      </c>
      <c r="Q497" s="9">
        <v>0.7554945054944513</v>
      </c>
    </row>
    <row r="498" spans="1:17" x14ac:dyDescent="0.2">
      <c r="A498" s="4" t="s">
        <v>80</v>
      </c>
      <c r="B498" s="25">
        <v>2014</v>
      </c>
      <c r="C498" s="25" t="s">
        <v>50</v>
      </c>
      <c r="D498" s="25">
        <v>1</v>
      </c>
      <c r="E498" s="25">
        <v>7</v>
      </c>
      <c r="F498" s="25">
        <v>2</v>
      </c>
      <c r="G498" s="6" t="str">
        <f t="shared" si="20"/>
        <v>72</v>
      </c>
      <c r="H498" s="5">
        <v>51.666666666666664</v>
      </c>
      <c r="I498" s="5">
        <v>219.4270941395898</v>
      </c>
      <c r="J498" s="5">
        <v>13771.80180663598</v>
      </c>
      <c r="K498" s="5">
        <v>13.3333333333333</v>
      </c>
      <c r="L498" s="5">
        <v>195.65573825486001</v>
      </c>
      <c r="M498" s="5">
        <v>12279.851128424621</v>
      </c>
      <c r="N498" s="5">
        <v>-287.50000000000091</v>
      </c>
      <c r="O498" s="5">
        <v>23.771355884729786</v>
      </c>
      <c r="P498" s="5">
        <v>1491.9506782113585</v>
      </c>
      <c r="Q498" s="5">
        <v>12.149582780835882</v>
      </c>
    </row>
    <row r="499" spans="1:17" x14ac:dyDescent="0.2">
      <c r="A499" s="4" t="s">
        <v>80</v>
      </c>
      <c r="B499" s="25">
        <v>2014</v>
      </c>
      <c r="C499" s="25" t="s">
        <v>50</v>
      </c>
      <c r="D499" s="25">
        <v>2</v>
      </c>
      <c r="E499" s="25">
        <v>7</v>
      </c>
      <c r="F499" s="25">
        <v>2</v>
      </c>
      <c r="G499" s="6" t="str">
        <f t="shared" si="20"/>
        <v>72</v>
      </c>
      <c r="H499" s="5">
        <v>21.666666666666668</v>
      </c>
      <c r="I499" s="5">
        <v>208.00748573508648</v>
      </c>
      <c r="J499" s="5">
        <v>13055.078175614521</v>
      </c>
      <c r="K499" s="5">
        <v>26.6666666666667</v>
      </c>
      <c r="L499" s="5">
        <v>200.14342489396401</v>
      </c>
      <c r="M499" s="5">
        <v>12561.509741306365</v>
      </c>
      <c r="N499" s="5">
        <v>18.750000000000096</v>
      </c>
      <c r="O499" s="5">
        <v>7.8640608411224662</v>
      </c>
      <c r="P499" s="5">
        <v>493.5684343081557</v>
      </c>
      <c r="Q499" s="5">
        <v>3.9292126859969767</v>
      </c>
    </row>
    <row r="500" spans="1:17" x14ac:dyDescent="0.2">
      <c r="A500" s="4" t="s">
        <v>80</v>
      </c>
      <c r="B500" s="25">
        <v>2014</v>
      </c>
      <c r="C500" s="25" t="s">
        <v>50</v>
      </c>
      <c r="D500" s="25">
        <v>3</v>
      </c>
      <c r="E500" s="25">
        <v>7</v>
      </c>
      <c r="F500" s="25">
        <v>2</v>
      </c>
      <c r="G500" s="6" t="str">
        <f t="shared" si="20"/>
        <v>72</v>
      </c>
      <c r="H500" s="5">
        <v>31.666666666666668</v>
      </c>
      <c r="I500" s="5">
        <v>230.15228825830931</v>
      </c>
      <c r="J500" s="5">
        <v>14444.942233162976</v>
      </c>
      <c r="K500" s="5">
        <v>13.3333333333333</v>
      </c>
      <c r="L500" s="5">
        <v>225.624535736848</v>
      </c>
      <c r="M500" s="5">
        <v>14160.768983731008</v>
      </c>
      <c r="N500" s="5">
        <v>-137.5000000000006</v>
      </c>
      <c r="O500" s="5">
        <v>4.5277525214613092</v>
      </c>
      <c r="P500" s="5">
        <v>284.17324943196763</v>
      </c>
      <c r="Q500" s="5">
        <v>2.0067642495859368</v>
      </c>
    </row>
    <row r="501" spans="1:17" x14ac:dyDescent="0.2">
      <c r="A501" s="4" t="s">
        <v>80</v>
      </c>
      <c r="B501" s="25">
        <v>2014</v>
      </c>
      <c r="C501" s="25" t="s">
        <v>50</v>
      </c>
      <c r="D501" s="25">
        <v>4</v>
      </c>
      <c r="E501" s="25">
        <v>7</v>
      </c>
      <c r="F501" s="25">
        <v>2</v>
      </c>
      <c r="G501" s="6" t="str">
        <f t="shared" si="20"/>
        <v>72</v>
      </c>
      <c r="H501" s="5">
        <v>31.666666666666668</v>
      </c>
      <c r="I501" s="5">
        <v>226.49617666130507</v>
      </c>
      <c r="J501" s="5">
        <v>14215.475382251418</v>
      </c>
      <c r="K501" s="5">
        <v>41.6666666666667</v>
      </c>
      <c r="L501" s="5">
        <v>227.772361535382</v>
      </c>
      <c r="M501" s="5">
        <v>14295.571986653578</v>
      </c>
      <c r="N501" s="5">
        <v>24.000000000000057</v>
      </c>
      <c r="O501" s="5">
        <v>-1.2761848740769324</v>
      </c>
      <c r="P501" s="5">
        <v>-80.096604402160665</v>
      </c>
      <c r="Q501" s="5">
        <v>-0.56028960909671388</v>
      </c>
    </row>
    <row r="502" spans="1:17" x14ac:dyDescent="0.2">
      <c r="A502" s="4" t="s">
        <v>87</v>
      </c>
      <c r="B502" s="4">
        <v>2014</v>
      </c>
      <c r="C502" s="4" t="s">
        <v>50</v>
      </c>
      <c r="D502" s="4">
        <v>1</v>
      </c>
      <c r="E502" s="4">
        <v>7</v>
      </c>
      <c r="F502" s="4">
        <v>2</v>
      </c>
      <c r="G502" s="6" t="str">
        <f t="shared" si="20"/>
        <v>72</v>
      </c>
      <c r="H502" s="5">
        <v>3</v>
      </c>
      <c r="I502" s="5">
        <v>206.34171404369746</v>
      </c>
      <c r="J502" s="5">
        <v>12950.530112947654</v>
      </c>
      <c r="K502" s="5">
        <v>10.5</v>
      </c>
      <c r="L502" s="5">
        <v>198.27910945210101</v>
      </c>
      <c r="M502" s="5">
        <v>12444.500568528207</v>
      </c>
      <c r="N502" s="5">
        <v>71.428571428571431</v>
      </c>
      <c r="O502" s="5">
        <v>8.0626045915964539</v>
      </c>
      <c r="P502" s="5">
        <v>506.02954441944712</v>
      </c>
      <c r="Q502" s="5">
        <v>4.066290500232542</v>
      </c>
    </row>
    <row r="503" spans="1:17" x14ac:dyDescent="0.2">
      <c r="A503" s="4" t="s">
        <v>87</v>
      </c>
      <c r="B503" s="4">
        <v>2014</v>
      </c>
      <c r="C503" s="4" t="s">
        <v>50</v>
      </c>
      <c r="D503" s="4">
        <v>2</v>
      </c>
      <c r="E503" s="4">
        <v>7</v>
      </c>
      <c r="F503" s="4">
        <v>2</v>
      </c>
      <c r="G503" s="6" t="str">
        <f t="shared" si="20"/>
        <v>72</v>
      </c>
      <c r="H503" s="5">
        <v>3</v>
      </c>
      <c r="I503" s="5">
        <v>217.99664228571433</v>
      </c>
      <c r="J503" s="5">
        <v>13682.023014719902</v>
      </c>
      <c r="K503" s="5">
        <v>12.5</v>
      </c>
      <c r="L503" s="5">
        <v>195.36490518655501</v>
      </c>
      <c r="M503" s="5">
        <v>12261.597706297251</v>
      </c>
      <c r="N503" s="5">
        <v>76</v>
      </c>
      <c r="O503" s="5">
        <v>22.631737099159324</v>
      </c>
      <c r="P503" s="5">
        <v>1420.4253084226511</v>
      </c>
      <c r="Q503" s="5">
        <v>11.584341147427763</v>
      </c>
    </row>
    <row r="504" spans="1:17" x14ac:dyDescent="0.2">
      <c r="A504" s="4" t="s">
        <v>87</v>
      </c>
      <c r="B504" s="4">
        <v>2014</v>
      </c>
      <c r="C504" s="4" t="s">
        <v>50</v>
      </c>
      <c r="D504" s="4">
        <v>3</v>
      </c>
      <c r="E504" s="4">
        <v>7</v>
      </c>
      <c r="F504" s="4">
        <v>2</v>
      </c>
      <c r="G504" s="6" t="str">
        <f t="shared" si="20"/>
        <v>72</v>
      </c>
      <c r="H504" s="5">
        <v>15</v>
      </c>
      <c r="I504" s="5">
        <v>210.37588251428568</v>
      </c>
      <c r="J504" s="5">
        <v>13203.724773567719</v>
      </c>
      <c r="K504" s="5">
        <v>7.5</v>
      </c>
      <c r="L504" s="5">
        <v>197.00707692100843</v>
      </c>
      <c r="M504" s="5">
        <v>12364.664575719333</v>
      </c>
      <c r="N504" s="5">
        <v>-100</v>
      </c>
      <c r="O504" s="5">
        <v>13.368805593277244</v>
      </c>
      <c r="P504" s="5">
        <v>839.06019784838645</v>
      </c>
      <c r="Q504" s="5">
        <v>6.7859519577753922</v>
      </c>
    </row>
    <row r="505" spans="1:17" x14ac:dyDescent="0.2">
      <c r="A505" s="4" t="s">
        <v>87</v>
      </c>
      <c r="B505" s="4">
        <v>2014</v>
      </c>
      <c r="C505" s="4" t="s">
        <v>50</v>
      </c>
      <c r="D505" s="4">
        <v>4</v>
      </c>
      <c r="E505" s="4">
        <v>7</v>
      </c>
      <c r="F505" s="4">
        <v>2</v>
      </c>
      <c r="G505" s="6" t="str">
        <f t="shared" si="20"/>
        <v>72</v>
      </c>
      <c r="H505" s="5">
        <v>5</v>
      </c>
      <c r="I505" s="5">
        <v>213.51800075294116</v>
      </c>
      <c r="J505" s="5">
        <v>13400.932095687436</v>
      </c>
      <c r="K505" s="5">
        <v>12.5</v>
      </c>
      <c r="L505" s="5">
        <v>198.94150697142899</v>
      </c>
      <c r="M505" s="5">
        <v>12486.07431943241</v>
      </c>
      <c r="N505" s="5">
        <v>60</v>
      </c>
      <c r="O505" s="5">
        <v>14.57649378151217</v>
      </c>
      <c r="P505" s="5">
        <v>914.85777625502669</v>
      </c>
      <c r="Q505" s="5">
        <v>7.3270249147180655</v>
      </c>
    </row>
    <row r="506" spans="1:17" x14ac:dyDescent="0.2">
      <c r="A506" s="4" t="s">
        <v>77</v>
      </c>
      <c r="B506" s="25">
        <v>2014</v>
      </c>
      <c r="C506" s="25" t="s">
        <v>50</v>
      </c>
      <c r="D506" s="26">
        <v>1</v>
      </c>
      <c r="E506" s="26">
        <v>8</v>
      </c>
      <c r="F506" s="26">
        <v>2</v>
      </c>
      <c r="G506" s="6" t="str">
        <f t="shared" si="20"/>
        <v>82</v>
      </c>
      <c r="H506" s="5">
        <v>5.333333333333333</v>
      </c>
      <c r="I506" s="5">
        <v>222.47294458592538</v>
      </c>
      <c r="J506" s="5">
        <v>13962.967117574757</v>
      </c>
      <c r="K506" s="5">
        <v>5</v>
      </c>
      <c r="L506" s="5">
        <v>203.90911865546201</v>
      </c>
      <c r="M506" s="5">
        <v>12797.854247217037</v>
      </c>
      <c r="N506" s="5">
        <v>-6.6666666666666607</v>
      </c>
      <c r="O506" s="5">
        <v>18.563825930463366</v>
      </c>
      <c r="P506" s="5">
        <v>1165.1128703577197</v>
      </c>
      <c r="Q506" s="5">
        <v>9.1039704613848045</v>
      </c>
    </row>
    <row r="507" spans="1:17" x14ac:dyDescent="0.2">
      <c r="A507" s="4" t="s">
        <v>77</v>
      </c>
      <c r="B507" s="25">
        <v>2014</v>
      </c>
      <c r="C507" s="25" t="s">
        <v>50</v>
      </c>
      <c r="D507" s="26">
        <v>2</v>
      </c>
      <c r="E507" s="26">
        <v>8</v>
      </c>
      <c r="F507" s="26">
        <v>2</v>
      </c>
      <c r="G507" s="6" t="str">
        <f t="shared" si="20"/>
        <v>82</v>
      </c>
      <c r="H507" s="5">
        <v>4.666666666666667</v>
      </c>
      <c r="I507" s="5">
        <v>229.27171143279756</v>
      </c>
      <c r="J507" s="5">
        <v>14389.674994793817</v>
      </c>
      <c r="K507" s="5">
        <v>31.6666666666667</v>
      </c>
      <c r="L507" s="5">
        <v>233.849114621849</v>
      </c>
      <c r="M507" s="5">
        <v>14676.964446244043</v>
      </c>
      <c r="N507" s="5">
        <v>85.26315789473685</v>
      </c>
      <c r="O507" s="5">
        <v>-4.5774031890514379</v>
      </c>
      <c r="P507" s="5">
        <v>-287.2894514502259</v>
      </c>
      <c r="Q507" s="5">
        <v>-1.9574173699367765</v>
      </c>
    </row>
    <row r="508" spans="1:17" x14ac:dyDescent="0.2">
      <c r="A508" s="4" t="s">
        <v>77</v>
      </c>
      <c r="B508" s="25">
        <v>2014</v>
      </c>
      <c r="C508" s="25" t="s">
        <v>50</v>
      </c>
      <c r="D508" s="26">
        <v>3</v>
      </c>
      <c r="E508" s="26">
        <v>8</v>
      </c>
      <c r="F508" s="26">
        <v>2</v>
      </c>
      <c r="G508" s="6" t="str">
        <f t="shared" si="20"/>
        <v>82</v>
      </c>
      <c r="H508" s="5">
        <v>4.333333333333333</v>
      </c>
      <c r="I508" s="5">
        <v>228.10446370005337</v>
      </c>
      <c r="J508" s="5">
        <v>14316.415562098729</v>
      </c>
      <c r="K508" s="5">
        <v>10</v>
      </c>
      <c r="L508" s="5">
        <v>216.62039332828175</v>
      </c>
      <c r="M508" s="5">
        <v>13595.64613426824</v>
      </c>
      <c r="N508" s="5">
        <v>56.666666666666664</v>
      </c>
      <c r="O508" s="5">
        <v>11.484070371771622</v>
      </c>
      <c r="P508" s="5">
        <v>720.7694278304898</v>
      </c>
      <c r="Q508" s="5">
        <v>5.3014724030935794</v>
      </c>
    </row>
    <row r="509" spans="1:17" x14ac:dyDescent="0.2">
      <c r="A509" s="4" t="s">
        <v>77</v>
      </c>
      <c r="B509" s="25">
        <v>2014</v>
      </c>
      <c r="C509" s="25" t="s">
        <v>50</v>
      </c>
      <c r="D509" s="26">
        <v>4</v>
      </c>
      <c r="E509" s="26">
        <v>8</v>
      </c>
      <c r="F509" s="26">
        <v>2</v>
      </c>
      <c r="G509" s="6" t="str">
        <f t="shared" si="20"/>
        <v>82</v>
      </c>
      <c r="H509" s="5">
        <v>11.666666666666666</v>
      </c>
      <c r="I509" s="5">
        <v>209.37287147349389</v>
      </c>
      <c r="J509" s="5">
        <v>13140.773252845922</v>
      </c>
      <c r="K509" s="5">
        <v>18.3333333333333</v>
      </c>
      <c r="L509" s="5">
        <v>214.28523421746999</v>
      </c>
      <c r="M509" s="5">
        <v>13449.085616811806</v>
      </c>
      <c r="N509" s="5">
        <v>36.363636363636253</v>
      </c>
      <c r="O509" s="5">
        <v>-4.9123627439761037</v>
      </c>
      <c r="P509" s="5">
        <v>-308.31236396588429</v>
      </c>
      <c r="Q509" s="5">
        <v>-2.2924410829869619</v>
      </c>
    </row>
    <row r="510" spans="1:17" x14ac:dyDescent="0.2">
      <c r="A510" s="4" t="s">
        <v>86</v>
      </c>
      <c r="B510" s="25">
        <v>2014</v>
      </c>
      <c r="C510" s="25" t="s">
        <v>50</v>
      </c>
      <c r="D510" s="25">
        <v>1</v>
      </c>
      <c r="E510" s="25">
        <v>8</v>
      </c>
      <c r="F510" s="25">
        <v>2</v>
      </c>
      <c r="G510" s="6" t="str">
        <f t="shared" si="20"/>
        <v>82</v>
      </c>
      <c r="H510" s="5">
        <v>0</v>
      </c>
      <c r="I510" s="5">
        <v>172.43537142857144</v>
      </c>
      <c r="J510" s="5">
        <v>10822.481923117653</v>
      </c>
      <c r="K510" s="5">
        <v>0</v>
      </c>
      <c r="L510" s="5" t="s">
        <v>97</v>
      </c>
      <c r="M510" s="5" t="s">
        <v>97</v>
      </c>
      <c r="N510" s="5" t="s">
        <v>97</v>
      </c>
      <c r="O510" s="5" t="s">
        <v>97</v>
      </c>
      <c r="P510" s="5" t="s">
        <v>97</v>
      </c>
      <c r="Q510" s="5" t="s">
        <v>97</v>
      </c>
    </row>
    <row r="511" spans="1:17" x14ac:dyDescent="0.2">
      <c r="A511" s="4" t="s">
        <v>86</v>
      </c>
      <c r="B511" s="25">
        <v>2014</v>
      </c>
      <c r="C511" s="25" t="s">
        <v>50</v>
      </c>
      <c r="D511" s="25">
        <v>2</v>
      </c>
      <c r="E511" s="25">
        <v>8</v>
      </c>
      <c r="F511" s="25">
        <v>2</v>
      </c>
      <c r="G511" s="6" t="str">
        <f t="shared" si="20"/>
        <v>82</v>
      </c>
      <c r="H511" s="5">
        <v>0</v>
      </c>
      <c r="I511" s="5">
        <v>172.34385882352942</v>
      </c>
      <c r="J511" s="5">
        <v>10816.738359569179</v>
      </c>
      <c r="K511" s="5">
        <v>0</v>
      </c>
      <c r="L511" s="5">
        <v>141.80000000000001</v>
      </c>
      <c r="M511" s="5">
        <v>8899.7281937237458</v>
      </c>
      <c r="N511" s="5" t="s">
        <v>97</v>
      </c>
      <c r="O511" s="5">
        <v>30.543858823529405</v>
      </c>
      <c r="P511" s="5">
        <v>1917.0101658454332</v>
      </c>
      <c r="Q511" s="5">
        <v>21.540097900937518</v>
      </c>
    </row>
    <row r="512" spans="1:17" x14ac:dyDescent="0.2">
      <c r="A512" s="4" t="s">
        <v>86</v>
      </c>
      <c r="B512" s="25">
        <v>2014</v>
      </c>
      <c r="C512" s="25" t="s">
        <v>50</v>
      </c>
      <c r="D512" s="25">
        <v>3</v>
      </c>
      <c r="E512" s="25">
        <v>8</v>
      </c>
      <c r="F512" s="25">
        <v>2</v>
      </c>
      <c r="G512" s="6" t="str">
        <f t="shared" si="20"/>
        <v>82</v>
      </c>
      <c r="H512" s="5">
        <v>0</v>
      </c>
      <c r="I512" s="5">
        <v>157.3489694117647</v>
      </c>
      <c r="J512" s="5">
        <v>9875.6210107705047</v>
      </c>
      <c r="K512" s="5">
        <v>0</v>
      </c>
      <c r="L512" s="5">
        <v>147.9</v>
      </c>
      <c r="M512" s="5">
        <v>9282.5796886582648</v>
      </c>
      <c r="N512" s="5" t="s">
        <v>97</v>
      </c>
      <c r="O512" s="5">
        <v>9.4489694117646934</v>
      </c>
      <c r="P512" s="5">
        <v>593.04132211223987</v>
      </c>
      <c r="Q512" s="5">
        <v>6.3887555184345537</v>
      </c>
    </row>
    <row r="513" spans="1:17" x14ac:dyDescent="0.2">
      <c r="A513" s="4" t="s">
        <v>86</v>
      </c>
      <c r="B513" s="25">
        <v>2014</v>
      </c>
      <c r="C513" s="25" t="s">
        <v>50</v>
      </c>
      <c r="D513" s="25">
        <v>4</v>
      </c>
      <c r="E513" s="25">
        <v>8</v>
      </c>
      <c r="F513" s="25">
        <v>2</v>
      </c>
      <c r="G513" s="6" t="str">
        <f t="shared" si="20"/>
        <v>82</v>
      </c>
      <c r="H513" s="5">
        <v>0</v>
      </c>
      <c r="I513" s="5">
        <v>143.79924705882354</v>
      </c>
      <c r="J513" s="5">
        <v>9025.2060175293245</v>
      </c>
      <c r="K513" s="5">
        <v>0</v>
      </c>
      <c r="L513" s="5">
        <v>158.6</v>
      </c>
      <c r="M513" s="5">
        <v>9954.138868297503</v>
      </c>
      <c r="N513" s="5" t="s">
        <v>97</v>
      </c>
      <c r="O513" s="5">
        <v>-14.800752941176455</v>
      </c>
      <c r="P513" s="5">
        <v>-928.93285076817847</v>
      </c>
      <c r="Q513" s="5">
        <v>-9.3321266968325673</v>
      </c>
    </row>
    <row r="514" spans="1:17" x14ac:dyDescent="0.2">
      <c r="A514" s="4" t="s">
        <v>51</v>
      </c>
      <c r="B514" s="25">
        <v>2014</v>
      </c>
      <c r="C514" s="25" t="s">
        <v>50</v>
      </c>
      <c r="D514" s="25">
        <v>1</v>
      </c>
      <c r="E514" s="25">
        <v>8</v>
      </c>
      <c r="F514" s="25">
        <v>2</v>
      </c>
      <c r="G514" s="6" t="str">
        <f t="shared" ref="G514:G577" si="21">E514&amp;F514</f>
        <v>82</v>
      </c>
      <c r="H514" s="5">
        <v>10</v>
      </c>
      <c r="I514" s="5">
        <v>181.75867563025213</v>
      </c>
      <c r="J514" s="5">
        <v>11407.636177436136</v>
      </c>
      <c r="K514" s="5">
        <v>11.6666666666667</v>
      </c>
      <c r="L514" s="5">
        <v>201.86765546218501</v>
      </c>
      <c r="M514" s="5">
        <v>12669.726831577709</v>
      </c>
      <c r="N514" s="5">
        <v>14.28571428571453</v>
      </c>
      <c r="O514" s="5">
        <v>-20.108979831932885</v>
      </c>
      <c r="P514" s="5">
        <v>-1262.0906541415734</v>
      </c>
      <c r="Q514" s="5">
        <v>-9.9614669749309055</v>
      </c>
    </row>
    <row r="515" spans="1:17" x14ac:dyDescent="0.2">
      <c r="A515" s="4" t="s">
        <v>51</v>
      </c>
      <c r="B515" s="25">
        <v>2014</v>
      </c>
      <c r="C515" s="25" t="s">
        <v>50</v>
      </c>
      <c r="D515" s="25">
        <v>2</v>
      </c>
      <c r="E515" s="25">
        <v>8</v>
      </c>
      <c r="F515" s="25">
        <v>2</v>
      </c>
      <c r="G515" s="6" t="str">
        <f t="shared" si="21"/>
        <v>82</v>
      </c>
      <c r="H515" s="5">
        <v>8.3333333333333339</v>
      </c>
      <c r="I515" s="5">
        <v>176.63580000000002</v>
      </c>
      <c r="J515" s="5">
        <v>11086.111489992589</v>
      </c>
      <c r="K515" s="5">
        <v>13.3333333333333</v>
      </c>
      <c r="L515" s="5">
        <v>183.37661848739501</v>
      </c>
      <c r="M515" s="5">
        <v>11509.182380973149</v>
      </c>
      <c r="N515" s="5">
        <v>37.499999999999837</v>
      </c>
      <c r="O515" s="5">
        <v>-6.7408184873949892</v>
      </c>
      <c r="P515" s="5">
        <v>-423.07089098055985</v>
      </c>
      <c r="Q515" s="5">
        <v>-3.6759421909933052</v>
      </c>
    </row>
    <row r="516" spans="1:17" x14ac:dyDescent="0.2">
      <c r="A516" s="4" t="s">
        <v>51</v>
      </c>
      <c r="B516" s="25">
        <v>2014</v>
      </c>
      <c r="C516" s="25" t="s">
        <v>50</v>
      </c>
      <c r="D516" s="25">
        <v>3</v>
      </c>
      <c r="E516" s="25">
        <v>8</v>
      </c>
      <c r="F516" s="25">
        <v>2</v>
      </c>
      <c r="G516" s="6" t="str">
        <f t="shared" si="21"/>
        <v>82</v>
      </c>
      <c r="H516" s="5">
        <v>5</v>
      </c>
      <c r="I516" s="5">
        <v>182.86323277310925</v>
      </c>
      <c r="J516" s="5">
        <v>11476.96098946621</v>
      </c>
      <c r="K516" s="5">
        <v>11.6666666666667</v>
      </c>
      <c r="L516" s="5">
        <v>198.146752941176</v>
      </c>
      <c r="M516" s="5">
        <v>12436.193537696739</v>
      </c>
      <c r="N516" s="5">
        <v>57.14285714285726</v>
      </c>
      <c r="O516" s="5">
        <v>-15.283520168066758</v>
      </c>
      <c r="P516" s="5">
        <v>-959.23254823052957</v>
      </c>
      <c r="Q516" s="5">
        <v>-7.7132327132324887</v>
      </c>
    </row>
    <row r="517" spans="1:17" x14ac:dyDescent="0.2">
      <c r="A517" s="4" t="s">
        <v>51</v>
      </c>
      <c r="B517" s="25">
        <v>2014</v>
      </c>
      <c r="C517" s="25" t="s">
        <v>50</v>
      </c>
      <c r="D517" s="25">
        <v>4</v>
      </c>
      <c r="E517" s="25">
        <v>8</v>
      </c>
      <c r="F517" s="25">
        <v>2</v>
      </c>
      <c r="G517" s="6" t="str">
        <f t="shared" si="21"/>
        <v>82</v>
      </c>
      <c r="H517" s="5">
        <v>11.666666666666666</v>
      </c>
      <c r="I517" s="5">
        <v>174.37543865546218</v>
      </c>
      <c r="J517" s="5">
        <v>10944.245470345291</v>
      </c>
      <c r="K517" s="5">
        <v>11.6666666666667</v>
      </c>
      <c r="L517" s="5">
        <v>193.20141176470599</v>
      </c>
      <c r="M517" s="5">
        <v>12125.811363537268</v>
      </c>
      <c r="N517" s="5">
        <v>2.8929239955946851E-13</v>
      </c>
      <c r="O517" s="5">
        <v>-18.825973109243819</v>
      </c>
      <c r="P517" s="5">
        <v>-1181.565893191977</v>
      </c>
      <c r="Q517" s="5">
        <v>-9.7442212959454935</v>
      </c>
    </row>
    <row r="518" spans="1:17" x14ac:dyDescent="0.2">
      <c r="A518" s="4" t="s">
        <v>80</v>
      </c>
      <c r="B518" s="25">
        <v>2014</v>
      </c>
      <c r="C518" s="25" t="s">
        <v>50</v>
      </c>
      <c r="D518" s="25">
        <v>1</v>
      </c>
      <c r="E518" s="25">
        <v>8</v>
      </c>
      <c r="F518" s="25">
        <v>2</v>
      </c>
      <c r="G518" s="6" t="str">
        <f t="shared" si="21"/>
        <v>82</v>
      </c>
      <c r="H518" s="5">
        <v>55</v>
      </c>
      <c r="I518" s="5">
        <v>182.66488337961101</v>
      </c>
      <c r="J518" s="5">
        <v>11464.512077692414</v>
      </c>
      <c r="K518" s="5">
        <v>13.3333333333333</v>
      </c>
      <c r="L518" s="5">
        <v>195.65573825486001</v>
      </c>
      <c r="M518" s="5">
        <v>12279.851128424621</v>
      </c>
      <c r="N518" s="5">
        <v>-312.50000000000102</v>
      </c>
      <c r="O518" s="5">
        <v>-12.990854875248999</v>
      </c>
      <c r="P518" s="5">
        <v>-815.3390507322074</v>
      </c>
      <c r="Q518" s="5">
        <v>-6.6396493101199914</v>
      </c>
    </row>
    <row r="519" spans="1:17" x14ac:dyDescent="0.2">
      <c r="A519" s="4" t="s">
        <v>80</v>
      </c>
      <c r="B519" s="25">
        <v>2014</v>
      </c>
      <c r="C519" s="25" t="s">
        <v>50</v>
      </c>
      <c r="D519" s="25">
        <v>2</v>
      </c>
      <c r="E519" s="25">
        <v>8</v>
      </c>
      <c r="F519" s="25">
        <v>2</v>
      </c>
      <c r="G519" s="6" t="str">
        <f t="shared" si="21"/>
        <v>82</v>
      </c>
      <c r="H519" s="5">
        <v>25</v>
      </c>
      <c r="I519" s="5">
        <v>209.57814153356281</v>
      </c>
      <c r="J519" s="5">
        <v>13153.656523233249</v>
      </c>
      <c r="K519" s="5">
        <v>26.6666666666667</v>
      </c>
      <c r="L519" s="5">
        <v>200.14342489396401</v>
      </c>
      <c r="M519" s="5">
        <v>12561.509741306365</v>
      </c>
      <c r="N519" s="5">
        <v>6.2500000000001164</v>
      </c>
      <c r="O519" s="5">
        <v>9.434716639598804</v>
      </c>
      <c r="P519" s="5">
        <v>592.1467819268837</v>
      </c>
      <c r="Q519" s="5">
        <v>4.7139778109609773</v>
      </c>
    </row>
    <row r="520" spans="1:17" x14ac:dyDescent="0.2">
      <c r="A520" s="4" t="s">
        <v>80</v>
      </c>
      <c r="B520" s="25">
        <v>2014</v>
      </c>
      <c r="C520" s="25" t="s">
        <v>50</v>
      </c>
      <c r="D520" s="25">
        <v>3</v>
      </c>
      <c r="E520" s="25">
        <v>8</v>
      </c>
      <c r="F520" s="25">
        <v>2</v>
      </c>
      <c r="G520" s="6" t="str">
        <f t="shared" si="21"/>
        <v>82</v>
      </c>
      <c r="H520" s="5">
        <v>40</v>
      </c>
      <c r="I520" s="5">
        <v>220.36915817329739</v>
      </c>
      <c r="J520" s="5">
        <v>13830.928138378438</v>
      </c>
      <c r="K520" s="5">
        <v>13.333333333333334</v>
      </c>
      <c r="L520" s="5">
        <v>225.62453573684817</v>
      </c>
      <c r="M520" s="5">
        <v>14160.768983731019</v>
      </c>
      <c r="N520" s="5">
        <v>-199.99999999999997</v>
      </c>
      <c r="O520" s="5">
        <v>-5.2553775635507805</v>
      </c>
      <c r="P520" s="5">
        <v>-329.8408453525808</v>
      </c>
      <c r="Q520" s="5">
        <v>-2.3292580066204547</v>
      </c>
    </row>
    <row r="521" spans="1:17" x14ac:dyDescent="0.2">
      <c r="A521" s="4" t="s">
        <v>80</v>
      </c>
      <c r="B521" s="25">
        <v>2014</v>
      </c>
      <c r="C521" s="25" t="s">
        <v>50</v>
      </c>
      <c r="D521" s="25">
        <v>4</v>
      </c>
      <c r="E521" s="25">
        <v>8</v>
      </c>
      <c r="F521" s="25">
        <v>2</v>
      </c>
      <c r="G521" s="6" t="str">
        <f t="shared" si="21"/>
        <v>82</v>
      </c>
      <c r="H521" s="5">
        <v>51.666666666666664</v>
      </c>
      <c r="I521" s="5">
        <v>234.58960136799683</v>
      </c>
      <c r="J521" s="5">
        <v>14723.439275382059</v>
      </c>
      <c r="K521" s="5">
        <v>41.6666666666667</v>
      </c>
      <c r="L521" s="5">
        <v>227.772361535382</v>
      </c>
      <c r="M521" s="5">
        <v>14295.571986653578</v>
      </c>
      <c r="N521" s="5">
        <v>-23.999999999999897</v>
      </c>
      <c r="O521" s="5">
        <v>6.8172398326148311</v>
      </c>
      <c r="P521" s="5">
        <v>427.86728872848107</v>
      </c>
      <c r="Q521" s="5">
        <v>2.9930057302214994</v>
      </c>
    </row>
    <row r="522" spans="1:17" x14ac:dyDescent="0.2">
      <c r="A522" s="4" t="s">
        <v>87</v>
      </c>
      <c r="B522" s="4">
        <v>2014</v>
      </c>
      <c r="C522" s="4" t="s">
        <v>50</v>
      </c>
      <c r="D522" s="4">
        <v>1</v>
      </c>
      <c r="E522" s="4">
        <v>8</v>
      </c>
      <c r="F522" s="4">
        <v>2</v>
      </c>
      <c r="G522" s="6" t="str">
        <f t="shared" si="21"/>
        <v>82</v>
      </c>
      <c r="H522" s="5">
        <v>3</v>
      </c>
      <c r="I522" s="5">
        <v>211.22443863529412</v>
      </c>
      <c r="J522" s="5">
        <v>13256.982311184756</v>
      </c>
      <c r="K522" s="5">
        <v>10.5</v>
      </c>
      <c r="L522" s="5">
        <v>198.27910945210101</v>
      </c>
      <c r="M522" s="5">
        <v>12444.500568528207</v>
      </c>
      <c r="N522" s="5">
        <v>71.428571428571431</v>
      </c>
      <c r="O522" s="5">
        <v>12.94532918319311</v>
      </c>
      <c r="P522" s="5">
        <v>812.48174265654961</v>
      </c>
      <c r="Q522" s="5">
        <v>6.5288417014604274</v>
      </c>
    </row>
    <row r="523" spans="1:17" x14ac:dyDescent="0.2">
      <c r="A523" s="4" t="s">
        <v>87</v>
      </c>
      <c r="B523" s="4">
        <v>2014</v>
      </c>
      <c r="C523" s="4" t="s">
        <v>50</v>
      </c>
      <c r="D523" s="4">
        <v>2</v>
      </c>
      <c r="E523" s="4">
        <v>8</v>
      </c>
      <c r="F523" s="4">
        <v>2</v>
      </c>
      <c r="G523" s="6" t="str">
        <f t="shared" si="21"/>
        <v>82</v>
      </c>
      <c r="H523" s="5">
        <v>5</v>
      </c>
      <c r="I523" s="5">
        <v>204.17147431260506</v>
      </c>
      <c r="J523" s="5">
        <v>12814.320354682897</v>
      </c>
      <c r="K523" s="5">
        <v>12.5</v>
      </c>
      <c r="L523" s="5">
        <v>195.36490518655501</v>
      </c>
      <c r="M523" s="5">
        <v>12261.597706297251</v>
      </c>
      <c r="N523" s="5">
        <v>60</v>
      </c>
      <c r="O523" s="5">
        <v>8.80656912605005</v>
      </c>
      <c r="P523" s="5">
        <v>552.72264838564661</v>
      </c>
      <c r="Q523" s="5">
        <v>4.5077538965560908</v>
      </c>
    </row>
    <row r="524" spans="1:17" x14ac:dyDescent="0.2">
      <c r="A524" s="4" t="s">
        <v>87</v>
      </c>
      <c r="B524" s="4">
        <v>2014</v>
      </c>
      <c r="C524" s="4" t="s">
        <v>50</v>
      </c>
      <c r="D524" s="4">
        <v>3</v>
      </c>
      <c r="E524" s="4">
        <v>8</v>
      </c>
      <c r="F524" s="4">
        <v>2</v>
      </c>
      <c r="G524" s="6" t="str">
        <f t="shared" si="21"/>
        <v>82</v>
      </c>
      <c r="H524" s="5">
        <v>3</v>
      </c>
      <c r="I524" s="5">
        <v>209.2733020436975</v>
      </c>
      <c r="J524" s="5">
        <v>13134.524022510295</v>
      </c>
      <c r="K524" s="5">
        <v>7.5</v>
      </c>
      <c r="L524" s="5">
        <v>197.00707692100801</v>
      </c>
      <c r="M524" s="5">
        <v>12364.664575719307</v>
      </c>
      <c r="N524" s="5">
        <v>60</v>
      </c>
      <c r="O524" s="5">
        <v>12.266225122689491</v>
      </c>
      <c r="P524" s="5">
        <v>769.85944679098793</v>
      </c>
      <c r="Q524" s="5">
        <v>6.2262865448268885</v>
      </c>
    </row>
    <row r="525" spans="1:17" x14ac:dyDescent="0.2">
      <c r="A525" s="4" t="s">
        <v>87</v>
      </c>
      <c r="B525" s="4">
        <v>2014</v>
      </c>
      <c r="C525" s="4" t="s">
        <v>50</v>
      </c>
      <c r="D525" s="4">
        <v>4</v>
      </c>
      <c r="E525" s="4">
        <v>8</v>
      </c>
      <c r="F525" s="4">
        <v>2</v>
      </c>
      <c r="G525" s="6" t="str">
        <f t="shared" si="21"/>
        <v>82</v>
      </c>
      <c r="H525" s="5">
        <v>5</v>
      </c>
      <c r="I525" s="5">
        <v>204.99994890756304</v>
      </c>
      <c r="J525" s="5">
        <v>12866.317524714854</v>
      </c>
      <c r="K525" s="5">
        <v>12.5</v>
      </c>
      <c r="L525" s="5">
        <v>198.94150697142899</v>
      </c>
      <c r="M525" s="5">
        <v>12486.07431943241</v>
      </c>
      <c r="N525" s="5">
        <v>60</v>
      </c>
      <c r="O525" s="5">
        <v>6.0584419361340451</v>
      </c>
      <c r="P525" s="5">
        <v>380.24320528244425</v>
      </c>
      <c r="Q525" s="5">
        <v>3.0453383149470898</v>
      </c>
    </row>
    <row r="526" spans="1:17" x14ac:dyDescent="0.2">
      <c r="A526" s="4" t="s">
        <v>77</v>
      </c>
      <c r="B526" s="25">
        <v>2014</v>
      </c>
      <c r="C526" s="25" t="s">
        <v>50</v>
      </c>
      <c r="D526" s="26">
        <v>1</v>
      </c>
      <c r="E526" s="26">
        <v>9</v>
      </c>
      <c r="F526" s="26">
        <v>2</v>
      </c>
      <c r="G526" s="6" t="str">
        <f t="shared" si="21"/>
        <v>92</v>
      </c>
      <c r="H526" s="5">
        <v>5.333333333333333</v>
      </c>
      <c r="I526" s="5">
        <v>216.69200364652639</v>
      </c>
      <c r="J526" s="5">
        <v>13600.140579742452</v>
      </c>
      <c r="K526" s="5">
        <v>5</v>
      </c>
      <c r="L526" s="5">
        <v>203.90911865546201</v>
      </c>
      <c r="M526" s="5">
        <v>12797.854247217037</v>
      </c>
      <c r="N526" s="5">
        <v>-6.6666666666666607</v>
      </c>
      <c r="O526" s="5">
        <v>12.782884991064378</v>
      </c>
      <c r="P526" s="5">
        <v>802.28633252541476</v>
      </c>
      <c r="Q526" s="5">
        <v>6.2689128742021438</v>
      </c>
    </row>
    <row r="527" spans="1:17" x14ac:dyDescent="0.2">
      <c r="A527" s="4" t="s">
        <v>77</v>
      </c>
      <c r="B527" s="25">
        <v>2014</v>
      </c>
      <c r="C527" s="25" t="s">
        <v>50</v>
      </c>
      <c r="D527" s="26">
        <v>2</v>
      </c>
      <c r="E527" s="26">
        <v>9</v>
      </c>
      <c r="F527" s="26">
        <v>2</v>
      </c>
      <c r="G527" s="6" t="str">
        <f t="shared" si="21"/>
        <v>92</v>
      </c>
      <c r="H527" s="5">
        <v>10</v>
      </c>
      <c r="I527" s="5">
        <v>227.78538593168298</v>
      </c>
      <c r="J527" s="5">
        <v>14296.389430849389</v>
      </c>
      <c r="K527" s="5">
        <v>31.6666666666667</v>
      </c>
      <c r="L527" s="5">
        <v>233.849114621849</v>
      </c>
      <c r="M527" s="5">
        <v>14676.964446244043</v>
      </c>
      <c r="N527" s="5">
        <v>68.421052631578988</v>
      </c>
      <c r="O527" s="5">
        <v>-6.0637286901660161</v>
      </c>
      <c r="P527" s="5">
        <v>-380.57501539465375</v>
      </c>
      <c r="Q527" s="5">
        <v>-2.5930090434473052</v>
      </c>
    </row>
    <row r="528" spans="1:17" x14ac:dyDescent="0.2">
      <c r="A528" s="4" t="s">
        <v>77</v>
      </c>
      <c r="B528" s="25">
        <v>2014</v>
      </c>
      <c r="C528" s="25" t="s">
        <v>50</v>
      </c>
      <c r="D528" s="26">
        <v>3</v>
      </c>
      <c r="E528" s="26">
        <v>9</v>
      </c>
      <c r="F528" s="26">
        <v>2</v>
      </c>
      <c r="G528" s="6" t="str">
        <f t="shared" si="21"/>
        <v>92</v>
      </c>
      <c r="H528" s="5">
        <v>12.666666666666666</v>
      </c>
      <c r="I528" s="5">
        <v>216.67212845068138</v>
      </c>
      <c r="J528" s="5">
        <v>13598.893161965178</v>
      </c>
      <c r="K528" s="5">
        <v>10</v>
      </c>
      <c r="L528" s="5">
        <v>216.62039332828201</v>
      </c>
      <c r="M528" s="5">
        <v>13595.646134268256</v>
      </c>
      <c r="N528" s="5">
        <v>-26.666666666666661</v>
      </c>
      <c r="O528" s="5">
        <v>5.1735122399378497E-2</v>
      </c>
      <c r="P528" s="5">
        <v>3.2470276969215774</v>
      </c>
      <c r="Q528" s="5">
        <v>2.3882849442052934E-2</v>
      </c>
    </row>
    <row r="529" spans="1:17" x14ac:dyDescent="0.2">
      <c r="A529" s="4" t="s">
        <v>77</v>
      </c>
      <c r="B529" s="25">
        <v>2014</v>
      </c>
      <c r="C529" s="25" t="s">
        <v>50</v>
      </c>
      <c r="D529" s="26">
        <v>4</v>
      </c>
      <c r="E529" s="26">
        <v>9</v>
      </c>
      <c r="F529" s="26">
        <v>2</v>
      </c>
      <c r="G529" s="6" t="str">
        <f t="shared" si="21"/>
        <v>92</v>
      </c>
      <c r="H529" s="5">
        <v>13.666666666666666</v>
      </c>
      <c r="I529" s="5">
        <v>231.40534741626209</v>
      </c>
      <c r="J529" s="5">
        <v>14523.587408878322</v>
      </c>
      <c r="K529" s="5">
        <v>18.3333333333333</v>
      </c>
      <c r="L529" s="5">
        <v>214.28523421746999</v>
      </c>
      <c r="M529" s="5">
        <v>13449.085616811806</v>
      </c>
      <c r="N529" s="5">
        <v>25.454545454545325</v>
      </c>
      <c r="O529" s="5">
        <v>17.120113198792097</v>
      </c>
      <c r="P529" s="5">
        <v>1074.5017920665159</v>
      </c>
      <c r="Q529" s="5">
        <v>7.9894040582458095</v>
      </c>
    </row>
    <row r="530" spans="1:17" x14ac:dyDescent="0.2">
      <c r="A530" s="4" t="s">
        <v>86</v>
      </c>
      <c r="B530" s="25">
        <v>2014</v>
      </c>
      <c r="C530" s="25" t="s">
        <v>50</v>
      </c>
      <c r="D530" s="25">
        <v>1</v>
      </c>
      <c r="E530" s="25">
        <v>9</v>
      </c>
      <c r="F530" s="25">
        <v>2</v>
      </c>
      <c r="G530" s="6" t="str">
        <f t="shared" si="21"/>
        <v>92</v>
      </c>
      <c r="H530" s="5">
        <v>0</v>
      </c>
      <c r="I530" s="5">
        <v>173.07010285714284</v>
      </c>
      <c r="J530" s="5">
        <v>10862.319279889864</v>
      </c>
      <c r="K530" s="5">
        <v>0</v>
      </c>
      <c r="L530" s="5" t="s">
        <v>97</v>
      </c>
      <c r="M530" s="5" t="s">
        <v>97</v>
      </c>
      <c r="N530" s="5" t="s">
        <v>97</v>
      </c>
      <c r="O530" s="5" t="s">
        <v>97</v>
      </c>
      <c r="P530" s="5" t="s">
        <v>97</v>
      </c>
      <c r="Q530" s="5" t="s">
        <v>97</v>
      </c>
    </row>
    <row r="531" spans="1:17" x14ac:dyDescent="0.2">
      <c r="A531" s="4" t="s">
        <v>86</v>
      </c>
      <c r="B531" s="25">
        <v>2014</v>
      </c>
      <c r="C531" s="25" t="s">
        <v>50</v>
      </c>
      <c r="D531" s="25">
        <v>2</v>
      </c>
      <c r="E531" s="25">
        <v>9</v>
      </c>
      <c r="F531" s="25">
        <v>2</v>
      </c>
      <c r="G531" s="6" t="str">
        <f t="shared" si="21"/>
        <v>92</v>
      </c>
      <c r="H531" s="5">
        <v>0</v>
      </c>
      <c r="I531" s="5" t="s">
        <v>97</v>
      </c>
      <c r="J531" s="5" t="s">
        <v>97</v>
      </c>
      <c r="K531" s="5">
        <v>0</v>
      </c>
      <c r="L531" s="5">
        <v>141.80000000000001</v>
      </c>
      <c r="M531" s="5">
        <v>8899.7281937237458</v>
      </c>
      <c r="N531" s="5" t="s">
        <v>97</v>
      </c>
      <c r="O531" s="5" t="s">
        <v>97</v>
      </c>
      <c r="P531" s="5" t="s">
        <v>97</v>
      </c>
      <c r="Q531" s="5" t="s">
        <v>97</v>
      </c>
    </row>
    <row r="532" spans="1:17" x14ac:dyDescent="0.2">
      <c r="A532" s="4" t="s">
        <v>86</v>
      </c>
      <c r="B532" s="25">
        <v>2014</v>
      </c>
      <c r="C532" s="25" t="s">
        <v>50</v>
      </c>
      <c r="D532" s="25">
        <v>3</v>
      </c>
      <c r="E532" s="25">
        <v>9</v>
      </c>
      <c r="F532" s="25">
        <v>2</v>
      </c>
      <c r="G532" s="6" t="str">
        <f t="shared" si="21"/>
        <v>92</v>
      </c>
      <c r="H532" s="5">
        <v>0</v>
      </c>
      <c r="I532" s="5">
        <v>161.8806736134454</v>
      </c>
      <c r="J532" s="5">
        <v>10160.042277690914</v>
      </c>
      <c r="K532" s="5">
        <v>0</v>
      </c>
      <c r="L532" s="5">
        <v>147.9</v>
      </c>
      <c r="M532" s="5">
        <v>9282.5796886582648</v>
      </c>
      <c r="N532" s="5" t="s">
        <v>97</v>
      </c>
      <c r="O532" s="5">
        <v>13.98067361344539</v>
      </c>
      <c r="P532" s="5">
        <v>877.4625890326497</v>
      </c>
      <c r="Q532" s="5">
        <v>9.4527881091584902</v>
      </c>
    </row>
    <row r="533" spans="1:17" x14ac:dyDescent="0.2">
      <c r="A533" s="4" t="s">
        <v>86</v>
      </c>
      <c r="B533" s="25">
        <v>2014</v>
      </c>
      <c r="C533" s="25" t="s">
        <v>50</v>
      </c>
      <c r="D533" s="25">
        <v>4</v>
      </c>
      <c r="E533" s="25">
        <v>9</v>
      </c>
      <c r="F533" s="25">
        <v>2</v>
      </c>
      <c r="G533" s="6" t="str">
        <f t="shared" si="21"/>
        <v>92</v>
      </c>
      <c r="H533" s="5">
        <v>0</v>
      </c>
      <c r="I533" s="5">
        <v>169.58091025210084</v>
      </c>
      <c r="J533" s="5">
        <v>10643.328688913667</v>
      </c>
      <c r="K533" s="5">
        <v>0</v>
      </c>
      <c r="L533" s="5">
        <v>158.6</v>
      </c>
      <c r="M533" s="5">
        <v>9954.138868297503</v>
      </c>
      <c r="N533" s="5" t="s">
        <v>97</v>
      </c>
      <c r="O533" s="5">
        <v>10.980910252100841</v>
      </c>
      <c r="P533" s="5">
        <v>689.18982061616407</v>
      </c>
      <c r="Q533" s="5">
        <v>6.9236508525226048</v>
      </c>
    </row>
    <row r="534" spans="1:17" x14ac:dyDescent="0.2">
      <c r="A534" s="4" t="s">
        <v>51</v>
      </c>
      <c r="B534" s="25">
        <v>2014</v>
      </c>
      <c r="C534" s="25" t="s">
        <v>50</v>
      </c>
      <c r="D534" s="25">
        <v>1</v>
      </c>
      <c r="E534" s="25">
        <v>9</v>
      </c>
      <c r="F534" s="25">
        <v>2</v>
      </c>
      <c r="G534" s="6" t="str">
        <f t="shared" si="21"/>
        <v>92</v>
      </c>
      <c r="H534" s="5">
        <v>5</v>
      </c>
      <c r="I534" s="5">
        <v>217.72312941176472</v>
      </c>
      <c r="J534" s="5">
        <v>13664.856651986222</v>
      </c>
      <c r="K534" s="5">
        <v>11.6666666666667</v>
      </c>
      <c r="L534" s="5">
        <v>201.86765546218501</v>
      </c>
      <c r="M534" s="5">
        <v>12669.726831577709</v>
      </c>
      <c r="N534" s="5">
        <v>57.14285714285726</v>
      </c>
      <c r="O534" s="5">
        <v>15.855473949579704</v>
      </c>
      <c r="P534" s="5">
        <v>995.12982040851239</v>
      </c>
      <c r="Q534" s="5">
        <v>7.8543904982092894</v>
      </c>
    </row>
    <row r="535" spans="1:17" x14ac:dyDescent="0.2">
      <c r="A535" s="4" t="s">
        <v>51</v>
      </c>
      <c r="B535" s="25">
        <v>2014</v>
      </c>
      <c r="C535" s="25" t="s">
        <v>50</v>
      </c>
      <c r="D535" s="25">
        <v>2</v>
      </c>
      <c r="E535" s="25">
        <v>9</v>
      </c>
      <c r="F535" s="25">
        <v>2</v>
      </c>
      <c r="G535" s="6" t="str">
        <f t="shared" si="21"/>
        <v>92</v>
      </c>
      <c r="H535" s="5">
        <v>6.666666666666667</v>
      </c>
      <c r="I535" s="5">
        <v>195.44896134453782</v>
      </c>
      <c r="J535" s="5">
        <v>12266.873284287771</v>
      </c>
      <c r="K535" s="5">
        <v>13.333333333333334</v>
      </c>
      <c r="L535" s="5">
        <v>183.37661848739492</v>
      </c>
      <c r="M535" s="5">
        <v>11509.182380973143</v>
      </c>
      <c r="N535" s="5">
        <v>50</v>
      </c>
      <c r="O535" s="5">
        <v>12.0723428571429</v>
      </c>
      <c r="P535" s="5">
        <v>757.69090331462758</v>
      </c>
      <c r="Q535" s="5">
        <v>6.5833599488981429</v>
      </c>
    </row>
    <row r="536" spans="1:17" x14ac:dyDescent="0.2">
      <c r="A536" s="4" t="s">
        <v>51</v>
      </c>
      <c r="B536" s="25">
        <v>2014</v>
      </c>
      <c r="C536" s="25" t="s">
        <v>50</v>
      </c>
      <c r="D536" s="25">
        <v>3</v>
      </c>
      <c r="E536" s="25">
        <v>9</v>
      </c>
      <c r="F536" s="25">
        <v>2</v>
      </c>
      <c r="G536" s="6" t="str">
        <f t="shared" si="21"/>
        <v>92</v>
      </c>
      <c r="H536" s="5">
        <v>5</v>
      </c>
      <c r="I536" s="5">
        <v>190.50178991596638</v>
      </c>
      <c r="J536" s="5">
        <v>11956.376238857292</v>
      </c>
      <c r="K536" s="5">
        <v>11.6666666666667</v>
      </c>
      <c r="L536" s="5">
        <v>198.146752941176</v>
      </c>
      <c r="M536" s="5">
        <v>12436.193537696739</v>
      </c>
      <c r="N536" s="5">
        <v>57.14285714285726</v>
      </c>
      <c r="O536" s="5">
        <v>-7.6449630252096199</v>
      </c>
      <c r="P536" s="5">
        <v>-479.81729883944718</v>
      </c>
      <c r="Q536" s="5">
        <v>-3.8582328056010002</v>
      </c>
    </row>
    <row r="537" spans="1:17" x14ac:dyDescent="0.2">
      <c r="A537" s="4" t="s">
        <v>51</v>
      </c>
      <c r="B537" s="25">
        <v>2014</v>
      </c>
      <c r="C537" s="25" t="s">
        <v>50</v>
      </c>
      <c r="D537" s="25">
        <v>4</v>
      </c>
      <c r="E537" s="25">
        <v>9</v>
      </c>
      <c r="F537" s="25">
        <v>2</v>
      </c>
      <c r="G537" s="6" t="str">
        <f t="shared" si="21"/>
        <v>92</v>
      </c>
      <c r="H537" s="5">
        <v>5</v>
      </c>
      <c r="I537" s="5">
        <v>192.96347899159665</v>
      </c>
      <c r="J537" s="5">
        <v>12110.87809831123</v>
      </c>
      <c r="K537" s="5">
        <v>11.6666666666667</v>
      </c>
      <c r="L537" s="5">
        <v>193.20141176470599</v>
      </c>
      <c r="M537" s="5">
        <v>12125.811363537268</v>
      </c>
      <c r="N537" s="5">
        <v>57.14285714285726</v>
      </c>
      <c r="O537" s="5">
        <v>-0.23793277310934968</v>
      </c>
      <c r="P537" s="5">
        <v>-14.933265226038202</v>
      </c>
      <c r="Q537" s="5">
        <v>-0.12315270935966433</v>
      </c>
    </row>
    <row r="538" spans="1:17" x14ac:dyDescent="0.2">
      <c r="A538" s="4" t="s">
        <v>80</v>
      </c>
      <c r="B538" s="25">
        <v>2014</v>
      </c>
      <c r="C538" s="25" t="s">
        <v>50</v>
      </c>
      <c r="D538" s="25">
        <v>1</v>
      </c>
      <c r="E538" s="25">
        <v>9</v>
      </c>
      <c r="F538" s="25">
        <v>2</v>
      </c>
      <c r="G538" s="6" t="str">
        <f t="shared" si="21"/>
        <v>92</v>
      </c>
      <c r="H538" s="5">
        <v>20</v>
      </c>
      <c r="I538" s="5">
        <v>188.46909531296455</v>
      </c>
      <c r="J538" s="5">
        <v>11828.799162217198</v>
      </c>
      <c r="K538" s="5">
        <v>13.3333333333333</v>
      </c>
      <c r="L538" s="5">
        <v>195.65573825486001</v>
      </c>
      <c r="M538" s="5">
        <v>12279.851128424621</v>
      </c>
      <c r="N538" s="5">
        <v>-50.000000000000377</v>
      </c>
      <c r="O538" s="5">
        <v>-7.1866429418954567</v>
      </c>
      <c r="P538" s="5">
        <v>-451.0519662074239</v>
      </c>
      <c r="Q538" s="5">
        <v>-3.6731061434723538</v>
      </c>
    </row>
    <row r="539" spans="1:17" x14ac:dyDescent="0.2">
      <c r="A539" s="4" t="s">
        <v>80</v>
      </c>
      <c r="B539" s="25">
        <v>2014</v>
      </c>
      <c r="C539" s="25" t="s">
        <v>50</v>
      </c>
      <c r="D539" s="25">
        <v>2</v>
      </c>
      <c r="E539" s="25">
        <v>9</v>
      </c>
      <c r="F539" s="25">
        <v>2</v>
      </c>
      <c r="G539" s="6" t="str">
        <f t="shared" si="21"/>
        <v>92</v>
      </c>
      <c r="H539" s="5">
        <v>40</v>
      </c>
      <c r="I539" s="5">
        <v>210.23989413867108</v>
      </c>
      <c r="J539" s="5">
        <v>13195.18979768284</v>
      </c>
      <c r="K539" s="5">
        <v>26.6666666666667</v>
      </c>
      <c r="L539" s="5">
        <v>200.14342489396401</v>
      </c>
      <c r="M539" s="5">
        <v>12561.509741306365</v>
      </c>
      <c r="N539" s="5">
        <v>-49.999999999999808</v>
      </c>
      <c r="O539" s="5">
        <v>10.096469244707066</v>
      </c>
      <c r="P539" s="5">
        <v>633.68005637647548</v>
      </c>
      <c r="Q539" s="5">
        <v>5.044617004059055</v>
      </c>
    </row>
    <row r="540" spans="1:17" x14ac:dyDescent="0.2">
      <c r="A540" s="4" t="s">
        <v>80</v>
      </c>
      <c r="B540" s="25">
        <v>2014</v>
      </c>
      <c r="C540" s="25" t="s">
        <v>50</v>
      </c>
      <c r="D540" s="25">
        <v>3</v>
      </c>
      <c r="E540" s="25">
        <v>9</v>
      </c>
      <c r="F540" s="25">
        <v>2</v>
      </c>
      <c r="G540" s="6" t="str">
        <f t="shared" si="21"/>
        <v>92</v>
      </c>
      <c r="H540" s="5">
        <v>56.666666666666664</v>
      </c>
      <c r="I540" s="5">
        <v>221.97780002219778</v>
      </c>
      <c r="J540" s="5">
        <v>13931.890587012165</v>
      </c>
      <c r="K540" s="5">
        <v>13.3333333333333</v>
      </c>
      <c r="L540" s="5">
        <v>225.624535736848</v>
      </c>
      <c r="M540" s="5">
        <v>14160.768983731008</v>
      </c>
      <c r="N540" s="5">
        <v>-325.00000000000102</v>
      </c>
      <c r="O540" s="5">
        <v>-3.6467357146502195</v>
      </c>
      <c r="P540" s="5">
        <v>-228.87839671884285</v>
      </c>
      <c r="Q540" s="5">
        <v>-1.6162850829767519</v>
      </c>
    </row>
    <row r="541" spans="1:17" x14ac:dyDescent="0.2">
      <c r="A541" s="4" t="s">
        <v>80</v>
      </c>
      <c r="B541" s="25">
        <v>2014</v>
      </c>
      <c r="C541" s="25" t="s">
        <v>50</v>
      </c>
      <c r="D541" s="25">
        <v>4</v>
      </c>
      <c r="E541" s="25">
        <v>9</v>
      </c>
      <c r="F541" s="25">
        <v>2</v>
      </c>
      <c r="G541" s="6" t="str">
        <f t="shared" si="21"/>
        <v>92</v>
      </c>
      <c r="H541" s="5">
        <v>20</v>
      </c>
      <c r="I541" s="5">
        <v>218.82605598826916</v>
      </c>
      <c r="J541" s="5">
        <v>13734.079125530112</v>
      </c>
      <c r="K541" s="5">
        <v>41.6666666666667</v>
      </c>
      <c r="L541" s="5">
        <v>227.772361535382</v>
      </c>
      <c r="M541" s="5">
        <v>14295.571986653578</v>
      </c>
      <c r="N541" s="5">
        <v>52.000000000000036</v>
      </c>
      <c r="O541" s="5">
        <v>-8.9463055471128428</v>
      </c>
      <c r="P541" s="5">
        <v>-561.49286112346635</v>
      </c>
      <c r="Q541" s="5">
        <v>-3.9277397340076985</v>
      </c>
    </row>
    <row r="542" spans="1:17" x14ac:dyDescent="0.2">
      <c r="A542" s="4" t="s">
        <v>87</v>
      </c>
      <c r="B542" s="4">
        <v>2014</v>
      </c>
      <c r="C542" s="4" t="s">
        <v>50</v>
      </c>
      <c r="D542" s="4">
        <v>1</v>
      </c>
      <c r="E542" s="4">
        <v>9</v>
      </c>
      <c r="F542" s="4">
        <v>2</v>
      </c>
      <c r="G542" s="6" t="str">
        <f t="shared" si="21"/>
        <v>92</v>
      </c>
      <c r="H542" s="5">
        <v>1</v>
      </c>
      <c r="I542" s="5">
        <v>207.57957942857144</v>
      </c>
      <c r="J542" s="5">
        <v>13028.221688870062</v>
      </c>
      <c r="K542" s="5">
        <v>10.5</v>
      </c>
      <c r="L542" s="5">
        <v>198.27910945210101</v>
      </c>
      <c r="M542" s="5">
        <v>12444.500568528207</v>
      </c>
      <c r="N542" s="5">
        <v>90.476190476190482</v>
      </c>
      <c r="O542" s="5">
        <v>9.3004699764704242</v>
      </c>
      <c r="P542" s="5">
        <v>583.72112034185557</v>
      </c>
      <c r="Q542" s="5">
        <v>4.6905949911567362</v>
      </c>
    </row>
    <row r="543" spans="1:17" x14ac:dyDescent="0.2">
      <c r="A543" s="4" t="s">
        <v>87</v>
      </c>
      <c r="B543" s="4">
        <v>2014</v>
      </c>
      <c r="C543" s="4" t="s">
        <v>50</v>
      </c>
      <c r="D543" s="4">
        <v>2</v>
      </c>
      <c r="E543" s="4">
        <v>9</v>
      </c>
      <c r="F543" s="4">
        <v>2</v>
      </c>
      <c r="G543" s="6" t="str">
        <f t="shared" si="21"/>
        <v>92</v>
      </c>
      <c r="H543" s="5">
        <v>3</v>
      </c>
      <c r="I543" s="5">
        <v>202.28034070588231</v>
      </c>
      <c r="J543" s="5">
        <v>12695.628005755894</v>
      </c>
      <c r="K543" s="5">
        <v>12.5</v>
      </c>
      <c r="L543" s="5">
        <v>195.36490518655501</v>
      </c>
      <c r="M543" s="5">
        <v>12261.597706297251</v>
      </c>
      <c r="N543" s="5">
        <v>76</v>
      </c>
      <c r="O543" s="5">
        <v>6.9154355193273034</v>
      </c>
      <c r="P543" s="5">
        <v>434.03029945864364</v>
      </c>
      <c r="Q543" s="5">
        <v>3.5397532185853438</v>
      </c>
    </row>
    <row r="544" spans="1:17" x14ac:dyDescent="0.2">
      <c r="A544" s="4" t="s">
        <v>87</v>
      </c>
      <c r="B544" s="4">
        <v>2014</v>
      </c>
      <c r="C544" s="4" t="s">
        <v>50</v>
      </c>
      <c r="D544" s="4">
        <v>3</v>
      </c>
      <c r="E544" s="4">
        <v>9</v>
      </c>
      <c r="F544" s="4">
        <v>2</v>
      </c>
      <c r="G544" s="6" t="str">
        <f t="shared" si="21"/>
        <v>92</v>
      </c>
      <c r="H544" s="5">
        <v>3</v>
      </c>
      <c r="I544" s="5">
        <v>202.45781659159664</v>
      </c>
      <c r="J544" s="5">
        <v>12706.766843159265</v>
      </c>
      <c r="K544" s="5">
        <v>7.5</v>
      </c>
      <c r="L544" s="5">
        <v>197.00707692100801</v>
      </c>
      <c r="M544" s="5">
        <v>12364.664575719307</v>
      </c>
      <c r="N544" s="5">
        <v>60</v>
      </c>
      <c r="O544" s="5">
        <v>5.4507396705886322</v>
      </c>
      <c r="P544" s="5">
        <v>342.10226743995736</v>
      </c>
      <c r="Q544" s="5">
        <v>2.7667735371629014</v>
      </c>
    </row>
    <row r="545" spans="1:17" x14ac:dyDescent="0.2">
      <c r="A545" s="4" t="s">
        <v>87</v>
      </c>
      <c r="B545" s="4">
        <v>2014</v>
      </c>
      <c r="C545" s="4" t="s">
        <v>50</v>
      </c>
      <c r="D545" s="4">
        <v>4</v>
      </c>
      <c r="E545" s="4">
        <v>9</v>
      </c>
      <c r="F545" s="4">
        <v>2</v>
      </c>
      <c r="G545" s="6" t="str">
        <f t="shared" si="21"/>
        <v>92</v>
      </c>
      <c r="H545" s="5">
        <v>3</v>
      </c>
      <c r="I545" s="5">
        <v>209.37246510252101</v>
      </c>
      <c r="J545" s="5">
        <v>13140.74774797142</v>
      </c>
      <c r="K545" s="5">
        <v>12.5</v>
      </c>
      <c r="L545" s="5">
        <v>198.94150697142899</v>
      </c>
      <c r="M545" s="5">
        <v>12486.07431943241</v>
      </c>
      <c r="N545" s="5">
        <v>76</v>
      </c>
      <c r="O545" s="5">
        <v>10.430958131092012</v>
      </c>
      <c r="P545" s="5">
        <v>654.67342853901027</v>
      </c>
      <c r="Q545" s="5">
        <v>5.2432286705207627</v>
      </c>
    </row>
    <row r="546" spans="1:17" x14ac:dyDescent="0.2">
      <c r="A546" s="4" t="s">
        <v>77</v>
      </c>
      <c r="B546" s="25">
        <v>2014</v>
      </c>
      <c r="C546" s="25" t="s">
        <v>50</v>
      </c>
      <c r="D546" s="26">
        <v>1</v>
      </c>
      <c r="E546" s="26">
        <v>10</v>
      </c>
      <c r="F546" s="26">
        <v>2</v>
      </c>
      <c r="G546" s="6" t="str">
        <f t="shared" si="21"/>
        <v>102</v>
      </c>
      <c r="H546" s="5">
        <v>2.3333333333333335</v>
      </c>
      <c r="I546" s="5">
        <v>206.36031184071223</v>
      </c>
      <c r="J546" s="5">
        <v>12951.697357929554</v>
      </c>
      <c r="K546" s="5">
        <v>5</v>
      </c>
      <c r="L546" s="5">
        <v>203.90911865546201</v>
      </c>
      <c r="M546" s="5">
        <v>12797.854247217037</v>
      </c>
      <c r="N546" s="5">
        <v>53.333333333333336</v>
      </c>
      <c r="O546" s="5">
        <v>2.4511931852502187</v>
      </c>
      <c r="P546" s="5">
        <v>153.84311071251614</v>
      </c>
      <c r="Q546" s="5">
        <v>1.2021008189397857</v>
      </c>
    </row>
    <row r="547" spans="1:17" x14ac:dyDescent="0.2">
      <c r="A547" s="4" t="s">
        <v>77</v>
      </c>
      <c r="B547" s="25">
        <v>2014</v>
      </c>
      <c r="C547" s="25" t="s">
        <v>50</v>
      </c>
      <c r="D547" s="26">
        <v>2</v>
      </c>
      <c r="E547" s="26">
        <v>10</v>
      </c>
      <c r="F547" s="26">
        <v>2</v>
      </c>
      <c r="G547" s="6" t="str">
        <f t="shared" si="21"/>
        <v>102</v>
      </c>
      <c r="H547" s="5">
        <v>8.6666666666666661</v>
      </c>
      <c r="I547" s="5">
        <v>209.73529051645772</v>
      </c>
      <c r="J547" s="5">
        <v>13163.519592582225</v>
      </c>
      <c r="K547" s="5">
        <v>31.6666666666667</v>
      </c>
      <c r="L547" s="5">
        <v>233.849114621849</v>
      </c>
      <c r="M547" s="5">
        <v>14676.964446244043</v>
      </c>
      <c r="N547" s="5">
        <v>72.631578947368453</v>
      </c>
      <c r="O547" s="5">
        <v>-24.113824105391274</v>
      </c>
      <c r="P547" s="5">
        <v>-1513.4448536618183</v>
      </c>
      <c r="Q547" s="5">
        <v>-10.311702118002483</v>
      </c>
    </row>
    <row r="548" spans="1:17" x14ac:dyDescent="0.2">
      <c r="A548" s="4" t="s">
        <v>77</v>
      </c>
      <c r="B548" s="25">
        <v>2014</v>
      </c>
      <c r="C548" s="25" t="s">
        <v>50</v>
      </c>
      <c r="D548" s="26">
        <v>3</v>
      </c>
      <c r="E548" s="26">
        <v>10</v>
      </c>
      <c r="F548" s="26">
        <v>2</v>
      </c>
      <c r="G548" s="6" t="str">
        <f t="shared" si="21"/>
        <v>102</v>
      </c>
      <c r="H548" s="5">
        <v>16.666666666666668</v>
      </c>
      <c r="I548" s="5">
        <v>210.30469927774823</v>
      </c>
      <c r="J548" s="5">
        <v>13199.257132826304</v>
      </c>
      <c r="K548" s="5">
        <v>10</v>
      </c>
      <c r="L548" s="5">
        <v>216.62039332828201</v>
      </c>
      <c r="M548" s="5">
        <v>13595.646134268256</v>
      </c>
      <c r="N548" s="5">
        <v>-66.666666666666671</v>
      </c>
      <c r="O548" s="5">
        <v>-6.3156940505337786</v>
      </c>
      <c r="P548" s="5">
        <v>-396.38900144195213</v>
      </c>
      <c r="Q548" s="5">
        <v>-2.9155583892614056</v>
      </c>
    </row>
    <row r="549" spans="1:17" x14ac:dyDescent="0.2">
      <c r="A549" s="4" t="s">
        <v>77</v>
      </c>
      <c r="B549" s="25">
        <v>2014</v>
      </c>
      <c r="C549" s="25" t="s">
        <v>50</v>
      </c>
      <c r="D549" s="26">
        <v>4</v>
      </c>
      <c r="E549" s="26">
        <v>10</v>
      </c>
      <c r="F549" s="26">
        <v>2</v>
      </c>
      <c r="G549" s="6" t="str">
        <f t="shared" si="21"/>
        <v>102</v>
      </c>
      <c r="H549" s="5">
        <v>15.666666666666666</v>
      </c>
      <c r="I549" s="5">
        <v>220.24624910719464</v>
      </c>
      <c r="J549" s="5">
        <v>13823.214053181971</v>
      </c>
      <c r="K549" s="5">
        <v>18.3333333333333</v>
      </c>
      <c r="L549" s="5">
        <v>214.28523421746999</v>
      </c>
      <c r="M549" s="5">
        <v>13449.085616811806</v>
      </c>
      <c r="N549" s="5">
        <v>14.545454545454394</v>
      </c>
      <c r="O549" s="5">
        <v>5.9610148897246518</v>
      </c>
      <c r="P549" s="5">
        <v>374.12843637016522</v>
      </c>
      <c r="Q549" s="5">
        <v>2.7818131806856234</v>
      </c>
    </row>
    <row r="550" spans="1:17" x14ac:dyDescent="0.2">
      <c r="A550" s="4" t="s">
        <v>86</v>
      </c>
      <c r="B550" s="25">
        <v>2014</v>
      </c>
      <c r="C550" s="25" t="s">
        <v>50</v>
      </c>
      <c r="D550" s="25">
        <v>1</v>
      </c>
      <c r="E550" s="25">
        <v>10</v>
      </c>
      <c r="F550" s="25">
        <v>2</v>
      </c>
      <c r="G550" s="6" t="str">
        <f t="shared" si="21"/>
        <v>102</v>
      </c>
      <c r="H550" s="5">
        <v>0</v>
      </c>
      <c r="I550" s="5">
        <v>175.03432941176467</v>
      </c>
      <c r="J550" s="5">
        <v>10985.599127894298</v>
      </c>
      <c r="K550" s="5">
        <v>0</v>
      </c>
      <c r="L550" s="5" t="s">
        <v>97</v>
      </c>
      <c r="M550" s="5" t="s">
        <v>97</v>
      </c>
      <c r="N550" s="5" t="s">
        <v>97</v>
      </c>
      <c r="O550" s="5" t="s">
        <v>97</v>
      </c>
      <c r="P550" s="5" t="s">
        <v>97</v>
      </c>
      <c r="Q550" s="5" t="s">
        <v>97</v>
      </c>
    </row>
    <row r="551" spans="1:17" x14ac:dyDescent="0.2">
      <c r="A551" s="4" t="s">
        <v>86</v>
      </c>
      <c r="B551" s="25">
        <v>2014</v>
      </c>
      <c r="C551" s="25" t="s">
        <v>50</v>
      </c>
      <c r="D551" s="25">
        <v>2</v>
      </c>
      <c r="E551" s="25">
        <v>10</v>
      </c>
      <c r="F551" s="25">
        <v>2</v>
      </c>
      <c r="G551" s="6" t="str">
        <f t="shared" si="21"/>
        <v>102</v>
      </c>
      <c r="H551" s="5">
        <v>0</v>
      </c>
      <c r="I551" s="5">
        <v>175.41868235294118</v>
      </c>
      <c r="J551" s="5">
        <v>11009.722094797889</v>
      </c>
      <c r="K551" s="5">
        <v>0</v>
      </c>
      <c r="L551" s="5">
        <v>141.80000000000001</v>
      </c>
      <c r="M551" s="5">
        <v>8899.7281937237458</v>
      </c>
      <c r="N551" s="5" t="s">
        <v>97</v>
      </c>
      <c r="O551" s="5">
        <v>33.618682352941164</v>
      </c>
      <c r="P551" s="5">
        <v>2109.9939010741437</v>
      </c>
      <c r="Q551" s="5">
        <v>23.708520700240605</v>
      </c>
    </row>
    <row r="552" spans="1:17" x14ac:dyDescent="0.2">
      <c r="A552" s="4" t="s">
        <v>86</v>
      </c>
      <c r="B552" s="25">
        <v>2014</v>
      </c>
      <c r="C552" s="25" t="s">
        <v>50</v>
      </c>
      <c r="D552" s="25">
        <v>3</v>
      </c>
      <c r="E552" s="25">
        <v>10</v>
      </c>
      <c r="F552" s="25">
        <v>2</v>
      </c>
      <c r="G552" s="6" t="str">
        <f t="shared" si="21"/>
        <v>102</v>
      </c>
      <c r="H552" s="5">
        <v>0</v>
      </c>
      <c r="I552" s="5">
        <v>155.77934521008402</v>
      </c>
      <c r="J552" s="5">
        <v>9777.1074087870875</v>
      </c>
      <c r="K552" s="5">
        <v>0</v>
      </c>
      <c r="L552" s="5">
        <v>147.9</v>
      </c>
      <c r="M552" s="5">
        <v>9282.5796886582648</v>
      </c>
      <c r="N552" s="5" t="s">
        <v>97</v>
      </c>
      <c r="O552" s="5">
        <v>7.8793452100840113</v>
      </c>
      <c r="P552" s="5">
        <v>494.52772012882269</v>
      </c>
      <c r="Q552" s="5">
        <v>5.3274815484002955</v>
      </c>
    </row>
    <row r="553" spans="1:17" x14ac:dyDescent="0.2">
      <c r="A553" s="4" t="s">
        <v>86</v>
      </c>
      <c r="B553" s="25">
        <v>2014</v>
      </c>
      <c r="C553" s="25" t="s">
        <v>50</v>
      </c>
      <c r="D553" s="25">
        <v>4</v>
      </c>
      <c r="E553" s="25">
        <v>10</v>
      </c>
      <c r="F553" s="25">
        <v>2</v>
      </c>
      <c r="G553" s="6" t="str">
        <f t="shared" si="21"/>
        <v>102</v>
      </c>
      <c r="H553" s="5">
        <v>0</v>
      </c>
      <c r="I553" s="5">
        <v>159.90985815126052</v>
      </c>
      <c r="J553" s="5">
        <v>10036.34889311099</v>
      </c>
      <c r="K553" s="5">
        <v>0</v>
      </c>
      <c r="L553" s="5">
        <v>158.6</v>
      </c>
      <c r="M553" s="5">
        <v>9954.138868297503</v>
      </c>
      <c r="N553" s="5" t="s">
        <v>97</v>
      </c>
      <c r="O553" s="5">
        <v>1.3098581512605278</v>
      </c>
      <c r="P553" s="5">
        <v>82.210024813486598</v>
      </c>
      <c r="Q553" s="5">
        <v>0.82588786334208864</v>
      </c>
    </row>
    <row r="554" spans="1:17" x14ac:dyDescent="0.2">
      <c r="A554" s="4" t="s">
        <v>51</v>
      </c>
      <c r="B554" s="25">
        <v>2014</v>
      </c>
      <c r="C554" s="25" t="s">
        <v>50</v>
      </c>
      <c r="D554" s="25">
        <v>1</v>
      </c>
      <c r="E554" s="25">
        <v>10</v>
      </c>
      <c r="F554" s="25">
        <v>2</v>
      </c>
      <c r="G554" s="6" t="str">
        <f t="shared" si="21"/>
        <v>102</v>
      </c>
      <c r="H554" s="5">
        <v>5</v>
      </c>
      <c r="I554" s="5">
        <v>193.13186218487394</v>
      </c>
      <c r="J554" s="5">
        <v>12121.44625524042</v>
      </c>
      <c r="K554" s="5">
        <v>11.6666666666667</v>
      </c>
      <c r="L554" s="5">
        <v>201.86765546218501</v>
      </c>
      <c r="M554" s="5">
        <v>12669.726831577709</v>
      </c>
      <c r="N554" s="5">
        <v>57.14285714285726</v>
      </c>
      <c r="O554" s="5">
        <v>-8.7357932773110747</v>
      </c>
      <c r="P554" s="5">
        <v>-548.28057633728895</v>
      </c>
      <c r="Q554" s="5">
        <v>-4.3274853801170226</v>
      </c>
    </row>
    <row r="555" spans="1:17" x14ac:dyDescent="0.2">
      <c r="A555" s="4" t="s">
        <v>51</v>
      </c>
      <c r="B555" s="25">
        <v>2014</v>
      </c>
      <c r="C555" s="25" t="s">
        <v>50</v>
      </c>
      <c r="D555" s="25">
        <v>2</v>
      </c>
      <c r="E555" s="25">
        <v>10</v>
      </c>
      <c r="F555" s="25">
        <v>2</v>
      </c>
      <c r="G555" s="6" t="str">
        <f t="shared" si="21"/>
        <v>102</v>
      </c>
      <c r="H555" s="5">
        <v>6.666666666666667</v>
      </c>
      <c r="I555" s="5">
        <v>191.4791445378151</v>
      </c>
      <c r="J555" s="5">
        <v>12017.717497554988</v>
      </c>
      <c r="K555" s="5">
        <v>13.3333333333333</v>
      </c>
      <c r="L555" s="5">
        <v>183.37661848739501</v>
      </c>
      <c r="M555" s="5">
        <v>11509.182380973149</v>
      </c>
      <c r="N555" s="5">
        <v>49.999999999999872</v>
      </c>
      <c r="O555" s="5">
        <v>8.1025260504200958</v>
      </c>
      <c r="P555" s="5">
        <v>508.53511658183925</v>
      </c>
      <c r="Q555" s="5">
        <v>4.4185164484189929</v>
      </c>
    </row>
    <row r="556" spans="1:17" x14ac:dyDescent="0.2">
      <c r="A556" s="4" t="s">
        <v>51</v>
      </c>
      <c r="B556" s="25">
        <v>2014</v>
      </c>
      <c r="C556" s="25" t="s">
        <v>50</v>
      </c>
      <c r="D556" s="25">
        <v>3</v>
      </c>
      <c r="E556" s="25">
        <v>10</v>
      </c>
      <c r="F556" s="25">
        <v>2</v>
      </c>
      <c r="G556" s="6" t="str">
        <f t="shared" si="21"/>
        <v>102</v>
      </c>
      <c r="H556" s="5">
        <v>6.666666666666667</v>
      </c>
      <c r="I556" s="5">
        <v>193.43934453781515</v>
      </c>
      <c r="J556" s="5">
        <v>12140.744628763292</v>
      </c>
      <c r="K556" s="5">
        <v>11.6666666666667</v>
      </c>
      <c r="L556" s="5">
        <v>198.146752941176</v>
      </c>
      <c r="M556" s="5">
        <v>12436.193537696739</v>
      </c>
      <c r="N556" s="5">
        <v>42.857142857143018</v>
      </c>
      <c r="O556" s="5">
        <v>-4.7074084033608585</v>
      </c>
      <c r="P556" s="5">
        <v>-295.44890893344746</v>
      </c>
      <c r="Q556" s="5">
        <v>-2.3757181651916173</v>
      </c>
    </row>
    <row r="557" spans="1:17" x14ac:dyDescent="0.2">
      <c r="A557" s="4" t="s">
        <v>51</v>
      </c>
      <c r="B557" s="25">
        <v>2014</v>
      </c>
      <c r="C557" s="25" t="s">
        <v>50</v>
      </c>
      <c r="D557" s="25">
        <v>4</v>
      </c>
      <c r="E557" s="25">
        <v>10</v>
      </c>
      <c r="F557" s="25">
        <v>2</v>
      </c>
      <c r="G557" s="6" t="str">
        <f t="shared" si="21"/>
        <v>102</v>
      </c>
      <c r="H557" s="5">
        <v>8.3333333333333339</v>
      </c>
      <c r="I557" s="5">
        <v>187.48736470588236</v>
      </c>
      <c r="J557" s="5">
        <v>11767.183255570575</v>
      </c>
      <c r="K557" s="5">
        <v>11.6666666666667</v>
      </c>
      <c r="L557" s="5">
        <v>193.20141176470599</v>
      </c>
      <c r="M557" s="5">
        <v>12125.811363537268</v>
      </c>
      <c r="N557" s="5">
        <v>28.571428571428768</v>
      </c>
      <c r="O557" s="5">
        <v>-5.7140470588236383</v>
      </c>
      <c r="P557" s="5">
        <v>-358.62810796669328</v>
      </c>
      <c r="Q557" s="5">
        <v>-2.9575596816976746</v>
      </c>
    </row>
    <row r="558" spans="1:17" x14ac:dyDescent="0.2">
      <c r="A558" s="4" t="s">
        <v>80</v>
      </c>
      <c r="B558" s="25">
        <v>2014</v>
      </c>
      <c r="C558" s="25" t="s">
        <v>50</v>
      </c>
      <c r="D558" s="25">
        <v>1</v>
      </c>
      <c r="E558" s="25">
        <v>10</v>
      </c>
      <c r="F558" s="25">
        <v>2</v>
      </c>
      <c r="G558" s="6" t="str">
        <f t="shared" si="21"/>
        <v>102</v>
      </c>
      <c r="H558" s="5">
        <v>33.333333333333336</v>
      </c>
      <c r="I558" s="5">
        <v>200.51885119652249</v>
      </c>
      <c r="J558" s="5">
        <v>12585.072449695259</v>
      </c>
      <c r="K558" s="5">
        <v>13.3333333333333</v>
      </c>
      <c r="L558" s="5">
        <v>195.65573825486001</v>
      </c>
      <c r="M558" s="5">
        <v>12279.851128424621</v>
      </c>
      <c r="N558" s="5">
        <v>-150.00000000000065</v>
      </c>
      <c r="O558" s="5">
        <v>4.8631129416624788</v>
      </c>
      <c r="P558" s="5">
        <v>305.22132127063742</v>
      </c>
      <c r="Q558" s="5">
        <v>2.485545778027638</v>
      </c>
    </row>
    <row r="559" spans="1:17" x14ac:dyDescent="0.2">
      <c r="A559" s="4" t="s">
        <v>80</v>
      </c>
      <c r="B559" s="25">
        <v>2014</v>
      </c>
      <c r="C559" s="25" t="s">
        <v>50</v>
      </c>
      <c r="D559" s="25">
        <v>2</v>
      </c>
      <c r="E559" s="25">
        <v>10</v>
      </c>
      <c r="F559" s="25">
        <v>2</v>
      </c>
      <c r="G559" s="6" t="str">
        <f t="shared" si="21"/>
        <v>102</v>
      </c>
      <c r="H559" s="5">
        <v>10</v>
      </c>
      <c r="I559" s="5">
        <v>213.81164775247362</v>
      </c>
      <c r="J559" s="5">
        <v>13419.362127286458</v>
      </c>
      <c r="K559" s="5">
        <v>26.6666666666667</v>
      </c>
      <c r="L559" s="5">
        <v>200.14342489396401</v>
      </c>
      <c r="M559" s="5">
        <v>12561.509741306365</v>
      </c>
      <c r="N559" s="5">
        <v>62.500000000000043</v>
      </c>
      <c r="O559" s="5">
        <v>13.668222858509608</v>
      </c>
      <c r="P559" s="5">
        <v>857.85238598009346</v>
      </c>
      <c r="Q559" s="5">
        <v>6.829214032762267</v>
      </c>
    </row>
    <row r="560" spans="1:17" x14ac:dyDescent="0.2">
      <c r="A560" s="4" t="s">
        <v>80</v>
      </c>
      <c r="B560" s="25">
        <v>2014</v>
      </c>
      <c r="C560" s="25" t="s">
        <v>50</v>
      </c>
      <c r="D560" s="25">
        <v>3</v>
      </c>
      <c r="E560" s="25">
        <v>10</v>
      </c>
      <c r="F560" s="25">
        <v>2</v>
      </c>
      <c r="G560" s="6" t="str">
        <f t="shared" si="21"/>
        <v>102</v>
      </c>
      <c r="H560" s="5">
        <v>50</v>
      </c>
      <c r="I560" s="5">
        <v>219.50234245892503</v>
      </c>
      <c r="J560" s="5">
        <v>13776.524582299717</v>
      </c>
      <c r="K560" s="5">
        <v>13.3333333333333</v>
      </c>
      <c r="L560" s="5">
        <v>225.624535736848</v>
      </c>
      <c r="M560" s="5">
        <v>14160.768983731008</v>
      </c>
      <c r="N560" s="5">
        <v>-275.00000000000091</v>
      </c>
      <c r="O560" s="5">
        <v>-6.1221932779229746</v>
      </c>
      <c r="P560" s="5">
        <v>-384.24440143129141</v>
      </c>
      <c r="Q560" s="5">
        <v>-2.7134430472860704</v>
      </c>
    </row>
    <row r="561" spans="1:17" s="7" customFormat="1" x14ac:dyDescent="0.2">
      <c r="A561" s="7" t="s">
        <v>80</v>
      </c>
      <c r="B561" s="27">
        <v>2014</v>
      </c>
      <c r="C561" s="27" t="s">
        <v>50</v>
      </c>
      <c r="D561" s="27">
        <v>4</v>
      </c>
      <c r="E561" s="27">
        <v>10</v>
      </c>
      <c r="F561" s="27">
        <v>2</v>
      </c>
      <c r="G561" s="6" t="str">
        <f t="shared" si="21"/>
        <v>102</v>
      </c>
      <c r="H561" s="9">
        <v>36.666666666666664</v>
      </c>
      <c r="I561" s="9">
        <v>225.57856313180156</v>
      </c>
      <c r="J561" s="9">
        <v>14157.883626260835</v>
      </c>
      <c r="K561" s="9">
        <v>41.6666666666667</v>
      </c>
      <c r="L561" s="9">
        <v>227.772361535382</v>
      </c>
      <c r="M561" s="9">
        <v>14295.571986653578</v>
      </c>
      <c r="N561" s="9">
        <v>12.000000000000076</v>
      </c>
      <c r="O561" s="9">
        <v>-2.1937984035804448</v>
      </c>
      <c r="P561" s="9">
        <v>-137.68836039274356</v>
      </c>
      <c r="Q561" s="9">
        <v>-0.96315390892571584</v>
      </c>
    </row>
    <row r="562" spans="1:17" x14ac:dyDescent="0.2">
      <c r="A562" s="4" t="s">
        <v>87</v>
      </c>
      <c r="B562" s="4">
        <v>2014</v>
      </c>
      <c r="C562" s="4" t="s">
        <v>50</v>
      </c>
      <c r="D562" s="4">
        <v>1</v>
      </c>
      <c r="E562" s="4">
        <v>10</v>
      </c>
      <c r="F562" s="4">
        <v>2</v>
      </c>
      <c r="G562" s="6" t="str">
        <f t="shared" si="21"/>
        <v>102</v>
      </c>
      <c r="H562" s="5">
        <v>3</v>
      </c>
      <c r="I562" s="5">
        <v>194.61210419495799</v>
      </c>
      <c r="J562" s="5">
        <v>12214.350003834774</v>
      </c>
      <c r="K562" s="5">
        <v>10.5</v>
      </c>
      <c r="L562" s="5">
        <v>198.27910945210101</v>
      </c>
      <c r="M562" s="5">
        <v>12444.500568528207</v>
      </c>
      <c r="N562" s="5">
        <v>71.428571428571431</v>
      </c>
      <c r="O562" s="5">
        <v>-3.6670052571430176</v>
      </c>
      <c r="P562" s="5">
        <v>-230.1505646934329</v>
      </c>
      <c r="Q562" s="5">
        <v>-1.8494158397603937</v>
      </c>
    </row>
    <row r="563" spans="1:17" x14ac:dyDescent="0.2">
      <c r="A563" s="4" t="s">
        <v>87</v>
      </c>
      <c r="B563" s="4">
        <v>2014</v>
      </c>
      <c r="C563" s="4" t="s">
        <v>50</v>
      </c>
      <c r="D563" s="4">
        <v>2</v>
      </c>
      <c r="E563" s="4">
        <v>10</v>
      </c>
      <c r="F563" s="4">
        <v>2</v>
      </c>
      <c r="G563" s="6" t="str">
        <f t="shared" si="21"/>
        <v>102</v>
      </c>
      <c r="H563" s="5">
        <v>5</v>
      </c>
      <c r="I563" s="5">
        <v>208.68164010756308</v>
      </c>
      <c r="J563" s="5">
        <v>13097.389816486539</v>
      </c>
      <c r="K563" s="5">
        <v>12.5</v>
      </c>
      <c r="L563" s="5">
        <v>195.36490518655501</v>
      </c>
      <c r="M563" s="5">
        <v>12261.597706297251</v>
      </c>
      <c r="N563" s="5">
        <v>60</v>
      </c>
      <c r="O563" s="5">
        <v>13.316734921008077</v>
      </c>
      <c r="P563" s="5">
        <v>835.792110189288</v>
      </c>
      <c r="Q563" s="5">
        <v>6.8163393564938612</v>
      </c>
    </row>
    <row r="564" spans="1:17" x14ac:dyDescent="0.2">
      <c r="A564" s="4" t="s">
        <v>87</v>
      </c>
      <c r="B564" s="4">
        <v>2014</v>
      </c>
      <c r="C564" s="4" t="s">
        <v>50</v>
      </c>
      <c r="D564" s="4">
        <v>3</v>
      </c>
      <c r="E564" s="4">
        <v>10</v>
      </c>
      <c r="F564" s="4">
        <v>2</v>
      </c>
      <c r="G564" s="6" t="str">
        <f t="shared" si="21"/>
        <v>102</v>
      </c>
      <c r="H564" s="5">
        <v>3</v>
      </c>
      <c r="I564" s="5">
        <v>196.4408188840336</v>
      </c>
      <c r="J564" s="5">
        <v>12329.124782936628</v>
      </c>
      <c r="K564" s="5">
        <v>7.5</v>
      </c>
      <c r="L564" s="5">
        <v>197.00707692100801</v>
      </c>
      <c r="M564" s="5">
        <v>12364.664575719307</v>
      </c>
      <c r="N564" s="5">
        <v>60</v>
      </c>
      <c r="O564" s="5">
        <v>-0.56625803697440347</v>
      </c>
      <c r="P564" s="5">
        <v>-35.539792782679797</v>
      </c>
      <c r="Q564" s="5">
        <v>-0.28743030241572315</v>
      </c>
    </row>
    <row r="565" spans="1:17" x14ac:dyDescent="0.2">
      <c r="A565" s="4" t="s">
        <v>87</v>
      </c>
      <c r="B565" s="4">
        <v>2014</v>
      </c>
      <c r="C565" s="4" t="s">
        <v>50</v>
      </c>
      <c r="D565" s="4">
        <v>4</v>
      </c>
      <c r="E565" s="4">
        <v>10</v>
      </c>
      <c r="F565" s="4">
        <v>2</v>
      </c>
      <c r="G565" s="6" t="str">
        <f t="shared" si="21"/>
        <v>102</v>
      </c>
      <c r="H565" s="5">
        <v>15</v>
      </c>
      <c r="I565" s="5">
        <v>196.20053606722692</v>
      </c>
      <c r="J565" s="5">
        <v>12314.044022998674</v>
      </c>
      <c r="K565" s="5">
        <v>12.5</v>
      </c>
      <c r="L565" s="5">
        <v>198.94150697142899</v>
      </c>
      <c r="M565" s="5">
        <v>12486.07431943241</v>
      </c>
      <c r="N565" s="5">
        <v>-20</v>
      </c>
      <c r="O565" s="5">
        <v>-2.7409709042020722</v>
      </c>
      <c r="P565" s="5">
        <v>-172.0302964337352</v>
      </c>
      <c r="Q565" s="5">
        <v>-1.3777772903850163</v>
      </c>
    </row>
    <row r="566" spans="1:17" x14ac:dyDescent="0.2">
      <c r="A566" s="4" t="s">
        <v>77</v>
      </c>
      <c r="B566" s="25">
        <v>2014</v>
      </c>
      <c r="C566" s="25" t="s">
        <v>50</v>
      </c>
      <c r="D566" s="26">
        <v>1</v>
      </c>
      <c r="E566" s="26">
        <v>11</v>
      </c>
      <c r="F566" s="26">
        <v>2</v>
      </c>
      <c r="G566" s="6" t="str">
        <f t="shared" si="21"/>
        <v>112</v>
      </c>
      <c r="H566" s="5">
        <v>11.666666666666666</v>
      </c>
      <c r="I566" s="5">
        <v>208.61359865546217</v>
      </c>
      <c r="J566" s="5">
        <v>13093.119362116973</v>
      </c>
      <c r="K566" s="5">
        <v>5</v>
      </c>
      <c r="L566" s="5">
        <v>203.90911865546201</v>
      </c>
      <c r="M566" s="5">
        <v>12797.854247217037</v>
      </c>
      <c r="N566" s="5">
        <v>-133.33333333333331</v>
      </c>
      <c r="O566" s="5">
        <v>4.7044800000001601</v>
      </c>
      <c r="P566" s="5">
        <v>295.26511489993572</v>
      </c>
      <c r="Q566" s="5">
        <v>2.3071454729541299</v>
      </c>
    </row>
    <row r="567" spans="1:17" x14ac:dyDescent="0.2">
      <c r="A567" s="4" t="s">
        <v>77</v>
      </c>
      <c r="B567" s="25">
        <v>2014</v>
      </c>
      <c r="C567" s="25" t="s">
        <v>50</v>
      </c>
      <c r="D567" s="26">
        <v>2</v>
      </c>
      <c r="E567" s="26">
        <v>11</v>
      </c>
      <c r="F567" s="26">
        <v>2</v>
      </c>
      <c r="G567" s="6" t="str">
        <f t="shared" si="21"/>
        <v>112</v>
      </c>
      <c r="H567" s="5">
        <v>21</v>
      </c>
      <c r="I567" s="5">
        <v>231.45107633409788</v>
      </c>
      <c r="J567" s="5">
        <v>14526.457471920154</v>
      </c>
      <c r="K567" s="5">
        <v>31.6666666666667</v>
      </c>
      <c r="L567" s="5">
        <v>233.849114621849</v>
      </c>
      <c r="M567" s="5">
        <v>14676.964446244043</v>
      </c>
      <c r="N567" s="5">
        <v>33.684210526315859</v>
      </c>
      <c r="O567" s="5">
        <v>-2.3980382877511204</v>
      </c>
      <c r="P567" s="5">
        <v>-150.50697432388915</v>
      </c>
      <c r="Q567" s="5">
        <v>-1.0254639157513605</v>
      </c>
    </row>
    <row r="568" spans="1:17" x14ac:dyDescent="0.2">
      <c r="A568" s="4" t="s">
        <v>77</v>
      </c>
      <c r="B568" s="25">
        <v>2014</v>
      </c>
      <c r="C568" s="25" t="s">
        <v>50</v>
      </c>
      <c r="D568" s="26">
        <v>3</v>
      </c>
      <c r="E568" s="26">
        <v>11</v>
      </c>
      <c r="F568" s="26">
        <v>2</v>
      </c>
      <c r="G568" s="6" t="str">
        <f t="shared" si="21"/>
        <v>112</v>
      </c>
      <c r="H568" s="5">
        <v>30</v>
      </c>
      <c r="I568" s="5">
        <v>217.60306148463985</v>
      </c>
      <c r="J568" s="5">
        <v>13657.320883888935</v>
      </c>
      <c r="K568" s="5">
        <v>10</v>
      </c>
      <c r="L568" s="5">
        <v>216.62039332828201</v>
      </c>
      <c r="M568" s="5">
        <v>13595.646134268256</v>
      </c>
      <c r="N568" s="5">
        <v>-200</v>
      </c>
      <c r="O568" s="5">
        <v>0.9826681563578461</v>
      </c>
      <c r="P568" s="5">
        <v>61.674749620678995</v>
      </c>
      <c r="Q568" s="5">
        <v>0.45363603179716366</v>
      </c>
    </row>
    <row r="569" spans="1:17" x14ac:dyDescent="0.2">
      <c r="A569" s="4" t="s">
        <v>77</v>
      </c>
      <c r="B569" s="25">
        <v>2014</v>
      </c>
      <c r="C569" s="25" t="s">
        <v>50</v>
      </c>
      <c r="D569" s="26">
        <v>4</v>
      </c>
      <c r="E569" s="26">
        <v>11</v>
      </c>
      <c r="F569" s="26">
        <v>2</v>
      </c>
      <c r="G569" s="6" t="str">
        <f t="shared" si="21"/>
        <v>112</v>
      </c>
      <c r="H569" s="5">
        <v>5.666666666666667</v>
      </c>
      <c r="I569" s="5">
        <v>219.03816450496879</v>
      </c>
      <c r="J569" s="5">
        <v>13747.391594826309</v>
      </c>
      <c r="K569" s="5">
        <v>18.3333333333333</v>
      </c>
      <c r="L569" s="5">
        <v>214.28523421746999</v>
      </c>
      <c r="M569" s="5">
        <v>13449.085616811806</v>
      </c>
      <c r="N569" s="5">
        <v>69.090909090909022</v>
      </c>
      <c r="O569" s="5">
        <v>4.7529302874987991</v>
      </c>
      <c r="P569" s="5">
        <v>298.30597801450313</v>
      </c>
      <c r="Q569" s="5">
        <v>2.2180391032800824</v>
      </c>
    </row>
    <row r="570" spans="1:17" x14ac:dyDescent="0.2">
      <c r="A570" s="4" t="s">
        <v>86</v>
      </c>
      <c r="B570" s="25">
        <v>2014</v>
      </c>
      <c r="C570" s="25" t="s">
        <v>50</v>
      </c>
      <c r="D570" s="25">
        <v>1</v>
      </c>
      <c r="E570" s="25">
        <v>11</v>
      </c>
      <c r="F570" s="25">
        <v>2</v>
      </c>
      <c r="G570" s="6" t="str">
        <f t="shared" si="21"/>
        <v>112</v>
      </c>
      <c r="H570" s="5">
        <v>0</v>
      </c>
      <c r="I570" s="5">
        <v>158.33584134453781</v>
      </c>
      <c r="J570" s="5">
        <v>9937.5596000772439</v>
      </c>
      <c r="K570" s="5">
        <v>0</v>
      </c>
      <c r="L570" s="5" t="s">
        <v>97</v>
      </c>
      <c r="M570" s="5" t="s">
        <v>97</v>
      </c>
      <c r="N570" s="5" t="s">
        <v>97</v>
      </c>
      <c r="O570" s="5" t="s">
        <v>97</v>
      </c>
      <c r="P570" s="5" t="s">
        <v>97</v>
      </c>
      <c r="Q570" s="5" t="s">
        <v>97</v>
      </c>
    </row>
    <row r="571" spans="1:17" x14ac:dyDescent="0.2">
      <c r="A571" s="4" t="s">
        <v>86</v>
      </c>
      <c r="B571" s="25">
        <v>2014</v>
      </c>
      <c r="C571" s="25" t="s">
        <v>50</v>
      </c>
      <c r="D571" s="25">
        <v>2</v>
      </c>
      <c r="E571" s="25">
        <v>11</v>
      </c>
      <c r="F571" s="25">
        <v>2</v>
      </c>
      <c r="G571" s="6" t="str">
        <f t="shared" si="21"/>
        <v>112</v>
      </c>
      <c r="H571" s="5">
        <v>0</v>
      </c>
      <c r="I571" s="5">
        <v>181.15249613445374</v>
      </c>
      <c r="J571" s="5">
        <v>11369.590812491042</v>
      </c>
      <c r="K571" s="5">
        <v>0</v>
      </c>
      <c r="L571" s="5">
        <v>141.80000000000001</v>
      </c>
      <c r="M571" s="5">
        <v>8899.7281937237458</v>
      </c>
      <c r="N571" s="5" t="s">
        <v>97</v>
      </c>
      <c r="O571" s="5">
        <v>39.35249613445373</v>
      </c>
      <c r="P571" s="5">
        <v>2469.8626187672962</v>
      </c>
      <c r="Q571" s="5">
        <v>27.752112929798116</v>
      </c>
    </row>
    <row r="572" spans="1:17" x14ac:dyDescent="0.2">
      <c r="A572" s="4" t="s">
        <v>86</v>
      </c>
      <c r="B572" s="25">
        <v>2014</v>
      </c>
      <c r="C572" s="25" t="s">
        <v>50</v>
      </c>
      <c r="D572" s="25">
        <v>3</v>
      </c>
      <c r="E572" s="25">
        <v>11</v>
      </c>
      <c r="F572" s="25">
        <v>2</v>
      </c>
      <c r="G572" s="6" t="str">
        <f t="shared" si="21"/>
        <v>112</v>
      </c>
      <c r="H572" s="5">
        <v>0</v>
      </c>
      <c r="I572" s="5">
        <v>146.05851025210083</v>
      </c>
      <c r="J572" s="5">
        <v>9167.0031144140376</v>
      </c>
      <c r="K572" s="5">
        <v>0</v>
      </c>
      <c r="L572" s="5">
        <v>147.9</v>
      </c>
      <c r="M572" s="5">
        <v>9282.5796886582648</v>
      </c>
      <c r="N572" s="5" t="s">
        <v>97</v>
      </c>
      <c r="O572" s="5">
        <v>-1.8414897478991747</v>
      </c>
      <c r="P572" s="5">
        <v>-115.57657424422723</v>
      </c>
      <c r="Q572" s="5">
        <v>-1.2450911074368924</v>
      </c>
    </row>
    <row r="573" spans="1:17" x14ac:dyDescent="0.2">
      <c r="A573" s="4" t="s">
        <v>86</v>
      </c>
      <c r="B573" s="25">
        <v>2014</v>
      </c>
      <c r="C573" s="25" t="s">
        <v>50</v>
      </c>
      <c r="D573" s="25">
        <v>4</v>
      </c>
      <c r="E573" s="25">
        <v>11</v>
      </c>
      <c r="F573" s="25">
        <v>2</v>
      </c>
      <c r="G573" s="6" t="str">
        <f t="shared" si="21"/>
        <v>112</v>
      </c>
      <c r="H573" s="5">
        <v>0</v>
      </c>
      <c r="I573" s="5">
        <v>112.17249075630252</v>
      </c>
      <c r="J573" s="5">
        <v>7040.2304551768821</v>
      </c>
      <c r="K573" s="5">
        <v>0</v>
      </c>
      <c r="L573" s="5">
        <v>158.6</v>
      </c>
      <c r="M573" s="5">
        <v>9954.138868297503</v>
      </c>
      <c r="N573" s="5" t="s">
        <v>97</v>
      </c>
      <c r="O573" s="5">
        <v>-46.427509243697472</v>
      </c>
      <c r="P573" s="5">
        <v>-2913.9084131206209</v>
      </c>
      <c r="Q573" s="5">
        <v>-29.273334958195118</v>
      </c>
    </row>
    <row r="574" spans="1:17" x14ac:dyDescent="0.2">
      <c r="A574" s="4" t="s">
        <v>51</v>
      </c>
      <c r="B574" s="25">
        <v>2014</v>
      </c>
      <c r="C574" s="25" t="s">
        <v>50</v>
      </c>
      <c r="D574" s="25">
        <v>1</v>
      </c>
      <c r="E574" s="25">
        <v>11</v>
      </c>
      <c r="F574" s="25">
        <v>2</v>
      </c>
      <c r="G574" s="6" t="str">
        <f t="shared" si="21"/>
        <v>112</v>
      </c>
      <c r="H574" s="5">
        <v>6.666666666666667</v>
      </c>
      <c r="I574" s="5">
        <v>197.42563361344537</v>
      </c>
      <c r="J574" s="5">
        <v>12390.934256934797</v>
      </c>
      <c r="K574" s="5">
        <v>11.6666666666667</v>
      </c>
      <c r="L574" s="5">
        <v>201.86765546218501</v>
      </c>
      <c r="M574" s="5">
        <v>12669.726831577709</v>
      </c>
      <c r="N574" s="5">
        <v>42.857142857143018</v>
      </c>
      <c r="O574" s="5">
        <v>-4.4420218487396426</v>
      </c>
      <c r="P574" s="5">
        <v>-278.79257464291186</v>
      </c>
      <c r="Q574" s="5">
        <v>-2.2004623963008911</v>
      </c>
    </row>
    <row r="575" spans="1:17" x14ac:dyDescent="0.2">
      <c r="A575" s="4" t="s">
        <v>51</v>
      </c>
      <c r="B575" s="25">
        <v>2014</v>
      </c>
      <c r="C575" s="25" t="s">
        <v>50</v>
      </c>
      <c r="D575" s="25">
        <v>2</v>
      </c>
      <c r="E575" s="25">
        <v>11</v>
      </c>
      <c r="F575" s="25">
        <v>2</v>
      </c>
      <c r="G575" s="6" t="str">
        <f t="shared" si="21"/>
        <v>112</v>
      </c>
      <c r="H575" s="5">
        <v>3.6666666666666665</v>
      </c>
      <c r="I575" s="5">
        <v>189.99481008403362</v>
      </c>
      <c r="J575" s="5">
        <v>11924.556896798749</v>
      </c>
      <c r="K575" s="5">
        <v>13.3333333333333</v>
      </c>
      <c r="L575" s="5">
        <v>183.37661848739501</v>
      </c>
      <c r="M575" s="5">
        <v>11509.182380973149</v>
      </c>
      <c r="N575" s="5">
        <v>72.499999999999929</v>
      </c>
      <c r="O575" s="5">
        <v>6.61819159663861</v>
      </c>
      <c r="P575" s="5">
        <v>415.37451582560061</v>
      </c>
      <c r="Q575" s="5">
        <v>3.6090705844777742</v>
      </c>
    </row>
    <row r="576" spans="1:17" x14ac:dyDescent="0.2">
      <c r="A576" s="4" t="s">
        <v>51</v>
      </c>
      <c r="B576" s="25">
        <v>2014</v>
      </c>
      <c r="C576" s="25" t="s">
        <v>50</v>
      </c>
      <c r="D576" s="25">
        <v>3</v>
      </c>
      <c r="E576" s="25">
        <v>11</v>
      </c>
      <c r="F576" s="25">
        <v>2</v>
      </c>
      <c r="G576" s="6" t="str">
        <f t="shared" si="21"/>
        <v>112</v>
      </c>
      <c r="H576" s="5">
        <v>6.666666666666667</v>
      </c>
      <c r="I576" s="5">
        <v>183.54134117647058</v>
      </c>
      <c r="J576" s="5">
        <v>11519.520795360397</v>
      </c>
      <c r="K576" s="5">
        <v>11.6666666666667</v>
      </c>
      <c r="L576" s="5">
        <v>198.146752941176</v>
      </c>
      <c r="M576" s="5">
        <v>12436.193537696739</v>
      </c>
      <c r="N576" s="5">
        <v>42.857142857143018</v>
      </c>
      <c r="O576" s="5">
        <v>-14.605411764705423</v>
      </c>
      <c r="P576" s="5">
        <v>-916.67274233634271</v>
      </c>
      <c r="Q576" s="5">
        <v>-7.3710073710071597</v>
      </c>
    </row>
    <row r="577" spans="1:17" x14ac:dyDescent="0.2">
      <c r="A577" s="4" t="s">
        <v>51</v>
      </c>
      <c r="B577" s="25">
        <v>2014</v>
      </c>
      <c r="C577" s="25" t="s">
        <v>50</v>
      </c>
      <c r="D577" s="25">
        <v>4</v>
      </c>
      <c r="E577" s="25">
        <v>11</v>
      </c>
      <c r="F577" s="25">
        <v>2</v>
      </c>
      <c r="G577" s="6" t="str">
        <f t="shared" si="21"/>
        <v>112</v>
      </c>
      <c r="H577" s="5">
        <v>8.3333333333333339</v>
      </c>
      <c r="I577" s="5">
        <v>189.56104033613443</v>
      </c>
      <c r="J577" s="5">
        <v>11897.332405578984</v>
      </c>
      <c r="K577" s="5">
        <v>11.6666666666667</v>
      </c>
      <c r="L577" s="5">
        <v>193.20141176470599</v>
      </c>
      <c r="M577" s="5">
        <v>12125.811363537268</v>
      </c>
      <c r="N577" s="5">
        <v>28.571428571428768</v>
      </c>
      <c r="O577" s="5">
        <v>-3.6403714285715694</v>
      </c>
      <c r="P577" s="5">
        <v>-228.47895795828481</v>
      </c>
      <c r="Q577" s="5">
        <v>-1.8842364532020421</v>
      </c>
    </row>
    <row r="578" spans="1:17" x14ac:dyDescent="0.2">
      <c r="A578" s="4" t="s">
        <v>80</v>
      </c>
      <c r="B578" s="25">
        <v>2014</v>
      </c>
      <c r="C578" s="25" t="s">
        <v>50</v>
      </c>
      <c r="D578" s="25">
        <v>1</v>
      </c>
      <c r="E578" s="25">
        <v>11</v>
      </c>
      <c r="F578" s="25">
        <v>2</v>
      </c>
      <c r="G578" s="6" t="str">
        <f t="shared" ref="G578:G641" si="22">E578&amp;F578</f>
        <v>112</v>
      </c>
      <c r="H578" s="5">
        <v>21.666666666666668</v>
      </c>
      <c r="I578" s="5">
        <v>196.47525859107608</v>
      </c>
      <c r="J578" s="5">
        <v>12331.286306432747</v>
      </c>
      <c r="K578" s="5">
        <v>13.3333333333333</v>
      </c>
      <c r="L578" s="5">
        <v>195.65573825486001</v>
      </c>
      <c r="M578" s="5">
        <v>12279.851128424621</v>
      </c>
      <c r="N578" s="5">
        <v>-62.500000000000412</v>
      </c>
      <c r="O578" s="5">
        <v>0.81952033621607256</v>
      </c>
      <c r="P578" s="5">
        <v>51.435178008125149</v>
      </c>
      <c r="Q578" s="5">
        <v>0.41885831896663844</v>
      </c>
    </row>
    <row r="579" spans="1:17" x14ac:dyDescent="0.2">
      <c r="A579" s="4" t="s">
        <v>80</v>
      </c>
      <c r="B579" s="25">
        <v>2014</v>
      </c>
      <c r="C579" s="25" t="s">
        <v>50</v>
      </c>
      <c r="D579" s="25">
        <v>2</v>
      </c>
      <c r="E579" s="25">
        <v>11</v>
      </c>
      <c r="F579" s="25">
        <v>2</v>
      </c>
      <c r="G579" s="6" t="str">
        <f t="shared" si="22"/>
        <v>112</v>
      </c>
      <c r="H579" s="5">
        <v>25</v>
      </c>
      <c r="I579" s="5">
        <v>228.41103632536212</v>
      </c>
      <c r="J579" s="5">
        <v>14335.656838804542</v>
      </c>
      <c r="K579" s="5">
        <v>26.6666666666667</v>
      </c>
      <c r="L579" s="5">
        <v>200.14342489396401</v>
      </c>
      <c r="M579" s="5">
        <v>12561.509741306365</v>
      </c>
      <c r="N579" s="5">
        <v>6.2500000000001164</v>
      </c>
      <c r="O579" s="5">
        <v>28.267611431398109</v>
      </c>
      <c r="P579" s="5">
        <v>1774.1470974981767</v>
      </c>
      <c r="Q579" s="5">
        <v>14.123677281116926</v>
      </c>
    </row>
    <row r="580" spans="1:17" x14ac:dyDescent="0.2">
      <c r="A580" s="4" t="s">
        <v>80</v>
      </c>
      <c r="B580" s="25">
        <v>2014</v>
      </c>
      <c r="C580" s="25" t="s">
        <v>50</v>
      </c>
      <c r="D580" s="25">
        <v>3</v>
      </c>
      <c r="E580" s="25">
        <v>11</v>
      </c>
      <c r="F580" s="25">
        <v>2</v>
      </c>
      <c r="G580" s="6" t="str">
        <f t="shared" si="22"/>
        <v>112</v>
      </c>
      <c r="H580" s="5">
        <v>16.666666666666668</v>
      </c>
      <c r="I580" s="5">
        <v>238.3314685952617</v>
      </c>
      <c r="J580" s="5">
        <v>14958.288367481213</v>
      </c>
      <c r="K580" s="5">
        <v>13.3333333333333</v>
      </c>
      <c r="L580" s="5">
        <v>225.624535736848</v>
      </c>
      <c r="M580" s="5">
        <v>14160.768983731008</v>
      </c>
      <c r="N580" s="5">
        <v>-25.000000000000323</v>
      </c>
      <c r="O580" s="5">
        <v>12.706932858413694</v>
      </c>
      <c r="P580" s="5">
        <v>797.51938375020472</v>
      </c>
      <c r="Q580" s="5">
        <v>5.6318931879084886</v>
      </c>
    </row>
    <row r="581" spans="1:17" x14ac:dyDescent="0.2">
      <c r="A581" s="4" t="s">
        <v>80</v>
      </c>
      <c r="B581" s="25">
        <v>2014</v>
      </c>
      <c r="C581" s="25" t="s">
        <v>50</v>
      </c>
      <c r="D581" s="25">
        <v>4</v>
      </c>
      <c r="E581" s="25">
        <v>11</v>
      </c>
      <c r="F581" s="25">
        <v>2</v>
      </c>
      <c r="G581" s="6" t="str">
        <f t="shared" si="22"/>
        <v>112</v>
      </c>
      <c r="H581" s="5">
        <v>26.666666666666668</v>
      </c>
      <c r="I581" s="5">
        <v>222.42775086257893</v>
      </c>
      <c r="J581" s="5">
        <v>13960.130644698555</v>
      </c>
      <c r="K581" s="5">
        <v>41.6666666666667</v>
      </c>
      <c r="L581" s="5">
        <v>227.772361535382</v>
      </c>
      <c r="M581" s="5">
        <v>14295.571986653578</v>
      </c>
      <c r="N581" s="5">
        <v>36.00000000000005</v>
      </c>
      <c r="O581" s="5">
        <v>-5.3446106728030713</v>
      </c>
      <c r="P581" s="5">
        <v>-335.44134195502374</v>
      </c>
      <c r="Q581" s="5">
        <v>-2.3464702375546329</v>
      </c>
    </row>
    <row r="582" spans="1:17" x14ac:dyDescent="0.2">
      <c r="A582" s="4" t="s">
        <v>87</v>
      </c>
      <c r="B582" s="4">
        <v>2014</v>
      </c>
      <c r="C582" s="4" t="s">
        <v>50</v>
      </c>
      <c r="D582" s="4">
        <v>1</v>
      </c>
      <c r="E582" s="4">
        <v>11</v>
      </c>
      <c r="F582" s="4">
        <v>2</v>
      </c>
      <c r="G582" s="6" t="str">
        <f t="shared" si="22"/>
        <v>112</v>
      </c>
      <c r="H582" s="5">
        <v>1</v>
      </c>
      <c r="I582" s="5">
        <v>203.29452000000001</v>
      </c>
      <c r="J582" s="5">
        <v>12759.280474425501</v>
      </c>
      <c r="K582" s="5">
        <v>10.5</v>
      </c>
      <c r="L582" s="5">
        <v>198.27910945210101</v>
      </c>
      <c r="M582" s="5">
        <v>12444.500568528207</v>
      </c>
      <c r="N582" s="5">
        <v>90.476190476190482</v>
      </c>
      <c r="O582" s="5">
        <v>5.0154105478989948</v>
      </c>
      <c r="P582" s="5">
        <v>314.77990589729416</v>
      </c>
      <c r="Q582" s="5">
        <v>2.5294699788383932</v>
      </c>
    </row>
    <row r="583" spans="1:17" x14ac:dyDescent="0.2">
      <c r="A583" s="4" t="s">
        <v>87</v>
      </c>
      <c r="B583" s="4">
        <v>2014</v>
      </c>
      <c r="C583" s="4" t="s">
        <v>50</v>
      </c>
      <c r="D583" s="4">
        <v>2</v>
      </c>
      <c r="E583" s="4">
        <v>11</v>
      </c>
      <c r="F583" s="4">
        <v>2</v>
      </c>
      <c r="G583" s="6" t="str">
        <f t="shared" si="22"/>
        <v>112</v>
      </c>
      <c r="H583" s="5">
        <v>10</v>
      </c>
      <c r="I583" s="5">
        <v>206.54116027563029</v>
      </c>
      <c r="J583" s="5">
        <v>12963.047865087743</v>
      </c>
      <c r="K583" s="5">
        <v>12.5</v>
      </c>
      <c r="L583" s="5">
        <v>195.36490518655501</v>
      </c>
      <c r="M583" s="5">
        <v>12261.597706297251</v>
      </c>
      <c r="N583" s="5">
        <v>20</v>
      </c>
      <c r="O583" s="5">
        <v>11.176255089075283</v>
      </c>
      <c r="P583" s="5">
        <v>701.45015879049242</v>
      </c>
      <c r="Q583" s="5">
        <v>5.72070765647649</v>
      </c>
    </row>
    <row r="584" spans="1:17" x14ac:dyDescent="0.2">
      <c r="A584" s="4" t="s">
        <v>87</v>
      </c>
      <c r="B584" s="4">
        <v>2014</v>
      </c>
      <c r="C584" s="4" t="s">
        <v>50</v>
      </c>
      <c r="D584" s="4">
        <v>3</v>
      </c>
      <c r="E584" s="4">
        <v>11</v>
      </c>
      <c r="F584" s="4">
        <v>2</v>
      </c>
      <c r="G584" s="6" t="str">
        <f t="shared" si="22"/>
        <v>112</v>
      </c>
      <c r="H584" s="5">
        <v>5</v>
      </c>
      <c r="I584" s="5">
        <v>209.96075205378153</v>
      </c>
      <c r="J584" s="5">
        <v>13177.670131371511</v>
      </c>
      <c r="K584" s="5">
        <v>7.5</v>
      </c>
      <c r="L584" s="5">
        <v>197.00707692100801</v>
      </c>
      <c r="M584" s="5">
        <v>12364.664575719307</v>
      </c>
      <c r="N584" s="5">
        <v>33.333333333333329</v>
      </c>
      <c r="O584" s="5">
        <v>12.953675132773526</v>
      </c>
      <c r="P584" s="5">
        <v>813.00555565220384</v>
      </c>
      <c r="Q584" s="5">
        <v>6.5752334054311188</v>
      </c>
    </row>
    <row r="585" spans="1:17" x14ac:dyDescent="0.2">
      <c r="A585" s="4" t="s">
        <v>87</v>
      </c>
      <c r="B585" s="4">
        <v>2014</v>
      </c>
      <c r="C585" s="4" t="s">
        <v>50</v>
      </c>
      <c r="D585" s="4">
        <v>4</v>
      </c>
      <c r="E585" s="4">
        <v>11</v>
      </c>
      <c r="F585" s="4">
        <v>2</v>
      </c>
      <c r="G585" s="6" t="str">
        <f t="shared" si="22"/>
        <v>112</v>
      </c>
      <c r="H585" s="5">
        <v>10</v>
      </c>
      <c r="I585" s="5">
        <v>202.51947412436968</v>
      </c>
      <c r="J585" s="5">
        <v>12710.636626535681</v>
      </c>
      <c r="K585" s="5">
        <v>12.5</v>
      </c>
      <c r="L585" s="5">
        <v>198.94150697142899</v>
      </c>
      <c r="M585" s="5">
        <v>12486.07431943241</v>
      </c>
      <c r="N585" s="5">
        <v>20</v>
      </c>
      <c r="O585" s="5">
        <v>3.5779671529406869</v>
      </c>
      <c r="P585" s="5">
        <v>224.56230710327145</v>
      </c>
      <c r="Q585" s="5">
        <v>1.7985020860702323</v>
      </c>
    </row>
    <row r="586" spans="1:17" x14ac:dyDescent="0.2">
      <c r="A586" s="4" t="s">
        <v>77</v>
      </c>
      <c r="B586" s="25">
        <v>2014</v>
      </c>
      <c r="C586" s="25" t="s">
        <v>50</v>
      </c>
      <c r="D586" s="26">
        <v>1</v>
      </c>
      <c r="E586" s="26">
        <v>15</v>
      </c>
      <c r="F586" s="26">
        <v>3</v>
      </c>
      <c r="G586" s="6" t="str">
        <f t="shared" si="22"/>
        <v>153</v>
      </c>
      <c r="H586" s="5">
        <v>7</v>
      </c>
      <c r="I586" s="5">
        <v>217.33806615122228</v>
      </c>
      <c r="J586" s="5">
        <v>13640.689103634904</v>
      </c>
      <c r="K586" s="5">
        <v>5</v>
      </c>
      <c r="L586" s="5">
        <v>203.90911865546201</v>
      </c>
      <c r="M586" s="5">
        <v>12797.854247217037</v>
      </c>
      <c r="N586" s="5">
        <v>-40</v>
      </c>
      <c r="O586" s="5">
        <v>13.428947495760269</v>
      </c>
      <c r="P586" s="5">
        <v>842.83485641786683</v>
      </c>
      <c r="Q586" s="5">
        <v>6.5857513309400737</v>
      </c>
    </row>
    <row r="587" spans="1:17" x14ac:dyDescent="0.2">
      <c r="A587" s="4" t="s">
        <v>77</v>
      </c>
      <c r="B587" s="25">
        <v>2014</v>
      </c>
      <c r="C587" s="25" t="s">
        <v>50</v>
      </c>
      <c r="D587" s="26">
        <v>2</v>
      </c>
      <c r="E587" s="26">
        <v>15</v>
      </c>
      <c r="F587" s="26">
        <v>3</v>
      </c>
      <c r="G587" s="6" t="str">
        <f t="shared" si="22"/>
        <v>153</v>
      </c>
      <c r="H587" s="5">
        <v>3</v>
      </c>
      <c r="I587" s="5">
        <v>219.46293683808088</v>
      </c>
      <c r="J587" s="5">
        <v>13774.051385439225</v>
      </c>
      <c r="K587" s="5">
        <v>31.6666666666667</v>
      </c>
      <c r="L587" s="5">
        <v>233.849114621849</v>
      </c>
      <c r="M587" s="5">
        <v>14676.964446244043</v>
      </c>
      <c r="N587" s="5">
        <v>90.526315789473699</v>
      </c>
      <c r="O587" s="5">
        <v>-14.386177783768119</v>
      </c>
      <c r="P587" s="5">
        <v>-902.91306080481809</v>
      </c>
      <c r="Q587" s="5">
        <v>-6.1519060301047546</v>
      </c>
    </row>
    <row r="588" spans="1:17" x14ac:dyDescent="0.2">
      <c r="A588" s="4" t="s">
        <v>77</v>
      </c>
      <c r="B588" s="25">
        <v>2014</v>
      </c>
      <c r="C588" s="25" t="s">
        <v>50</v>
      </c>
      <c r="D588" s="26">
        <v>3</v>
      </c>
      <c r="E588" s="26">
        <v>15</v>
      </c>
      <c r="F588" s="26">
        <v>3</v>
      </c>
      <c r="G588" s="6" t="str">
        <f t="shared" si="22"/>
        <v>153</v>
      </c>
      <c r="H588" s="5">
        <v>11.666666666666666</v>
      </c>
      <c r="I588" s="5">
        <v>226.66828639088092</v>
      </c>
      <c r="J588" s="5">
        <v>14226.277426064678</v>
      </c>
      <c r="K588" s="5">
        <v>10</v>
      </c>
      <c r="L588" s="5">
        <v>216.62039332828201</v>
      </c>
      <c r="M588" s="5">
        <v>13595.646134268256</v>
      </c>
      <c r="N588" s="5">
        <v>-16.666666666666661</v>
      </c>
      <c r="O588" s="5">
        <v>10.047893062598916</v>
      </c>
      <c r="P588" s="5">
        <v>630.63129179642237</v>
      </c>
      <c r="Q588" s="5">
        <v>4.6384797424735575</v>
      </c>
    </row>
    <row r="589" spans="1:17" x14ac:dyDescent="0.2">
      <c r="A589" s="4" t="s">
        <v>77</v>
      </c>
      <c r="B589" s="25">
        <v>2014</v>
      </c>
      <c r="C589" s="25" t="s">
        <v>50</v>
      </c>
      <c r="D589" s="26">
        <v>4</v>
      </c>
      <c r="E589" s="26">
        <v>15</v>
      </c>
      <c r="F589" s="26">
        <v>3</v>
      </c>
      <c r="G589" s="6" t="str">
        <f t="shared" si="22"/>
        <v>153</v>
      </c>
      <c r="H589" s="5">
        <v>2.3333333333333335</v>
      </c>
      <c r="I589" s="5">
        <v>234.57546074329895</v>
      </c>
      <c r="J589" s="5">
        <v>14722.551773856667</v>
      </c>
      <c r="K589" s="5">
        <v>18.3333333333333</v>
      </c>
      <c r="L589" s="5">
        <v>214.28523421746999</v>
      </c>
      <c r="M589" s="5">
        <v>13449.085616811806</v>
      </c>
      <c r="N589" s="5">
        <v>87.272727272727252</v>
      </c>
      <c r="O589" s="5">
        <v>20.290226525828956</v>
      </c>
      <c r="P589" s="5">
        <v>1273.4661570448607</v>
      </c>
      <c r="Q589" s="5">
        <v>9.4687935918333768</v>
      </c>
    </row>
    <row r="590" spans="1:17" x14ac:dyDescent="0.2">
      <c r="A590" s="4" t="s">
        <v>86</v>
      </c>
      <c r="B590" s="25">
        <v>2014</v>
      </c>
      <c r="C590" s="25" t="s">
        <v>50</v>
      </c>
      <c r="D590" s="25">
        <v>1</v>
      </c>
      <c r="E590" s="25">
        <v>15</v>
      </c>
      <c r="F590" s="25">
        <v>3</v>
      </c>
      <c r="G590" s="6" t="str">
        <f t="shared" si="22"/>
        <v>153</v>
      </c>
      <c r="H590" s="5">
        <v>0</v>
      </c>
      <c r="I590" s="5">
        <v>178.04692436974787</v>
      </c>
      <c r="J590" s="5">
        <v>11174.677239910046</v>
      </c>
      <c r="K590" s="5">
        <v>0</v>
      </c>
      <c r="L590" s="5" t="s">
        <v>97</v>
      </c>
      <c r="M590" s="5" t="s">
        <v>97</v>
      </c>
      <c r="N590" s="5" t="s">
        <v>97</v>
      </c>
      <c r="O590" s="5" t="s">
        <v>97</v>
      </c>
      <c r="P590" s="5" t="s">
        <v>97</v>
      </c>
      <c r="Q590" s="5" t="s">
        <v>97</v>
      </c>
    </row>
    <row r="591" spans="1:17" x14ac:dyDescent="0.2">
      <c r="A591" s="4" t="s">
        <v>86</v>
      </c>
      <c r="B591" s="25">
        <v>2014</v>
      </c>
      <c r="C591" s="25" t="s">
        <v>50</v>
      </c>
      <c r="D591" s="25">
        <v>2</v>
      </c>
      <c r="E591" s="25">
        <v>15</v>
      </c>
      <c r="F591" s="25">
        <v>3</v>
      </c>
      <c r="G591" s="6" t="str">
        <f t="shared" si="22"/>
        <v>153</v>
      </c>
      <c r="H591" s="5">
        <v>0</v>
      </c>
      <c r="I591" s="5">
        <v>178.27314352941175</v>
      </c>
      <c r="J591" s="5">
        <v>11188.875329001874</v>
      </c>
      <c r="K591" s="5">
        <v>0</v>
      </c>
      <c r="L591" s="5">
        <v>141.80000000000001</v>
      </c>
      <c r="M591" s="5">
        <v>8899.7281937237458</v>
      </c>
      <c r="N591" s="5" t="s">
        <v>97</v>
      </c>
      <c r="O591" s="5">
        <v>36.473143529411743</v>
      </c>
      <c r="P591" s="5">
        <v>2289.1471352781282</v>
      </c>
      <c r="Q591" s="5">
        <v>25.721539865593616</v>
      </c>
    </row>
    <row r="592" spans="1:17" x14ac:dyDescent="0.2">
      <c r="A592" s="4" t="s">
        <v>86</v>
      </c>
      <c r="B592" s="25">
        <v>2014</v>
      </c>
      <c r="C592" s="25" t="s">
        <v>50</v>
      </c>
      <c r="D592" s="25">
        <v>3</v>
      </c>
      <c r="E592" s="25">
        <v>15</v>
      </c>
      <c r="F592" s="25">
        <v>3</v>
      </c>
      <c r="G592" s="6" t="str">
        <f t="shared" si="22"/>
        <v>153</v>
      </c>
      <c r="H592" s="5">
        <v>0</v>
      </c>
      <c r="I592" s="5">
        <v>151.4833774789916</v>
      </c>
      <c r="J592" s="5">
        <v>9507.481561567547</v>
      </c>
      <c r="K592" s="5">
        <v>0</v>
      </c>
      <c r="L592" s="5">
        <v>147.9</v>
      </c>
      <c r="M592" s="5">
        <v>9282.5796886582648</v>
      </c>
      <c r="N592" s="5" t="s">
        <v>97</v>
      </c>
      <c r="O592" s="5">
        <v>3.5833774789915935</v>
      </c>
      <c r="P592" s="5">
        <v>224.90187290928225</v>
      </c>
      <c r="Q592" s="5">
        <v>2.4228380520565218</v>
      </c>
    </row>
    <row r="593" spans="1:17" x14ac:dyDescent="0.2">
      <c r="A593" s="4" t="s">
        <v>86</v>
      </c>
      <c r="B593" s="25">
        <v>2014</v>
      </c>
      <c r="C593" s="25" t="s">
        <v>50</v>
      </c>
      <c r="D593" s="25">
        <v>4</v>
      </c>
      <c r="E593" s="25">
        <v>15</v>
      </c>
      <c r="F593" s="25">
        <v>3</v>
      </c>
      <c r="G593" s="6" t="str">
        <f t="shared" si="22"/>
        <v>153</v>
      </c>
      <c r="H593" s="5">
        <v>0</v>
      </c>
      <c r="I593" s="5">
        <v>140.21195294117646</v>
      </c>
      <c r="J593" s="5">
        <v>8800.0583264291618</v>
      </c>
      <c r="K593" s="5">
        <v>0</v>
      </c>
      <c r="L593" s="5">
        <v>158.6</v>
      </c>
      <c r="M593" s="5">
        <v>9954.138868297503</v>
      </c>
      <c r="N593" s="5" t="s">
        <v>97</v>
      </c>
      <c r="O593" s="5">
        <v>-18.388047058823531</v>
      </c>
      <c r="P593" s="5">
        <v>-1154.0805418683412</v>
      </c>
      <c r="Q593" s="5">
        <v>-11.593976707959353</v>
      </c>
    </row>
    <row r="594" spans="1:17" x14ac:dyDescent="0.2">
      <c r="A594" s="4" t="s">
        <v>51</v>
      </c>
      <c r="B594" s="25">
        <v>2014</v>
      </c>
      <c r="C594" s="25" t="s">
        <v>50</v>
      </c>
      <c r="D594" s="25">
        <v>1</v>
      </c>
      <c r="E594" s="25">
        <v>15</v>
      </c>
      <c r="F594" s="25">
        <v>3</v>
      </c>
      <c r="G594" s="6" t="str">
        <f t="shared" si="22"/>
        <v>153</v>
      </c>
      <c r="H594" s="5">
        <v>6.666666666666667</v>
      </c>
      <c r="I594" s="5">
        <v>181.9590882352941</v>
      </c>
      <c r="J594" s="5">
        <v>11420.21458160729</v>
      </c>
      <c r="K594" s="5">
        <v>11.6666666666667</v>
      </c>
      <c r="L594" s="5">
        <v>201.86765546218501</v>
      </c>
      <c r="M594" s="5">
        <v>12669.726831577709</v>
      </c>
      <c r="N594" s="5">
        <v>42.857142857143018</v>
      </c>
      <c r="O594" s="5">
        <v>-19.908567226890909</v>
      </c>
      <c r="P594" s="5">
        <v>-1249.5122499704194</v>
      </c>
      <c r="Q594" s="5">
        <v>-9.8621877691645743</v>
      </c>
    </row>
    <row r="595" spans="1:17" x14ac:dyDescent="0.2">
      <c r="A595" s="4" t="s">
        <v>51</v>
      </c>
      <c r="B595" s="25">
        <v>2014</v>
      </c>
      <c r="C595" s="25" t="s">
        <v>50</v>
      </c>
      <c r="D595" s="25">
        <v>2</v>
      </c>
      <c r="E595" s="25">
        <v>15</v>
      </c>
      <c r="F595" s="25">
        <v>3</v>
      </c>
      <c r="G595" s="6" t="str">
        <f t="shared" si="22"/>
        <v>153</v>
      </c>
      <c r="H595" s="5">
        <v>5</v>
      </c>
      <c r="I595" s="5">
        <v>185.99936974789915</v>
      </c>
      <c r="J595" s="5">
        <v>11673.792912272394</v>
      </c>
      <c r="K595" s="5">
        <v>13.3333333333333</v>
      </c>
      <c r="L595" s="5">
        <v>183.37661848739501</v>
      </c>
      <c r="M595" s="5">
        <v>11509.182380973149</v>
      </c>
      <c r="N595" s="5">
        <v>62.499999999999915</v>
      </c>
      <c r="O595" s="5">
        <v>2.6227512605041454</v>
      </c>
      <c r="P595" s="5">
        <v>164.61053129924585</v>
      </c>
      <c r="Q595" s="5">
        <v>1.4302539124879812</v>
      </c>
    </row>
    <row r="596" spans="1:17" x14ac:dyDescent="0.2">
      <c r="A596" s="4" t="s">
        <v>51</v>
      </c>
      <c r="B596" s="25">
        <v>2014</v>
      </c>
      <c r="C596" s="25" t="s">
        <v>50</v>
      </c>
      <c r="D596" s="25">
        <v>3</v>
      </c>
      <c r="E596" s="25">
        <v>15</v>
      </c>
      <c r="F596" s="25">
        <v>3</v>
      </c>
      <c r="G596" s="6" t="str">
        <f t="shared" si="22"/>
        <v>153</v>
      </c>
      <c r="H596" s="5">
        <v>3.6666666666666665</v>
      </c>
      <c r="I596" s="5">
        <v>176.32740252100837</v>
      </c>
      <c r="J596" s="5">
        <v>11066.755680834229</v>
      </c>
      <c r="K596" s="5">
        <v>11.6666666666667</v>
      </c>
      <c r="L596" s="5">
        <v>198.146752941176</v>
      </c>
      <c r="M596" s="5">
        <v>12436.193537696739</v>
      </c>
      <c r="N596" s="5">
        <v>68.571428571428655</v>
      </c>
      <c r="O596" s="5">
        <v>-21.819350420167638</v>
      </c>
      <c r="P596" s="5">
        <v>-1369.4378568625107</v>
      </c>
      <c r="Q596" s="5">
        <v>-11.011712327501613</v>
      </c>
    </row>
    <row r="597" spans="1:17" x14ac:dyDescent="0.2">
      <c r="A597" s="4" t="s">
        <v>51</v>
      </c>
      <c r="B597" s="25">
        <v>2014</v>
      </c>
      <c r="C597" s="25" t="s">
        <v>50</v>
      </c>
      <c r="D597" s="25">
        <v>4</v>
      </c>
      <c r="E597" s="25">
        <v>15</v>
      </c>
      <c r="F597" s="25">
        <v>3</v>
      </c>
      <c r="G597" s="6" t="str">
        <f t="shared" si="22"/>
        <v>153</v>
      </c>
      <c r="H597" s="5">
        <v>4.333333333333333</v>
      </c>
      <c r="I597" s="5">
        <v>210.25570084033615</v>
      </c>
      <c r="J597" s="5">
        <v>13196.181866430783</v>
      </c>
      <c r="K597" s="5">
        <v>11.6666666666667</v>
      </c>
      <c r="L597" s="5">
        <v>193.20141176470599</v>
      </c>
      <c r="M597" s="5">
        <v>12125.811363537268</v>
      </c>
      <c r="N597" s="5">
        <v>62.857142857142968</v>
      </c>
      <c r="O597" s="5">
        <v>17.054289075630152</v>
      </c>
      <c r="P597" s="5">
        <v>1070.3705028935146</v>
      </c>
      <c r="Q597" s="5">
        <v>8.8272072754830706</v>
      </c>
    </row>
    <row r="598" spans="1:17" x14ac:dyDescent="0.2">
      <c r="A598" s="4" t="s">
        <v>80</v>
      </c>
      <c r="B598" s="25">
        <v>2014</v>
      </c>
      <c r="C598" s="25" t="s">
        <v>50</v>
      </c>
      <c r="D598" s="25">
        <v>1</v>
      </c>
      <c r="E598" s="25">
        <v>15</v>
      </c>
      <c r="F598" s="25">
        <v>3</v>
      </c>
      <c r="G598" s="6" t="str">
        <f t="shared" si="22"/>
        <v>153</v>
      </c>
      <c r="H598" s="5">
        <v>28.333333333333332</v>
      </c>
      <c r="I598" s="5">
        <v>206.83269682740595</v>
      </c>
      <c r="J598" s="5">
        <v>12981.345439624687</v>
      </c>
      <c r="K598" s="5">
        <v>13.3333333333333</v>
      </c>
      <c r="L598" s="5">
        <v>195.65573825486001</v>
      </c>
      <c r="M598" s="5">
        <v>12279.851128424621</v>
      </c>
      <c r="N598" s="5">
        <v>-112.50000000000051</v>
      </c>
      <c r="O598" s="5">
        <v>11.176958572545942</v>
      </c>
      <c r="P598" s="5">
        <v>701.49431120006557</v>
      </c>
      <c r="Q598" s="5">
        <v>5.7125636448172488</v>
      </c>
    </row>
    <row r="599" spans="1:17" x14ac:dyDescent="0.2">
      <c r="A599" s="4" t="s">
        <v>80</v>
      </c>
      <c r="B599" s="25">
        <v>2014</v>
      </c>
      <c r="C599" s="25" t="s">
        <v>50</v>
      </c>
      <c r="D599" s="25">
        <v>2</v>
      </c>
      <c r="E599" s="25">
        <v>15</v>
      </c>
      <c r="F599" s="25">
        <v>3</v>
      </c>
      <c r="G599" s="6" t="str">
        <f t="shared" si="22"/>
        <v>153</v>
      </c>
      <c r="H599" s="5">
        <v>23.333333333333332</v>
      </c>
      <c r="I599" s="5">
        <v>195.86120069185498</v>
      </c>
      <c r="J599" s="5">
        <v>12292.746472876492</v>
      </c>
      <c r="K599" s="5">
        <v>26.6666666666667</v>
      </c>
      <c r="L599" s="5">
        <v>200.14342489396401</v>
      </c>
      <c r="M599" s="5">
        <v>12561.509741306365</v>
      </c>
      <c r="N599" s="5">
        <v>12.500000000000114</v>
      </c>
      <c r="O599" s="5">
        <v>-4.2822242021090346</v>
      </c>
      <c r="P599" s="5">
        <v>-268.76326842987328</v>
      </c>
      <c r="Q599" s="5">
        <v>-2.1395777574895436</v>
      </c>
    </row>
    <row r="600" spans="1:17" x14ac:dyDescent="0.2">
      <c r="A600" s="4" t="s">
        <v>80</v>
      </c>
      <c r="B600" s="25">
        <v>2014</v>
      </c>
      <c r="C600" s="25" t="s">
        <v>50</v>
      </c>
      <c r="D600" s="25">
        <v>3</v>
      </c>
      <c r="E600" s="25">
        <v>15</v>
      </c>
      <c r="F600" s="25">
        <v>3</v>
      </c>
      <c r="G600" s="6" t="str">
        <f t="shared" si="22"/>
        <v>153</v>
      </c>
      <c r="H600" s="5">
        <v>25</v>
      </c>
      <c r="I600" s="5">
        <v>229.4168846447904</v>
      </c>
      <c r="J600" s="5">
        <v>14398.786434340687</v>
      </c>
      <c r="K600" s="5">
        <v>13.3333333333333</v>
      </c>
      <c r="L600" s="5">
        <v>225.624535736848</v>
      </c>
      <c r="M600" s="5">
        <v>14160.768983731008</v>
      </c>
      <c r="N600" s="5">
        <v>-87.500000000000469</v>
      </c>
      <c r="O600" s="5">
        <v>3.7923489079423973</v>
      </c>
      <c r="P600" s="5">
        <v>238.01745060967914</v>
      </c>
      <c r="Q600" s="5">
        <v>1.6808229191729072</v>
      </c>
    </row>
    <row r="601" spans="1:17" x14ac:dyDescent="0.2">
      <c r="A601" s="4" t="s">
        <v>80</v>
      </c>
      <c r="B601" s="25">
        <v>2014</v>
      </c>
      <c r="C601" s="25" t="s">
        <v>50</v>
      </c>
      <c r="D601" s="25">
        <v>4</v>
      </c>
      <c r="E601" s="25">
        <v>15</v>
      </c>
      <c r="F601" s="25">
        <v>3</v>
      </c>
      <c r="G601" s="6" t="str">
        <f t="shared" si="22"/>
        <v>153</v>
      </c>
      <c r="H601" s="5">
        <v>35</v>
      </c>
      <c r="I601" s="5">
        <v>218.4484084252062</v>
      </c>
      <c r="J601" s="5">
        <v>13710.377005189615</v>
      </c>
      <c r="K601" s="5">
        <v>41.6666666666667</v>
      </c>
      <c r="L601" s="5">
        <v>227.772361535382</v>
      </c>
      <c r="M601" s="5">
        <v>14295.571986653578</v>
      </c>
      <c r="N601" s="5">
        <v>16.000000000000068</v>
      </c>
      <c r="O601" s="5">
        <v>-9.3239531101758075</v>
      </c>
      <c r="P601" s="5">
        <v>-585.1949814639629</v>
      </c>
      <c r="Q601" s="5">
        <v>-4.0935401676148677</v>
      </c>
    </row>
    <row r="602" spans="1:17" x14ac:dyDescent="0.2">
      <c r="A602" s="4" t="s">
        <v>87</v>
      </c>
      <c r="B602" s="4">
        <v>2014</v>
      </c>
      <c r="C602" s="4" t="s">
        <v>50</v>
      </c>
      <c r="D602" s="4">
        <v>1</v>
      </c>
      <c r="E602" s="4">
        <v>15</v>
      </c>
      <c r="F602" s="4">
        <v>3</v>
      </c>
      <c r="G602" s="6" t="str">
        <f t="shared" si="22"/>
        <v>153</v>
      </c>
      <c r="H602" s="5">
        <v>3</v>
      </c>
      <c r="I602" s="5">
        <v>203.29011275294121</v>
      </c>
      <c r="J602" s="5">
        <v>12759.003864405007</v>
      </c>
      <c r="K602" s="5">
        <v>10.5</v>
      </c>
      <c r="L602" s="5">
        <v>198.27910945210101</v>
      </c>
      <c r="M602" s="5">
        <v>12444.500568528207</v>
      </c>
      <c r="N602" s="5">
        <v>71.428571428571431</v>
      </c>
      <c r="O602" s="5">
        <v>5.0110033008402013</v>
      </c>
      <c r="P602" s="5">
        <v>314.50329587680062</v>
      </c>
      <c r="Q602" s="5">
        <v>2.5272472297696753</v>
      </c>
    </row>
    <row r="603" spans="1:17" x14ac:dyDescent="0.2">
      <c r="A603" s="4" t="s">
        <v>87</v>
      </c>
      <c r="B603" s="4">
        <v>2014</v>
      </c>
      <c r="C603" s="4" t="s">
        <v>50</v>
      </c>
      <c r="D603" s="4">
        <v>2</v>
      </c>
      <c r="E603" s="4">
        <v>15</v>
      </c>
      <c r="F603" s="4">
        <v>3</v>
      </c>
      <c r="G603" s="6" t="str">
        <f t="shared" si="22"/>
        <v>153</v>
      </c>
      <c r="H603" s="5">
        <v>3</v>
      </c>
      <c r="I603" s="5">
        <v>215.93276948571429</v>
      </c>
      <c r="J603" s="5">
        <v>13552.489115238801</v>
      </c>
      <c r="K603" s="5">
        <v>12.5</v>
      </c>
      <c r="L603" s="5">
        <v>195.36490518655461</v>
      </c>
      <c r="M603" s="5">
        <v>12261.597706297225</v>
      </c>
      <c r="N603" s="5">
        <v>76</v>
      </c>
      <c r="O603" s="5">
        <v>20.56786429915968</v>
      </c>
      <c r="P603" s="5">
        <v>1290.8914089415757</v>
      </c>
      <c r="Q603" s="5">
        <v>10.527921726534942</v>
      </c>
    </row>
    <row r="604" spans="1:17" x14ac:dyDescent="0.2">
      <c r="A604" s="4" t="s">
        <v>87</v>
      </c>
      <c r="B604" s="4">
        <v>2014</v>
      </c>
      <c r="C604" s="4" t="s">
        <v>50</v>
      </c>
      <c r="D604" s="4">
        <v>3</v>
      </c>
      <c r="E604" s="4">
        <v>15</v>
      </c>
      <c r="F604" s="4">
        <v>3</v>
      </c>
      <c r="G604" s="6" t="str">
        <f t="shared" si="22"/>
        <v>153</v>
      </c>
      <c r="H604" s="5">
        <v>5</v>
      </c>
      <c r="I604" s="5">
        <v>191.75514655462183</v>
      </c>
      <c r="J604" s="5">
        <v>12035.040085217184</v>
      </c>
      <c r="K604" s="5">
        <v>7.5</v>
      </c>
      <c r="L604" s="5">
        <v>197.00707692100801</v>
      </c>
      <c r="M604" s="5">
        <v>12364.664575719307</v>
      </c>
      <c r="N604" s="5">
        <v>33.333333333333329</v>
      </c>
      <c r="O604" s="5">
        <v>-5.2519303663861763</v>
      </c>
      <c r="P604" s="5">
        <v>-329.62449050212308</v>
      </c>
      <c r="Q604" s="5">
        <v>-2.6658587338423403</v>
      </c>
    </row>
    <row r="605" spans="1:17" x14ac:dyDescent="0.2">
      <c r="A605" s="4" t="s">
        <v>87</v>
      </c>
      <c r="B605" s="4">
        <v>2014</v>
      </c>
      <c r="C605" s="4" t="s">
        <v>50</v>
      </c>
      <c r="D605" s="4">
        <v>4</v>
      </c>
      <c r="E605" s="4">
        <v>15</v>
      </c>
      <c r="F605" s="4">
        <v>3</v>
      </c>
      <c r="G605" s="6" t="str">
        <f t="shared" si="22"/>
        <v>153</v>
      </c>
      <c r="H605" s="5">
        <v>1</v>
      </c>
      <c r="I605" s="5">
        <v>209.56365323697474</v>
      </c>
      <c r="J605" s="5">
        <v>13152.747200936888</v>
      </c>
      <c r="K605" s="5">
        <v>12.5</v>
      </c>
      <c r="L605" s="5">
        <v>198.94150697142899</v>
      </c>
      <c r="M605" s="5">
        <v>12486.07431943241</v>
      </c>
      <c r="N605" s="5">
        <v>92</v>
      </c>
      <c r="O605" s="5">
        <v>10.622146265545751</v>
      </c>
      <c r="P605" s="5">
        <v>666.67288150447894</v>
      </c>
      <c r="Q605" s="5">
        <v>5.3393313578705692</v>
      </c>
    </row>
    <row r="606" spans="1:17" x14ac:dyDescent="0.2">
      <c r="A606" s="4" t="s">
        <v>77</v>
      </c>
      <c r="B606" s="25">
        <v>2014</v>
      </c>
      <c r="C606" s="25" t="s">
        <v>50</v>
      </c>
      <c r="D606" s="26">
        <v>1</v>
      </c>
      <c r="E606" s="26">
        <v>16</v>
      </c>
      <c r="F606" s="26">
        <v>3</v>
      </c>
      <c r="G606" s="6" t="str">
        <f t="shared" si="22"/>
        <v>163</v>
      </c>
      <c r="H606" s="5">
        <v>5.333333333333333</v>
      </c>
      <c r="I606" s="5">
        <v>221.53726739458821</v>
      </c>
      <c r="J606" s="5">
        <v>13904.241640283026</v>
      </c>
      <c r="K606" s="5">
        <v>5</v>
      </c>
      <c r="L606" s="5">
        <v>203.90911865546201</v>
      </c>
      <c r="M606" s="5">
        <v>12797.854247217037</v>
      </c>
      <c r="N606" s="5">
        <v>-6.6666666666666607</v>
      </c>
      <c r="O606" s="5">
        <v>17.628148739126203</v>
      </c>
      <c r="P606" s="5">
        <v>1106.3873930659884</v>
      </c>
      <c r="Q606" s="5">
        <v>8.6451007465300549</v>
      </c>
    </row>
    <row r="607" spans="1:17" x14ac:dyDescent="0.2">
      <c r="A607" s="4" t="s">
        <v>77</v>
      </c>
      <c r="B607" s="25">
        <v>2014</v>
      </c>
      <c r="C607" s="25" t="s">
        <v>50</v>
      </c>
      <c r="D607" s="26">
        <v>2</v>
      </c>
      <c r="E607" s="26">
        <v>16</v>
      </c>
      <c r="F607" s="26">
        <v>3</v>
      </c>
      <c r="G607" s="6" t="str">
        <f t="shared" si="22"/>
        <v>163</v>
      </c>
      <c r="H607" s="5">
        <v>5.333333333333333</v>
      </c>
      <c r="I607" s="5">
        <v>211.07207218228058</v>
      </c>
      <c r="J607" s="5">
        <v>13247.419405559493</v>
      </c>
      <c r="K607" s="5">
        <v>31.6666666666667</v>
      </c>
      <c r="L607" s="5">
        <v>233.849114621849</v>
      </c>
      <c r="M607" s="5">
        <v>14676.964446244043</v>
      </c>
      <c r="N607" s="5">
        <v>83.157894736842124</v>
      </c>
      <c r="O607" s="5">
        <v>-22.777042439568419</v>
      </c>
      <c r="P607" s="5">
        <v>-1429.5450406845503</v>
      </c>
      <c r="Q607" s="5">
        <v>-9.7400593012295733</v>
      </c>
    </row>
    <row r="608" spans="1:17" x14ac:dyDescent="0.2">
      <c r="A608" s="4" t="s">
        <v>77</v>
      </c>
      <c r="B608" s="25">
        <v>2014</v>
      </c>
      <c r="C608" s="25" t="s">
        <v>50</v>
      </c>
      <c r="D608" s="26">
        <v>3</v>
      </c>
      <c r="E608" s="26">
        <v>16</v>
      </c>
      <c r="F608" s="26">
        <v>3</v>
      </c>
      <c r="G608" s="6" t="str">
        <f t="shared" si="22"/>
        <v>163</v>
      </c>
      <c r="H608" s="5">
        <v>12</v>
      </c>
      <c r="I608" s="5">
        <v>206.7648555419762</v>
      </c>
      <c r="J608" s="5">
        <v>12977.087548223859</v>
      </c>
      <c r="K608" s="5">
        <v>10</v>
      </c>
      <c r="L608" s="5">
        <v>216.62039332828201</v>
      </c>
      <c r="M608" s="5">
        <v>13595.646134268256</v>
      </c>
      <c r="N608" s="5">
        <v>-20</v>
      </c>
      <c r="O608" s="5">
        <v>-9.8555377863058027</v>
      </c>
      <c r="P608" s="5">
        <v>-618.55858604439709</v>
      </c>
      <c r="Q608" s="5">
        <v>-4.5496814195928543</v>
      </c>
    </row>
    <row r="609" spans="1:17" x14ac:dyDescent="0.2">
      <c r="A609" s="4" t="s">
        <v>77</v>
      </c>
      <c r="B609" s="25">
        <v>2014</v>
      </c>
      <c r="C609" s="25" t="s">
        <v>50</v>
      </c>
      <c r="D609" s="26">
        <v>4</v>
      </c>
      <c r="E609" s="26">
        <v>16</v>
      </c>
      <c r="F609" s="26">
        <v>3</v>
      </c>
      <c r="G609" s="6" t="str">
        <f t="shared" si="22"/>
        <v>163</v>
      </c>
      <c r="H609" s="5">
        <v>20</v>
      </c>
      <c r="I609" s="5">
        <v>203.34458715851207</v>
      </c>
      <c r="J609" s="5">
        <v>12762.42281647197</v>
      </c>
      <c r="K609" s="5">
        <v>18.3333333333333</v>
      </c>
      <c r="L609" s="5">
        <v>214.28523421746999</v>
      </c>
      <c r="M609" s="5">
        <v>13449.085616811806</v>
      </c>
      <c r="N609" s="5">
        <v>-9.0909090909092889</v>
      </c>
      <c r="O609" s="5">
        <v>-10.940647058957921</v>
      </c>
      <c r="P609" s="5">
        <v>-686.66280033983639</v>
      </c>
      <c r="Q609" s="5">
        <v>-5.1056467324550674</v>
      </c>
    </row>
    <row r="610" spans="1:17" x14ac:dyDescent="0.2">
      <c r="A610" s="4" t="s">
        <v>86</v>
      </c>
      <c r="B610" s="25">
        <v>2014</v>
      </c>
      <c r="C610" s="25" t="s">
        <v>50</v>
      </c>
      <c r="D610" s="25">
        <v>1</v>
      </c>
      <c r="E610" s="25">
        <v>16</v>
      </c>
      <c r="F610" s="25">
        <v>3</v>
      </c>
      <c r="G610" s="6" t="str">
        <f t="shared" si="22"/>
        <v>163</v>
      </c>
      <c r="H610" s="5">
        <v>0</v>
      </c>
      <c r="I610" s="5">
        <v>176.27963294117649</v>
      </c>
      <c r="J610" s="5">
        <v>11063.757540661929</v>
      </c>
      <c r="K610" s="5">
        <v>0</v>
      </c>
      <c r="L610" s="5" t="s">
        <v>97</v>
      </c>
      <c r="M610" s="5" t="s">
        <v>97</v>
      </c>
      <c r="N610" s="5" t="s">
        <v>97</v>
      </c>
      <c r="O610" s="5" t="s">
        <v>97</v>
      </c>
      <c r="P610" s="5" t="s">
        <v>97</v>
      </c>
      <c r="Q610" s="5" t="s">
        <v>97</v>
      </c>
    </row>
    <row r="611" spans="1:17" x14ac:dyDescent="0.2">
      <c r="A611" s="4" t="s">
        <v>86</v>
      </c>
      <c r="B611" s="25">
        <v>2014</v>
      </c>
      <c r="C611" s="25" t="s">
        <v>50</v>
      </c>
      <c r="D611" s="25">
        <v>2</v>
      </c>
      <c r="E611" s="25">
        <v>16</v>
      </c>
      <c r="F611" s="25">
        <v>3</v>
      </c>
      <c r="G611" s="6" t="str">
        <f t="shared" si="22"/>
        <v>163</v>
      </c>
      <c r="H611" s="5">
        <v>0</v>
      </c>
      <c r="I611" s="5">
        <v>156.32549243697477</v>
      </c>
      <c r="J611" s="5">
        <v>9811.3849960443767</v>
      </c>
      <c r="K611" s="5">
        <v>0</v>
      </c>
      <c r="L611" s="5">
        <v>141.80000000000001</v>
      </c>
      <c r="M611" s="5">
        <v>8899.7281937237458</v>
      </c>
      <c r="N611" s="5" t="s">
        <v>97</v>
      </c>
      <c r="O611" s="5">
        <v>14.525492436974758</v>
      </c>
      <c r="P611" s="5">
        <v>911.65680232063096</v>
      </c>
      <c r="Q611" s="5">
        <v>10.243647698853863</v>
      </c>
    </row>
    <row r="612" spans="1:17" x14ac:dyDescent="0.2">
      <c r="A612" s="4" t="s">
        <v>86</v>
      </c>
      <c r="B612" s="25">
        <v>2014</v>
      </c>
      <c r="C612" s="25" t="s">
        <v>50</v>
      </c>
      <c r="D612" s="25">
        <v>3</v>
      </c>
      <c r="E612" s="25">
        <v>16</v>
      </c>
      <c r="F612" s="25">
        <v>3</v>
      </c>
      <c r="G612" s="6" t="str">
        <f t="shared" si="22"/>
        <v>163</v>
      </c>
      <c r="H612" s="5">
        <v>0</v>
      </c>
      <c r="I612" s="5">
        <v>170.88331764705885</v>
      </c>
      <c r="J612" s="5">
        <v>10725.071085335543</v>
      </c>
      <c r="K612" s="5">
        <v>0</v>
      </c>
      <c r="L612" s="5">
        <v>147.9</v>
      </c>
      <c r="M612" s="5">
        <v>9282.5796886582648</v>
      </c>
      <c r="N612" s="5" t="s">
        <v>97</v>
      </c>
      <c r="O612" s="5">
        <v>22.98331764705884</v>
      </c>
      <c r="P612" s="5">
        <v>1442.4913966772783</v>
      </c>
      <c r="Q612" s="5">
        <v>15.539768524042488</v>
      </c>
    </row>
    <row r="613" spans="1:17" x14ac:dyDescent="0.2">
      <c r="A613" s="4" t="s">
        <v>86</v>
      </c>
      <c r="B613" s="25">
        <v>2014</v>
      </c>
      <c r="C613" s="25" t="s">
        <v>50</v>
      </c>
      <c r="D613" s="25">
        <v>4</v>
      </c>
      <c r="E613" s="25">
        <v>16</v>
      </c>
      <c r="F613" s="25">
        <v>3</v>
      </c>
      <c r="G613" s="6" t="str">
        <f t="shared" si="22"/>
        <v>163</v>
      </c>
      <c r="H613" s="5">
        <v>0</v>
      </c>
      <c r="I613" s="5">
        <v>163.40490756302523</v>
      </c>
      <c r="J613" s="5">
        <v>10255.70707215429</v>
      </c>
      <c r="K613" s="5">
        <v>0</v>
      </c>
      <c r="L613" s="5">
        <v>158.6</v>
      </c>
      <c r="M613" s="5">
        <v>9954.138868297503</v>
      </c>
      <c r="N613" s="5" t="s">
        <v>97</v>
      </c>
      <c r="O613" s="5">
        <v>4.8049075630252389</v>
      </c>
      <c r="P613" s="5">
        <v>301.56820385678657</v>
      </c>
      <c r="Q613" s="5">
        <v>3.0295760170398851</v>
      </c>
    </row>
    <row r="614" spans="1:17" x14ac:dyDescent="0.2">
      <c r="A614" s="4" t="s">
        <v>51</v>
      </c>
      <c r="B614" s="25">
        <v>2014</v>
      </c>
      <c r="C614" s="25" t="s">
        <v>50</v>
      </c>
      <c r="D614" s="25">
        <v>1</v>
      </c>
      <c r="E614" s="25">
        <v>16</v>
      </c>
      <c r="F614" s="25">
        <v>3</v>
      </c>
      <c r="G614" s="6" t="str">
        <f t="shared" si="22"/>
        <v>163</v>
      </c>
      <c r="H614" s="5">
        <v>5</v>
      </c>
      <c r="I614" s="5">
        <v>183.25399159663866</v>
      </c>
      <c r="J614" s="5">
        <v>11501.486005818191</v>
      </c>
      <c r="K614" s="5">
        <v>11.6666666666667</v>
      </c>
      <c r="L614" s="5">
        <v>201.86765546218501</v>
      </c>
      <c r="M614" s="5">
        <v>12669.726831577709</v>
      </c>
      <c r="N614" s="5">
        <v>57.14285714285726</v>
      </c>
      <c r="O614" s="5">
        <v>-18.613663865546357</v>
      </c>
      <c r="P614" s="5">
        <v>-1168.240825759518</v>
      </c>
      <c r="Q614" s="5">
        <v>-9.2207262341901775</v>
      </c>
    </row>
    <row r="615" spans="1:17" x14ac:dyDescent="0.2">
      <c r="A615" s="4" t="s">
        <v>51</v>
      </c>
      <c r="B615" s="25">
        <v>2014</v>
      </c>
      <c r="C615" s="25" t="s">
        <v>50</v>
      </c>
      <c r="D615" s="25">
        <v>2</v>
      </c>
      <c r="E615" s="25">
        <v>16</v>
      </c>
      <c r="F615" s="25">
        <v>3</v>
      </c>
      <c r="G615" s="6" t="str">
        <f t="shared" si="22"/>
        <v>163</v>
      </c>
      <c r="H615" s="5">
        <v>4.333333333333333</v>
      </c>
      <c r="I615" s="5">
        <v>202.86148235294118</v>
      </c>
      <c r="J615" s="5">
        <v>12732.101931714124</v>
      </c>
      <c r="K615" s="5">
        <v>13.3333333333333</v>
      </c>
      <c r="L615" s="5">
        <v>183.37661848739501</v>
      </c>
      <c r="M615" s="5">
        <v>11509.182380973149</v>
      </c>
      <c r="N615" s="5">
        <v>67.499999999999929</v>
      </c>
      <c r="O615" s="5">
        <v>19.484863865546174</v>
      </c>
      <c r="P615" s="5">
        <v>1222.919550740975</v>
      </c>
      <c r="Q615" s="5">
        <v>10.625598850207568</v>
      </c>
    </row>
    <row r="616" spans="1:17" x14ac:dyDescent="0.2">
      <c r="A616" s="4" t="s">
        <v>51</v>
      </c>
      <c r="B616" s="25">
        <v>2014</v>
      </c>
      <c r="C616" s="25" t="s">
        <v>50</v>
      </c>
      <c r="D616" s="25">
        <v>3</v>
      </c>
      <c r="E616" s="25">
        <v>16</v>
      </c>
      <c r="F616" s="25">
        <v>3</v>
      </c>
      <c r="G616" s="6" t="str">
        <f t="shared" si="22"/>
        <v>163</v>
      </c>
      <c r="H616" s="5">
        <v>4.333333333333333</v>
      </c>
      <c r="I616" s="5">
        <v>178.86230168067226</v>
      </c>
      <c r="J616" s="5">
        <v>11225.852391126948</v>
      </c>
      <c r="K616" s="5">
        <v>11.6666666666667</v>
      </c>
      <c r="L616" s="5">
        <v>198.146752941176</v>
      </c>
      <c r="M616" s="5">
        <v>12436.193537696739</v>
      </c>
      <c r="N616" s="5">
        <v>62.857142857142968</v>
      </c>
      <c r="O616" s="5">
        <v>-19.284451260503744</v>
      </c>
      <c r="P616" s="5">
        <v>-1210.3411465697918</v>
      </c>
      <c r="Q616" s="5">
        <v>-9.7324084166187284</v>
      </c>
    </row>
    <row r="617" spans="1:17" x14ac:dyDescent="0.2">
      <c r="A617" s="4" t="s">
        <v>51</v>
      </c>
      <c r="B617" s="25">
        <v>2014</v>
      </c>
      <c r="C617" s="25" t="s">
        <v>50</v>
      </c>
      <c r="D617" s="25">
        <v>4</v>
      </c>
      <c r="E617" s="25">
        <v>16</v>
      </c>
      <c r="F617" s="25">
        <v>3</v>
      </c>
      <c r="G617" s="6" t="str">
        <f t="shared" si="22"/>
        <v>163</v>
      </c>
      <c r="H617" s="5">
        <v>3.6666666666666665</v>
      </c>
      <c r="I617" s="5">
        <v>175.45986302521007</v>
      </c>
      <c r="J617" s="5">
        <v>11012.306698394701</v>
      </c>
      <c r="K617" s="5">
        <v>11.6666666666667</v>
      </c>
      <c r="L617" s="5">
        <v>193.20141176470599</v>
      </c>
      <c r="M617" s="5">
        <v>12125.811363537268</v>
      </c>
      <c r="N617" s="5">
        <v>68.571428571428655</v>
      </c>
      <c r="O617" s="5">
        <v>-17.741548739495926</v>
      </c>
      <c r="P617" s="5">
        <v>-1113.5046651425673</v>
      </c>
      <c r="Q617" s="5">
        <v>-9.1829291398257613</v>
      </c>
    </row>
    <row r="618" spans="1:17" x14ac:dyDescent="0.2">
      <c r="A618" s="4" t="s">
        <v>80</v>
      </c>
      <c r="B618" s="25">
        <v>2014</v>
      </c>
      <c r="C618" s="25" t="s">
        <v>50</v>
      </c>
      <c r="D618" s="25">
        <v>1</v>
      </c>
      <c r="E618" s="25">
        <v>16</v>
      </c>
      <c r="F618" s="25">
        <v>3</v>
      </c>
      <c r="G618" s="6" t="str">
        <f t="shared" si="22"/>
        <v>163</v>
      </c>
      <c r="H618" s="5">
        <v>51.666666666666664</v>
      </c>
      <c r="I618" s="5">
        <v>214.7468400214747</v>
      </c>
      <c r="J618" s="5">
        <v>13478.057169620601</v>
      </c>
      <c r="K618" s="5">
        <v>13.3333333333333</v>
      </c>
      <c r="L618" s="5">
        <v>195.65573825486001</v>
      </c>
      <c r="M618" s="5">
        <v>12279.851128424621</v>
      </c>
      <c r="N618" s="5">
        <v>-287.50000000000091</v>
      </c>
      <c r="O618" s="5">
        <v>19.091101766614685</v>
      </c>
      <c r="P618" s="5">
        <v>1198.2060411959792</v>
      </c>
      <c r="Q618" s="5">
        <v>9.757496476666951</v>
      </c>
    </row>
    <row r="619" spans="1:17" x14ac:dyDescent="0.2">
      <c r="A619" s="4" t="s">
        <v>80</v>
      </c>
      <c r="B619" s="25">
        <v>2014</v>
      </c>
      <c r="C619" s="25" t="s">
        <v>50</v>
      </c>
      <c r="D619" s="25">
        <v>2</v>
      </c>
      <c r="E619" s="25">
        <v>16</v>
      </c>
      <c r="F619" s="25">
        <v>3</v>
      </c>
      <c r="G619" s="6" t="str">
        <f t="shared" si="22"/>
        <v>163</v>
      </c>
      <c r="H619" s="5">
        <v>10</v>
      </c>
      <c r="I619" s="5">
        <v>212.17826422289855</v>
      </c>
      <c r="J619" s="5">
        <v>13316.846827925929</v>
      </c>
      <c r="K619" s="5">
        <v>26.6666666666667</v>
      </c>
      <c r="L619" s="5">
        <v>200.14342489396401</v>
      </c>
      <c r="M619" s="5">
        <v>12561.509741306365</v>
      </c>
      <c r="N619" s="5">
        <v>62.500000000000043</v>
      </c>
      <c r="O619" s="5">
        <v>12.034839328934538</v>
      </c>
      <c r="P619" s="5">
        <v>755.33708661956371</v>
      </c>
      <c r="Q619" s="5">
        <v>6.0131075179265085</v>
      </c>
    </row>
    <row r="620" spans="1:17" x14ac:dyDescent="0.2">
      <c r="A620" s="4" t="s">
        <v>80</v>
      </c>
      <c r="B620" s="25">
        <v>2014</v>
      </c>
      <c r="C620" s="25" t="s">
        <v>50</v>
      </c>
      <c r="D620" s="25">
        <v>3</v>
      </c>
      <c r="E620" s="25">
        <v>16</v>
      </c>
      <c r="F620" s="25">
        <v>3</v>
      </c>
      <c r="G620" s="6" t="str">
        <f t="shared" si="22"/>
        <v>163</v>
      </c>
      <c r="H620" s="5">
        <v>8.3333333333333339</v>
      </c>
      <c r="I620" s="5">
        <v>199.03192943166792</v>
      </c>
      <c r="J620" s="5">
        <v>12491.749462723907</v>
      </c>
      <c r="K620" s="5">
        <v>13.3333333333333</v>
      </c>
      <c r="L620" s="5">
        <v>225.624535736848</v>
      </c>
      <c r="M620" s="5">
        <v>14160.768983731008</v>
      </c>
      <c r="N620" s="5">
        <v>37.499999999999837</v>
      </c>
      <c r="O620" s="5">
        <v>-26.592606305180084</v>
      </c>
      <c r="P620" s="5">
        <v>-1669.0195210071015</v>
      </c>
      <c r="Q620" s="5">
        <v>-11.786220952581042</v>
      </c>
    </row>
    <row r="621" spans="1:17" x14ac:dyDescent="0.2">
      <c r="A621" s="4" t="s">
        <v>80</v>
      </c>
      <c r="B621" s="25">
        <v>2014</v>
      </c>
      <c r="C621" s="25" t="s">
        <v>50</v>
      </c>
      <c r="D621" s="25">
        <v>4</v>
      </c>
      <c r="E621" s="25">
        <v>16</v>
      </c>
      <c r="F621" s="25">
        <v>3</v>
      </c>
      <c r="G621" s="6" t="str">
        <f t="shared" si="22"/>
        <v>163</v>
      </c>
      <c r="H621" s="5">
        <v>23.333333333333332</v>
      </c>
      <c r="I621" s="5">
        <v>233.90322355280205</v>
      </c>
      <c r="J621" s="5">
        <v>14680.36046019563</v>
      </c>
      <c r="K621" s="5">
        <v>41.6666666666667</v>
      </c>
      <c r="L621" s="5">
        <v>227.772361535382</v>
      </c>
      <c r="M621" s="5">
        <v>14295.571986653578</v>
      </c>
      <c r="N621" s="5">
        <v>44.00000000000005</v>
      </c>
      <c r="O621" s="5">
        <v>6.1308620174200428</v>
      </c>
      <c r="P621" s="5">
        <v>384.78847354205209</v>
      </c>
      <c r="Q621" s="5">
        <v>2.6916619628881771</v>
      </c>
    </row>
    <row r="622" spans="1:17" x14ac:dyDescent="0.2">
      <c r="A622" s="4" t="s">
        <v>87</v>
      </c>
      <c r="B622" s="4">
        <v>2014</v>
      </c>
      <c r="C622" s="4" t="s">
        <v>50</v>
      </c>
      <c r="D622" s="4">
        <v>1</v>
      </c>
      <c r="E622" s="4">
        <v>16</v>
      </c>
      <c r="F622" s="4">
        <v>3</v>
      </c>
      <c r="G622" s="6" t="str">
        <f t="shared" si="22"/>
        <v>163</v>
      </c>
      <c r="H622" s="5">
        <v>3</v>
      </c>
      <c r="I622" s="5">
        <v>210.51361996638656</v>
      </c>
      <c r="J622" s="5">
        <v>13212.369525935801</v>
      </c>
      <c r="K622" s="5">
        <v>10.5</v>
      </c>
      <c r="L622" s="5">
        <v>198.27910945210101</v>
      </c>
      <c r="M622" s="5">
        <v>12444.500568528207</v>
      </c>
      <c r="N622" s="5">
        <v>71.428571428571431</v>
      </c>
      <c r="O622" s="5">
        <v>12.234510514285546</v>
      </c>
      <c r="P622" s="5">
        <v>767.86895740759428</v>
      </c>
      <c r="Q622" s="5">
        <v>6.1703477225073486</v>
      </c>
    </row>
    <row r="623" spans="1:17" x14ac:dyDescent="0.2">
      <c r="A623" s="4" t="s">
        <v>87</v>
      </c>
      <c r="B623" s="4">
        <v>2014</v>
      </c>
      <c r="C623" s="4" t="s">
        <v>50</v>
      </c>
      <c r="D623" s="4">
        <v>2</v>
      </c>
      <c r="E623" s="4">
        <v>16</v>
      </c>
      <c r="F623" s="4">
        <v>3</v>
      </c>
      <c r="G623" s="6" t="str">
        <f t="shared" si="22"/>
        <v>163</v>
      </c>
      <c r="H623" s="5">
        <v>1</v>
      </c>
      <c r="I623" s="5">
        <v>219.5448891428571</v>
      </c>
      <c r="J623" s="5">
        <v>13779.194920258389</v>
      </c>
      <c r="K623" s="5">
        <v>12.5</v>
      </c>
      <c r="L623" s="5">
        <v>195.36490518655501</v>
      </c>
      <c r="M623" s="5">
        <v>12261.597706297251</v>
      </c>
      <c r="N623" s="5">
        <v>92</v>
      </c>
      <c r="O623" s="5">
        <v>24.179983956302095</v>
      </c>
      <c r="P623" s="5">
        <v>1517.5972139611386</v>
      </c>
      <c r="Q623" s="5">
        <v>12.376830901748951</v>
      </c>
    </row>
    <row r="624" spans="1:17" x14ac:dyDescent="0.2">
      <c r="A624" s="4" t="s">
        <v>87</v>
      </c>
      <c r="B624" s="4">
        <v>2014</v>
      </c>
      <c r="C624" s="4" t="s">
        <v>50</v>
      </c>
      <c r="D624" s="4">
        <v>3</v>
      </c>
      <c r="E624" s="4">
        <v>16</v>
      </c>
      <c r="F624" s="4">
        <v>3</v>
      </c>
      <c r="G624" s="6" t="str">
        <f t="shared" si="22"/>
        <v>163</v>
      </c>
      <c r="H624" s="5">
        <v>3</v>
      </c>
      <c r="I624" s="5">
        <v>184.5136882285714</v>
      </c>
      <c r="J624" s="5">
        <v>11580.547766260721</v>
      </c>
      <c r="K624" s="5">
        <v>7.5</v>
      </c>
      <c r="L624" s="5">
        <v>197.00707692100801</v>
      </c>
      <c r="M624" s="5">
        <v>12364.664575719307</v>
      </c>
      <c r="N624" s="5">
        <v>60</v>
      </c>
      <c r="O624" s="5">
        <v>-12.493388692436611</v>
      </c>
      <c r="P624" s="5">
        <v>-784.11680945858643</v>
      </c>
      <c r="Q624" s="5">
        <v>-6.3415938593139796</v>
      </c>
    </row>
    <row r="625" spans="1:17" s="7" customFormat="1" x14ac:dyDescent="0.2">
      <c r="A625" s="7" t="s">
        <v>87</v>
      </c>
      <c r="B625" s="7">
        <v>2014</v>
      </c>
      <c r="C625" s="7" t="s">
        <v>50</v>
      </c>
      <c r="D625" s="7">
        <v>4</v>
      </c>
      <c r="E625" s="7">
        <v>16</v>
      </c>
      <c r="F625" s="7">
        <v>3</v>
      </c>
      <c r="G625" s="6" t="str">
        <f t="shared" si="22"/>
        <v>163</v>
      </c>
      <c r="H625" s="9">
        <v>5</v>
      </c>
      <c r="I625" s="9">
        <v>202.83325986554624</v>
      </c>
      <c r="J625" s="9">
        <v>12730.330616715775</v>
      </c>
      <c r="K625" s="9">
        <v>12.5</v>
      </c>
      <c r="L625" s="9">
        <v>198.94150697142899</v>
      </c>
      <c r="M625" s="9">
        <v>12486.07431943241</v>
      </c>
      <c r="N625" s="9">
        <v>60</v>
      </c>
      <c r="O625" s="9">
        <v>3.8917528941172463</v>
      </c>
      <c r="P625" s="9">
        <v>244.25629728336571</v>
      </c>
      <c r="Q625" s="9">
        <v>1.9562297246879519</v>
      </c>
    </row>
    <row r="626" spans="1:17" x14ac:dyDescent="0.2">
      <c r="A626" s="4" t="s">
        <v>77</v>
      </c>
      <c r="B626" s="25">
        <v>2014</v>
      </c>
      <c r="C626" s="25" t="s">
        <v>50</v>
      </c>
      <c r="D626" s="26">
        <v>1</v>
      </c>
      <c r="E626" s="26">
        <v>17</v>
      </c>
      <c r="F626" s="26">
        <v>3</v>
      </c>
      <c r="G626" s="6" t="str">
        <f t="shared" si="22"/>
        <v>173</v>
      </c>
      <c r="H626" s="5">
        <v>10</v>
      </c>
      <c r="I626" s="5">
        <v>212.64602054768289</v>
      </c>
      <c r="J626" s="5">
        <v>13346.204403042118</v>
      </c>
      <c r="K626" s="5">
        <v>5</v>
      </c>
      <c r="L626" s="5">
        <v>203.90911865546201</v>
      </c>
      <c r="M626" s="5">
        <v>12797.854247217037</v>
      </c>
      <c r="N626" s="5">
        <v>-100</v>
      </c>
      <c r="O626" s="5">
        <v>8.7369018922208852</v>
      </c>
      <c r="P626" s="5">
        <v>548.35015582508095</v>
      </c>
      <c r="Q626" s="5">
        <v>4.2847038670121016</v>
      </c>
    </row>
    <row r="627" spans="1:17" x14ac:dyDescent="0.2">
      <c r="A627" s="4" t="s">
        <v>77</v>
      </c>
      <c r="B627" s="25">
        <v>2014</v>
      </c>
      <c r="C627" s="25" t="s">
        <v>50</v>
      </c>
      <c r="D627" s="26">
        <v>2</v>
      </c>
      <c r="E627" s="26">
        <v>17</v>
      </c>
      <c r="F627" s="26">
        <v>3</v>
      </c>
      <c r="G627" s="6" t="str">
        <f t="shared" si="22"/>
        <v>173</v>
      </c>
      <c r="H627" s="5">
        <v>3</v>
      </c>
      <c r="I627" s="5">
        <v>228.37855231187149</v>
      </c>
      <c r="J627" s="5">
        <v>14333.618059603497</v>
      </c>
      <c r="K627" s="5">
        <v>31.6666666666667</v>
      </c>
      <c r="L627" s="5">
        <v>233.849114621849</v>
      </c>
      <c r="M627" s="5">
        <v>14676.964446244043</v>
      </c>
      <c r="N627" s="5">
        <v>90.526315789473699</v>
      </c>
      <c r="O627" s="5">
        <v>-5.4705623099775096</v>
      </c>
      <c r="P627" s="5">
        <v>-343.34638664054546</v>
      </c>
      <c r="Q627" s="5">
        <v>-2.3393555792690544</v>
      </c>
    </row>
    <row r="628" spans="1:17" x14ac:dyDescent="0.2">
      <c r="A628" s="4" t="s">
        <v>77</v>
      </c>
      <c r="B628" s="25">
        <v>2014</v>
      </c>
      <c r="C628" s="25" t="s">
        <v>50</v>
      </c>
      <c r="D628" s="26">
        <v>3</v>
      </c>
      <c r="E628" s="26">
        <v>17</v>
      </c>
      <c r="F628" s="26">
        <v>3</v>
      </c>
      <c r="G628" s="6" t="str">
        <f t="shared" si="22"/>
        <v>173</v>
      </c>
      <c r="H628" s="5">
        <v>3</v>
      </c>
      <c r="I628" s="5">
        <v>224.41538436354185</v>
      </c>
      <c r="J628" s="5">
        <v>14084.879572112584</v>
      </c>
      <c r="K628" s="5">
        <v>10</v>
      </c>
      <c r="L628" s="5">
        <v>216.62039332828201</v>
      </c>
      <c r="M628" s="5">
        <v>13595.646134268256</v>
      </c>
      <c r="N628" s="5">
        <v>70</v>
      </c>
      <c r="O628" s="5">
        <v>7.7949910352598408</v>
      </c>
      <c r="P628" s="5">
        <v>489.23343784432836</v>
      </c>
      <c r="Q628" s="5">
        <v>3.5984566898310186</v>
      </c>
    </row>
    <row r="629" spans="1:17" x14ac:dyDescent="0.2">
      <c r="A629" s="4" t="s">
        <v>77</v>
      </c>
      <c r="B629" s="25">
        <v>2014</v>
      </c>
      <c r="C629" s="25" t="s">
        <v>50</v>
      </c>
      <c r="D629" s="26">
        <v>4</v>
      </c>
      <c r="E629" s="26">
        <v>17</v>
      </c>
      <c r="F629" s="26">
        <v>3</v>
      </c>
      <c r="G629" s="6" t="str">
        <f t="shared" si="22"/>
        <v>173</v>
      </c>
      <c r="H629" s="5">
        <v>16.666666666666668</v>
      </c>
      <c r="I629" s="5">
        <v>218.7452464887449</v>
      </c>
      <c r="J629" s="5">
        <v>13729.007316071462</v>
      </c>
      <c r="K629" s="5">
        <v>18.333333333333332</v>
      </c>
      <c r="L629" s="5">
        <v>214.28523421746976</v>
      </c>
      <c r="M629" s="5">
        <v>13449.085616811792</v>
      </c>
      <c r="N629" s="5">
        <v>9.0909090909090793</v>
      </c>
      <c r="O629" s="5">
        <v>4.4600122712751329</v>
      </c>
      <c r="P629" s="5">
        <v>279.92169925967028</v>
      </c>
      <c r="Q629" s="5">
        <v>2.0813437228011926</v>
      </c>
    </row>
    <row r="630" spans="1:17" x14ac:dyDescent="0.2">
      <c r="A630" s="4" t="s">
        <v>86</v>
      </c>
      <c r="B630" s="25">
        <v>2014</v>
      </c>
      <c r="C630" s="25" t="s">
        <v>50</v>
      </c>
      <c r="D630" s="25">
        <v>1</v>
      </c>
      <c r="E630" s="25">
        <v>17</v>
      </c>
      <c r="F630" s="25">
        <v>3</v>
      </c>
      <c r="G630" s="6" t="str">
        <f t="shared" si="22"/>
        <v>173</v>
      </c>
      <c r="H630" s="5">
        <v>0</v>
      </c>
      <c r="I630" s="5">
        <v>176.71010823529411</v>
      </c>
      <c r="J630" s="5">
        <v>11090.775263593947</v>
      </c>
      <c r="K630" s="5">
        <v>0</v>
      </c>
      <c r="L630" s="5" t="s">
        <v>97</v>
      </c>
      <c r="M630" s="5" t="s">
        <v>97</v>
      </c>
      <c r="N630" s="5" t="s">
        <v>97</v>
      </c>
      <c r="O630" s="5" t="s">
        <v>97</v>
      </c>
      <c r="P630" s="5" t="s">
        <v>97</v>
      </c>
      <c r="Q630" s="5" t="s">
        <v>97</v>
      </c>
    </row>
    <row r="631" spans="1:17" x14ac:dyDescent="0.2">
      <c r="A631" s="4" t="s">
        <v>86</v>
      </c>
      <c r="B631" s="25">
        <v>2014</v>
      </c>
      <c r="C631" s="25" t="s">
        <v>50</v>
      </c>
      <c r="D631" s="25">
        <v>2</v>
      </c>
      <c r="E631" s="25">
        <v>17</v>
      </c>
      <c r="F631" s="25">
        <v>3</v>
      </c>
      <c r="G631" s="6" t="str">
        <f t="shared" si="22"/>
        <v>173</v>
      </c>
      <c r="H631" s="5">
        <v>0</v>
      </c>
      <c r="I631" s="5">
        <v>160.50505613445381</v>
      </c>
      <c r="J631" s="5">
        <v>10073.705030430261</v>
      </c>
      <c r="K631" s="5">
        <v>0</v>
      </c>
      <c r="L631" s="5">
        <v>141.80000000000001</v>
      </c>
      <c r="M631" s="5">
        <v>8899.7281937237458</v>
      </c>
      <c r="N631" s="5" t="s">
        <v>97</v>
      </c>
      <c r="O631" s="5">
        <v>18.705056134453798</v>
      </c>
      <c r="P631" s="5">
        <v>1173.9768367065153</v>
      </c>
      <c r="Q631" s="5">
        <v>13.191153832478003</v>
      </c>
    </row>
    <row r="632" spans="1:17" x14ac:dyDescent="0.2">
      <c r="A632" s="4" t="s">
        <v>86</v>
      </c>
      <c r="B632" s="25">
        <v>2014</v>
      </c>
      <c r="C632" s="25" t="s">
        <v>50</v>
      </c>
      <c r="D632" s="25">
        <v>3</v>
      </c>
      <c r="E632" s="25">
        <v>17</v>
      </c>
      <c r="F632" s="25">
        <v>3</v>
      </c>
      <c r="G632" s="6" t="str">
        <f t="shared" si="22"/>
        <v>173</v>
      </c>
      <c r="H632" s="5">
        <v>0</v>
      </c>
      <c r="I632" s="5" t="s">
        <v>97</v>
      </c>
      <c r="J632" s="5" t="s">
        <v>97</v>
      </c>
      <c r="K632" s="5">
        <v>0</v>
      </c>
      <c r="L632" s="5">
        <v>147.9</v>
      </c>
      <c r="M632" s="5">
        <v>9282.5796886582648</v>
      </c>
      <c r="N632" s="5" t="s">
        <v>97</v>
      </c>
      <c r="O632" s="5" t="s">
        <v>97</v>
      </c>
      <c r="P632" s="5" t="s">
        <v>97</v>
      </c>
      <c r="Q632" s="5" t="s">
        <v>97</v>
      </c>
    </row>
    <row r="633" spans="1:17" x14ac:dyDescent="0.2">
      <c r="A633" s="4" t="s">
        <v>86</v>
      </c>
      <c r="B633" s="25">
        <v>2014</v>
      </c>
      <c r="C633" s="25" t="s">
        <v>50</v>
      </c>
      <c r="D633" s="25">
        <v>4</v>
      </c>
      <c r="E633" s="25">
        <v>17</v>
      </c>
      <c r="F633" s="25">
        <v>3</v>
      </c>
      <c r="G633" s="6" t="str">
        <f t="shared" si="22"/>
        <v>173</v>
      </c>
      <c r="H633" s="5">
        <v>0</v>
      </c>
      <c r="I633" s="5">
        <v>162.2540450420168</v>
      </c>
      <c r="J633" s="5">
        <v>10183.476016968685</v>
      </c>
      <c r="K633" s="5">
        <v>0</v>
      </c>
      <c r="L633" s="5">
        <v>158.6</v>
      </c>
      <c r="M633" s="5">
        <v>9954.138868297503</v>
      </c>
      <c r="N633" s="5" t="s">
        <v>97</v>
      </c>
      <c r="O633" s="5">
        <v>3.6540450420168042</v>
      </c>
      <c r="P633" s="5">
        <v>229.33714867118215</v>
      </c>
      <c r="Q633" s="5">
        <v>2.3039376053069534</v>
      </c>
    </row>
    <row r="634" spans="1:17" x14ac:dyDescent="0.2">
      <c r="A634" s="4" t="s">
        <v>51</v>
      </c>
      <c r="B634" s="25">
        <v>2014</v>
      </c>
      <c r="C634" s="25" t="s">
        <v>50</v>
      </c>
      <c r="D634" s="25">
        <v>1</v>
      </c>
      <c r="E634" s="25">
        <v>17</v>
      </c>
      <c r="F634" s="25">
        <v>3</v>
      </c>
      <c r="G634" s="6" t="str">
        <f t="shared" si="22"/>
        <v>173</v>
      </c>
      <c r="H634" s="5">
        <v>6.666666666666667</v>
      </c>
      <c r="I634" s="5">
        <v>189.48600000000002</v>
      </c>
      <c r="J634" s="5">
        <v>11892.622683469237</v>
      </c>
      <c r="K634" s="5">
        <v>11.6666666666667</v>
      </c>
      <c r="L634" s="5">
        <v>201.86765546218501</v>
      </c>
      <c r="M634" s="5">
        <v>12669.726831577709</v>
      </c>
      <c r="N634" s="5">
        <v>42.857142857143018</v>
      </c>
      <c r="O634" s="5">
        <v>-12.381655462184995</v>
      </c>
      <c r="P634" s="5">
        <v>-777.10414810847215</v>
      </c>
      <c r="Q634" s="5">
        <v>-6.1335509315926</v>
      </c>
    </row>
    <row r="635" spans="1:17" x14ac:dyDescent="0.2">
      <c r="A635" s="4" t="s">
        <v>51</v>
      </c>
      <c r="B635" s="25">
        <v>2014</v>
      </c>
      <c r="C635" s="25" t="s">
        <v>50</v>
      </c>
      <c r="D635" s="25">
        <v>2</v>
      </c>
      <c r="E635" s="25">
        <v>17</v>
      </c>
      <c r="F635" s="25">
        <v>3</v>
      </c>
      <c r="G635" s="6" t="str">
        <f t="shared" si="22"/>
        <v>173</v>
      </c>
      <c r="H635" s="5">
        <v>8.3333333333333339</v>
      </c>
      <c r="I635" s="5">
        <v>188.55257142857141</v>
      </c>
      <c r="J635" s="5">
        <v>11834.038335274805</v>
      </c>
      <c r="K635" s="5">
        <v>13.3333333333333</v>
      </c>
      <c r="L635" s="5">
        <v>183.37661848739501</v>
      </c>
      <c r="M635" s="5">
        <v>11509.182380973149</v>
      </c>
      <c r="N635" s="5">
        <v>37.499999999999837</v>
      </c>
      <c r="O635" s="5">
        <v>5.1759529411764049</v>
      </c>
      <c r="P635" s="5">
        <v>324.85595430165631</v>
      </c>
      <c r="Q635" s="5">
        <v>2.8225806451612456</v>
      </c>
    </row>
    <row r="636" spans="1:17" x14ac:dyDescent="0.2">
      <c r="A636" s="4" t="s">
        <v>51</v>
      </c>
      <c r="B636" s="25">
        <v>2014</v>
      </c>
      <c r="C636" s="25" t="s">
        <v>50</v>
      </c>
      <c r="D636" s="25">
        <v>3</v>
      </c>
      <c r="E636" s="25">
        <v>17</v>
      </c>
      <c r="F636" s="25">
        <v>3</v>
      </c>
      <c r="G636" s="6" t="str">
        <f t="shared" si="22"/>
        <v>173</v>
      </c>
      <c r="H636" s="5">
        <v>6.666666666666667</v>
      </c>
      <c r="I636" s="5">
        <v>192.72554621848741</v>
      </c>
      <c r="J636" s="5">
        <v>12095.944833085199</v>
      </c>
      <c r="K636" s="5">
        <v>11.666666666666666</v>
      </c>
      <c r="L636" s="5">
        <v>198.14675294117649</v>
      </c>
      <c r="M636" s="5">
        <v>12436.19353769677</v>
      </c>
      <c r="N636" s="5">
        <v>42.857142857142847</v>
      </c>
      <c r="O636" s="5">
        <v>-5.4212067226890781</v>
      </c>
      <c r="P636" s="5">
        <v>-340.24870461157116</v>
      </c>
      <c r="Q636" s="5">
        <v>-2.7359553675343209</v>
      </c>
    </row>
    <row r="637" spans="1:17" x14ac:dyDescent="0.2">
      <c r="A637" s="4" t="s">
        <v>51</v>
      </c>
      <c r="B637" s="25">
        <v>2014</v>
      </c>
      <c r="C637" s="25" t="s">
        <v>50</v>
      </c>
      <c r="D637" s="25">
        <v>4</v>
      </c>
      <c r="E637" s="25">
        <v>17</v>
      </c>
      <c r="F637" s="25">
        <v>3</v>
      </c>
      <c r="G637" s="6" t="str">
        <f t="shared" si="22"/>
        <v>173</v>
      </c>
      <c r="H637" s="5">
        <v>11.666666666666666</v>
      </c>
      <c r="I637" s="5">
        <v>187.25675294117647</v>
      </c>
      <c r="J637" s="5">
        <v>11752.709475428423</v>
      </c>
      <c r="K637" s="5">
        <v>11.666666666666666</v>
      </c>
      <c r="L637" s="5">
        <v>193.20141176470591</v>
      </c>
      <c r="M637" s="5">
        <v>12125.811363537263</v>
      </c>
      <c r="N637" s="5">
        <v>0</v>
      </c>
      <c r="O637" s="5">
        <v>-5.9446588235294371</v>
      </c>
      <c r="P637" s="5">
        <v>-373.10188810884028</v>
      </c>
      <c r="Q637" s="5">
        <v>-3.0769230769230886</v>
      </c>
    </row>
    <row r="638" spans="1:17" x14ac:dyDescent="0.2">
      <c r="A638" s="4" t="s">
        <v>80</v>
      </c>
      <c r="B638" s="25">
        <v>2014</v>
      </c>
      <c r="C638" s="25" t="s">
        <v>50</v>
      </c>
      <c r="D638" s="25">
        <v>1</v>
      </c>
      <c r="E638" s="25">
        <v>17</v>
      </c>
      <c r="F638" s="25">
        <v>3</v>
      </c>
      <c r="G638" s="6" t="str">
        <f t="shared" si="22"/>
        <v>173</v>
      </c>
      <c r="H638" s="5">
        <v>40</v>
      </c>
      <c r="I638" s="5">
        <v>213.45631262638764</v>
      </c>
      <c r="J638" s="5">
        <v>13397.060392167645</v>
      </c>
      <c r="K638" s="5">
        <v>13.3333333333333</v>
      </c>
      <c r="L638" s="5">
        <v>195.65573825486001</v>
      </c>
      <c r="M638" s="5">
        <v>12279.851128424621</v>
      </c>
      <c r="N638" s="5">
        <v>-200.00000000000077</v>
      </c>
      <c r="O638" s="5">
        <v>17.800574371527631</v>
      </c>
      <c r="P638" s="5">
        <v>1117.2092637430233</v>
      </c>
      <c r="Q638" s="5">
        <v>9.0979056021043938</v>
      </c>
    </row>
    <row r="639" spans="1:17" x14ac:dyDescent="0.2">
      <c r="A639" s="4" t="s">
        <v>80</v>
      </c>
      <c r="B639" s="25">
        <v>2014</v>
      </c>
      <c r="C639" s="25" t="s">
        <v>50</v>
      </c>
      <c r="D639" s="25">
        <v>2</v>
      </c>
      <c r="E639" s="25">
        <v>17</v>
      </c>
      <c r="F639" s="25">
        <v>3</v>
      </c>
      <c r="G639" s="6" t="str">
        <f t="shared" si="22"/>
        <v>173</v>
      </c>
      <c r="H639" s="5">
        <v>26.666666666666668</v>
      </c>
      <c r="I639" s="5">
        <v>197.72408119624302</v>
      </c>
      <c r="J639" s="5">
        <v>12409.66558533376</v>
      </c>
      <c r="K639" s="5">
        <v>26.6666666666667</v>
      </c>
      <c r="L639" s="5">
        <v>200.14342489396401</v>
      </c>
      <c r="M639" s="5">
        <v>12561.509741306365</v>
      </c>
      <c r="N639" s="5">
        <v>0</v>
      </c>
      <c r="O639" s="5">
        <v>-2.4193436977209899</v>
      </c>
      <c r="P639" s="5">
        <v>-151.84415597260522</v>
      </c>
      <c r="Q639" s="5">
        <v>-1.2088049852263523</v>
      </c>
    </row>
    <row r="640" spans="1:17" x14ac:dyDescent="0.2">
      <c r="A640" s="4" t="s">
        <v>80</v>
      </c>
      <c r="B640" s="25">
        <v>2014</v>
      </c>
      <c r="C640" s="25" t="s">
        <v>50</v>
      </c>
      <c r="D640" s="25">
        <v>3</v>
      </c>
      <c r="E640" s="25">
        <v>17</v>
      </c>
      <c r="F640" s="25">
        <v>3</v>
      </c>
      <c r="G640" s="6" t="str">
        <f t="shared" si="22"/>
        <v>173</v>
      </c>
      <c r="H640" s="5">
        <v>51.666666666666664</v>
      </c>
      <c r="I640" s="5">
        <v>205.87807060882309</v>
      </c>
      <c r="J640" s="5">
        <v>12921.430673249584</v>
      </c>
      <c r="K640" s="5">
        <v>13.3333333333333</v>
      </c>
      <c r="L640" s="5">
        <v>225.624535736848</v>
      </c>
      <c r="M640" s="5">
        <v>14160.768983731008</v>
      </c>
      <c r="N640" s="5">
        <v>-287.50000000000091</v>
      </c>
      <c r="O640" s="5">
        <v>-19.746465128024909</v>
      </c>
      <c r="P640" s="5">
        <v>-1239.3383104814238</v>
      </c>
      <c r="Q640" s="5">
        <v>-8.751913910221063</v>
      </c>
    </row>
    <row r="641" spans="1:17" x14ac:dyDescent="0.2">
      <c r="A641" s="4" t="s">
        <v>80</v>
      </c>
      <c r="B641" s="25">
        <v>2014</v>
      </c>
      <c r="C641" s="25" t="s">
        <v>50</v>
      </c>
      <c r="D641" s="25">
        <v>4</v>
      </c>
      <c r="E641" s="25">
        <v>17</v>
      </c>
      <c r="F641" s="25">
        <v>3</v>
      </c>
      <c r="G641" s="6" t="str">
        <f t="shared" si="22"/>
        <v>173</v>
      </c>
      <c r="H641" s="5">
        <v>41.666666666666664</v>
      </c>
      <c r="I641" s="5">
        <v>225.98885573688463</v>
      </c>
      <c r="J641" s="5">
        <v>14183.634632361922</v>
      </c>
      <c r="K641" s="5">
        <v>41.666666666666664</v>
      </c>
      <c r="L641" s="5">
        <v>227.77236153538229</v>
      </c>
      <c r="M641" s="5">
        <v>14295.571986653595</v>
      </c>
      <c r="N641" s="5">
        <v>0</v>
      </c>
      <c r="O641" s="5">
        <v>-1.7835057984976572</v>
      </c>
      <c r="P641" s="5">
        <v>-111.93735429167282</v>
      </c>
      <c r="Q641" s="5">
        <v>-0.78302116484865392</v>
      </c>
    </row>
    <row r="642" spans="1:17" x14ac:dyDescent="0.2">
      <c r="A642" s="4" t="s">
        <v>87</v>
      </c>
      <c r="B642" s="4">
        <v>2014</v>
      </c>
      <c r="C642" s="4" t="s">
        <v>50</v>
      </c>
      <c r="D642" s="4">
        <v>1</v>
      </c>
      <c r="E642" s="4">
        <v>17</v>
      </c>
      <c r="F642" s="4">
        <v>3</v>
      </c>
      <c r="G642" s="6" t="str">
        <f t="shared" ref="G642:G705" si="23">E642&amp;F642</f>
        <v>173</v>
      </c>
      <c r="H642" s="5">
        <v>1</v>
      </c>
      <c r="I642" s="5">
        <v>206.90871882352943</v>
      </c>
      <c r="J642" s="5">
        <v>12986.116773208914</v>
      </c>
      <c r="K642" s="5">
        <v>10.5</v>
      </c>
      <c r="L642" s="5">
        <v>198.27910945210101</v>
      </c>
      <c r="M642" s="5">
        <v>12444.500568528207</v>
      </c>
      <c r="N642" s="5">
        <v>90.476190476190482</v>
      </c>
      <c r="O642" s="5">
        <v>8.6296093714284154</v>
      </c>
      <c r="P642" s="5">
        <v>541.6162046807076</v>
      </c>
      <c r="Q642" s="5">
        <v>4.3522534447902217</v>
      </c>
    </row>
    <row r="643" spans="1:17" x14ac:dyDescent="0.2">
      <c r="A643" s="4" t="s">
        <v>87</v>
      </c>
      <c r="B643" s="4">
        <v>2014</v>
      </c>
      <c r="C643" s="4" t="s">
        <v>50</v>
      </c>
      <c r="D643" s="4">
        <v>2</v>
      </c>
      <c r="E643" s="4">
        <v>17</v>
      </c>
      <c r="F643" s="4">
        <v>3</v>
      </c>
      <c r="G643" s="6" t="str">
        <f t="shared" si="23"/>
        <v>173</v>
      </c>
      <c r="H643" s="5">
        <v>3</v>
      </c>
      <c r="I643" s="5">
        <v>198.23664028235291</v>
      </c>
      <c r="J643" s="5">
        <v>12441.835095556618</v>
      </c>
      <c r="K643" s="5">
        <v>12.5</v>
      </c>
      <c r="L643" s="5">
        <v>195.36490518655501</v>
      </c>
      <c r="M643" s="5">
        <v>12261.597706297251</v>
      </c>
      <c r="N643" s="5">
        <v>76</v>
      </c>
      <c r="O643" s="5">
        <v>2.8717350957979022</v>
      </c>
      <c r="P643" s="5">
        <v>180.23738925936777</v>
      </c>
      <c r="Q643" s="5">
        <v>1.4699339643707472</v>
      </c>
    </row>
    <row r="644" spans="1:17" x14ac:dyDescent="0.2">
      <c r="A644" s="4" t="s">
        <v>87</v>
      </c>
      <c r="B644" s="4">
        <v>2014</v>
      </c>
      <c r="C644" s="4" t="s">
        <v>50</v>
      </c>
      <c r="D644" s="4">
        <v>3</v>
      </c>
      <c r="E644" s="4">
        <v>17</v>
      </c>
      <c r="F644" s="4">
        <v>3</v>
      </c>
      <c r="G644" s="6" t="str">
        <f t="shared" si="23"/>
        <v>173</v>
      </c>
      <c r="H644" s="5">
        <v>3</v>
      </c>
      <c r="I644" s="5">
        <v>209.46936596974791</v>
      </c>
      <c r="J644" s="5">
        <v>13146.829492541628</v>
      </c>
      <c r="K644" s="5">
        <v>7.5</v>
      </c>
      <c r="L644" s="5">
        <v>197.00707692100801</v>
      </c>
      <c r="M644" s="5">
        <v>12364.664575719307</v>
      </c>
      <c r="N644" s="5">
        <v>60</v>
      </c>
      <c r="O644" s="5">
        <v>12.462289048739905</v>
      </c>
      <c r="P644" s="5">
        <v>782.16491682232117</v>
      </c>
      <c r="Q644" s="5">
        <v>6.3258078052377664</v>
      </c>
    </row>
    <row r="645" spans="1:17" x14ac:dyDescent="0.2">
      <c r="A645" s="4" t="s">
        <v>87</v>
      </c>
      <c r="B645" s="4">
        <v>2014</v>
      </c>
      <c r="C645" s="4" t="s">
        <v>50</v>
      </c>
      <c r="D645" s="4">
        <v>4</v>
      </c>
      <c r="E645" s="4">
        <v>17</v>
      </c>
      <c r="F645" s="4">
        <v>3</v>
      </c>
      <c r="G645" s="6" t="str">
        <f t="shared" si="23"/>
        <v>173</v>
      </c>
      <c r="H645" s="5">
        <v>10</v>
      </c>
      <c r="I645" s="5">
        <v>208.46717848739499</v>
      </c>
      <c r="J645" s="5">
        <v>13083.929660439419</v>
      </c>
      <c r="K645" s="5">
        <v>12.5</v>
      </c>
      <c r="L645" s="5">
        <v>198.94150697142899</v>
      </c>
      <c r="M645" s="5">
        <v>12486.07431943241</v>
      </c>
      <c r="N645" s="5">
        <v>20</v>
      </c>
      <c r="O645" s="5">
        <v>9.5256715159659962</v>
      </c>
      <c r="P645" s="5">
        <v>597.85534100700897</v>
      </c>
      <c r="Q645" s="5">
        <v>4.7881770179483141</v>
      </c>
    </row>
    <row r="646" spans="1:17" x14ac:dyDescent="0.2">
      <c r="A646" s="4" t="s">
        <v>77</v>
      </c>
      <c r="B646" s="25">
        <v>2014</v>
      </c>
      <c r="C646" s="25" t="s">
        <v>50</v>
      </c>
      <c r="D646" s="26">
        <v>1</v>
      </c>
      <c r="E646" s="26">
        <v>18</v>
      </c>
      <c r="F646" s="26">
        <v>3</v>
      </c>
      <c r="G646" s="6" t="str">
        <f t="shared" si="23"/>
        <v>183</v>
      </c>
      <c r="H646" s="5">
        <v>28.333333333333332</v>
      </c>
      <c r="I646" s="5">
        <v>209.39851447509253</v>
      </c>
      <c r="J646" s="5">
        <v>13142.382672763406</v>
      </c>
      <c r="K646" s="5">
        <v>5</v>
      </c>
      <c r="L646" s="5">
        <v>203.90911865546201</v>
      </c>
      <c r="M646" s="5">
        <v>12797.854247217037</v>
      </c>
      <c r="N646" s="5">
        <v>-466.66666666666663</v>
      </c>
      <c r="O646" s="5">
        <v>5.4893958196305164</v>
      </c>
      <c r="P646" s="5">
        <v>344.52842554636845</v>
      </c>
      <c r="Q646" s="5">
        <v>2.6920796165598464</v>
      </c>
    </row>
    <row r="647" spans="1:17" x14ac:dyDescent="0.2">
      <c r="A647" s="4" t="s">
        <v>77</v>
      </c>
      <c r="B647" s="25">
        <v>2014</v>
      </c>
      <c r="C647" s="25" t="s">
        <v>50</v>
      </c>
      <c r="D647" s="26">
        <v>2</v>
      </c>
      <c r="E647" s="26">
        <v>18</v>
      </c>
      <c r="F647" s="26">
        <v>3</v>
      </c>
      <c r="G647" s="6" t="str">
        <f t="shared" si="23"/>
        <v>183</v>
      </c>
      <c r="H647" s="5">
        <v>10</v>
      </c>
      <c r="I647" s="5">
        <v>224.66079854184767</v>
      </c>
      <c r="J647" s="5">
        <v>14100.282389332668</v>
      </c>
      <c r="K647" s="5">
        <v>31.6666666666667</v>
      </c>
      <c r="L647" s="5">
        <v>233.849114621849</v>
      </c>
      <c r="M647" s="5">
        <v>14676.964446244043</v>
      </c>
      <c r="N647" s="5">
        <v>68.421052631578988</v>
      </c>
      <c r="O647" s="5">
        <v>-9.1883160800013286</v>
      </c>
      <c r="P647" s="5">
        <v>-576.68205691137518</v>
      </c>
      <c r="Q647" s="5">
        <v>-3.9291643651760215</v>
      </c>
    </row>
    <row r="648" spans="1:17" x14ac:dyDescent="0.2">
      <c r="A648" s="4" t="s">
        <v>77</v>
      </c>
      <c r="B648" s="25">
        <v>2014</v>
      </c>
      <c r="C648" s="25" t="s">
        <v>50</v>
      </c>
      <c r="D648" s="26">
        <v>3</v>
      </c>
      <c r="E648" s="26">
        <v>18</v>
      </c>
      <c r="F648" s="26">
        <v>3</v>
      </c>
      <c r="G648" s="6" t="str">
        <f t="shared" si="23"/>
        <v>183</v>
      </c>
      <c r="H648" s="5">
        <v>5.333333333333333</v>
      </c>
      <c r="I648" s="5">
        <v>223.19085718552998</v>
      </c>
      <c r="J648" s="5">
        <v>14008.025135933929</v>
      </c>
      <c r="K648" s="5">
        <v>10</v>
      </c>
      <c r="L648" s="5">
        <v>216.62039332828201</v>
      </c>
      <c r="M648" s="5">
        <v>13595.646134268256</v>
      </c>
      <c r="N648" s="5">
        <v>46.666666666666664</v>
      </c>
      <c r="O648" s="5">
        <v>6.5704638572479723</v>
      </c>
      <c r="P648" s="5">
        <v>412.37900166567306</v>
      </c>
      <c r="Q648" s="5">
        <v>3.0331695720312899</v>
      </c>
    </row>
    <row r="649" spans="1:17" x14ac:dyDescent="0.2">
      <c r="A649" s="4" t="s">
        <v>77</v>
      </c>
      <c r="B649" s="25">
        <v>2014</v>
      </c>
      <c r="C649" s="25" t="s">
        <v>50</v>
      </c>
      <c r="D649" s="26">
        <v>4</v>
      </c>
      <c r="E649" s="26">
        <v>18</v>
      </c>
      <c r="F649" s="26">
        <v>3</v>
      </c>
      <c r="G649" s="6" t="str">
        <f t="shared" si="23"/>
        <v>183</v>
      </c>
      <c r="H649" s="5">
        <v>20</v>
      </c>
      <c r="I649" s="5">
        <v>215.02176730373881</v>
      </c>
      <c r="J649" s="5">
        <v>13495.312304212912</v>
      </c>
      <c r="K649" s="5">
        <v>18.333333333333332</v>
      </c>
      <c r="L649" s="5">
        <v>214.28523421746976</v>
      </c>
      <c r="M649" s="5">
        <v>13449.085616811792</v>
      </c>
      <c r="N649" s="5">
        <v>-9.0909090909090988</v>
      </c>
      <c r="O649" s="5">
        <v>0.73653308626904845</v>
      </c>
      <c r="P649" s="5">
        <v>46.226687401120216</v>
      </c>
      <c r="Q649" s="5">
        <v>0.34371621029265637</v>
      </c>
    </row>
    <row r="650" spans="1:17" x14ac:dyDescent="0.2">
      <c r="A650" s="4" t="s">
        <v>86</v>
      </c>
      <c r="B650" s="25">
        <v>2014</v>
      </c>
      <c r="C650" s="25" t="s">
        <v>50</v>
      </c>
      <c r="D650" s="25">
        <v>1</v>
      </c>
      <c r="E650" s="25">
        <v>18</v>
      </c>
      <c r="F650" s="25">
        <v>3</v>
      </c>
      <c r="G650" s="6" t="str">
        <f t="shared" si="23"/>
        <v>183</v>
      </c>
      <c r="H650" s="5">
        <v>0</v>
      </c>
      <c r="I650" s="5">
        <v>181.51708235294115</v>
      </c>
      <c r="J650" s="5">
        <v>11392.473169668161</v>
      </c>
      <c r="K650" s="5">
        <v>0</v>
      </c>
      <c r="L650" s="5" t="s">
        <v>97</v>
      </c>
      <c r="M650" s="5" t="s">
        <v>97</v>
      </c>
      <c r="N650" s="5" t="s">
        <v>97</v>
      </c>
      <c r="O650" s="5" t="s">
        <v>97</v>
      </c>
      <c r="P650" s="5" t="s">
        <v>97</v>
      </c>
      <c r="Q650" s="5" t="s">
        <v>97</v>
      </c>
    </row>
    <row r="651" spans="1:17" x14ac:dyDescent="0.2">
      <c r="A651" s="4" t="s">
        <v>86</v>
      </c>
      <c r="B651" s="25">
        <v>2014</v>
      </c>
      <c r="C651" s="25" t="s">
        <v>50</v>
      </c>
      <c r="D651" s="25">
        <v>2</v>
      </c>
      <c r="E651" s="25">
        <v>18</v>
      </c>
      <c r="F651" s="25">
        <v>3</v>
      </c>
      <c r="G651" s="6" t="str">
        <f t="shared" si="23"/>
        <v>183</v>
      </c>
      <c r="H651" s="5">
        <v>0</v>
      </c>
      <c r="I651" s="5">
        <v>161.88945882352942</v>
      </c>
      <c r="J651" s="5">
        <v>10160.593659791568</v>
      </c>
      <c r="K651" s="5">
        <v>0</v>
      </c>
      <c r="L651" s="5">
        <v>141.80000000000001</v>
      </c>
      <c r="M651" s="5">
        <v>8899.7281937237458</v>
      </c>
      <c r="N651" s="5" t="s">
        <v>97</v>
      </c>
      <c r="O651" s="5">
        <v>20.089458823529412</v>
      </c>
      <c r="P651" s="5">
        <v>1260.8654660678221</v>
      </c>
      <c r="Q651" s="5">
        <v>14.167460383307077</v>
      </c>
    </row>
    <row r="652" spans="1:17" x14ac:dyDescent="0.2">
      <c r="A652" s="4" t="s">
        <v>86</v>
      </c>
      <c r="B652" s="25">
        <v>2014</v>
      </c>
      <c r="C652" s="25" t="s">
        <v>50</v>
      </c>
      <c r="D652" s="25">
        <v>3</v>
      </c>
      <c r="E652" s="25">
        <v>18</v>
      </c>
      <c r="F652" s="25">
        <v>3</v>
      </c>
      <c r="G652" s="6" t="str">
        <f t="shared" si="23"/>
        <v>183</v>
      </c>
      <c r="H652" s="5">
        <v>0</v>
      </c>
      <c r="I652" s="5">
        <v>167.12764033613445</v>
      </c>
      <c r="J652" s="5">
        <v>10489.35523730619</v>
      </c>
      <c r="K652" s="5">
        <v>0</v>
      </c>
      <c r="L652" s="5">
        <v>147.9</v>
      </c>
      <c r="M652" s="5">
        <v>9282.5796886582648</v>
      </c>
      <c r="N652" s="5" t="s">
        <v>97</v>
      </c>
      <c r="O652" s="5">
        <v>19.227640336134442</v>
      </c>
      <c r="P652" s="5">
        <v>1206.7755486479255</v>
      </c>
      <c r="Q652" s="5">
        <v>13.000432952085509</v>
      </c>
    </row>
    <row r="653" spans="1:17" x14ac:dyDescent="0.2">
      <c r="A653" s="4" t="s">
        <v>86</v>
      </c>
      <c r="B653" s="25">
        <v>2014</v>
      </c>
      <c r="C653" s="25" t="s">
        <v>50</v>
      </c>
      <c r="D653" s="25">
        <v>4</v>
      </c>
      <c r="E653" s="25">
        <v>18</v>
      </c>
      <c r="F653" s="25">
        <v>3</v>
      </c>
      <c r="G653" s="6" t="str">
        <f t="shared" si="23"/>
        <v>183</v>
      </c>
      <c r="H653" s="5">
        <v>0</v>
      </c>
      <c r="I653" s="5">
        <v>166.83919260504203</v>
      </c>
      <c r="J653" s="5">
        <v>10471.251525001402</v>
      </c>
      <c r="K653" s="5">
        <v>0</v>
      </c>
      <c r="L653" s="5">
        <v>158.6</v>
      </c>
      <c r="M653" s="5">
        <v>9954.138868297503</v>
      </c>
      <c r="N653" s="5" t="s">
        <v>97</v>
      </c>
      <c r="O653" s="5">
        <v>8.2391926050420352</v>
      </c>
      <c r="P653" s="5">
        <v>517.11265670389912</v>
      </c>
      <c r="Q653" s="5">
        <v>5.1949512011614418</v>
      </c>
    </row>
    <row r="654" spans="1:17" x14ac:dyDescent="0.2">
      <c r="A654" s="4" t="s">
        <v>51</v>
      </c>
      <c r="B654" s="25">
        <v>2014</v>
      </c>
      <c r="C654" s="25" t="s">
        <v>50</v>
      </c>
      <c r="D654" s="25">
        <v>1</v>
      </c>
      <c r="E654" s="25">
        <v>18</v>
      </c>
      <c r="F654" s="25">
        <v>3</v>
      </c>
      <c r="G654" s="6" t="str">
        <f t="shared" si="23"/>
        <v>183</v>
      </c>
      <c r="H654" s="5">
        <v>5</v>
      </c>
      <c r="I654" s="5">
        <v>179.16154789915967</v>
      </c>
      <c r="J654" s="5">
        <v>11244.633843930456</v>
      </c>
      <c r="K654" s="5">
        <v>11.6666666666667</v>
      </c>
      <c r="L654" s="5">
        <v>201.86765546218501</v>
      </c>
      <c r="M654" s="5">
        <v>12669.726831577709</v>
      </c>
      <c r="N654" s="5">
        <v>57.14285714285726</v>
      </c>
      <c r="O654" s="5">
        <v>-22.706107563025341</v>
      </c>
      <c r="P654" s="5">
        <v>-1425.0929876472528</v>
      </c>
      <c r="Q654" s="5">
        <v>-11.248016682533256</v>
      </c>
    </row>
    <row r="655" spans="1:17" x14ac:dyDescent="0.2">
      <c r="A655" s="4" t="s">
        <v>51</v>
      </c>
      <c r="B655" s="25">
        <v>2014</v>
      </c>
      <c r="C655" s="25" t="s">
        <v>50</v>
      </c>
      <c r="D655" s="25">
        <v>2</v>
      </c>
      <c r="E655" s="25">
        <v>18</v>
      </c>
      <c r="F655" s="25">
        <v>3</v>
      </c>
      <c r="G655" s="6" t="str">
        <f t="shared" si="23"/>
        <v>183</v>
      </c>
      <c r="H655" s="5">
        <v>6.666666666666667</v>
      </c>
      <c r="I655" s="5">
        <v>186.97306386554624</v>
      </c>
      <c r="J655" s="5">
        <v>11734.904428428155</v>
      </c>
      <c r="K655" s="5">
        <v>13.3333333333333</v>
      </c>
      <c r="L655" s="5">
        <v>183.37661848739501</v>
      </c>
      <c r="M655" s="5">
        <v>11509.182380973149</v>
      </c>
      <c r="N655" s="5">
        <v>49.999999999999872</v>
      </c>
      <c r="O655" s="5">
        <v>3.5964453781512304</v>
      </c>
      <c r="P655" s="5">
        <v>225.72204745500676</v>
      </c>
      <c r="Q655" s="5">
        <v>1.9612344298945852</v>
      </c>
    </row>
    <row r="656" spans="1:17" x14ac:dyDescent="0.2">
      <c r="A656" s="4" t="s">
        <v>51</v>
      </c>
      <c r="B656" s="25">
        <v>2014</v>
      </c>
      <c r="C656" s="25" t="s">
        <v>50</v>
      </c>
      <c r="D656" s="25">
        <v>3</v>
      </c>
      <c r="E656" s="25">
        <v>18</v>
      </c>
      <c r="F656" s="25">
        <v>3</v>
      </c>
      <c r="G656" s="6" t="str">
        <f t="shared" si="23"/>
        <v>183</v>
      </c>
      <c r="H656" s="5">
        <v>8.3333333333333339</v>
      </c>
      <c r="I656" s="5">
        <v>182.12289579831935</v>
      </c>
      <c r="J656" s="5">
        <v>11430.495560359059</v>
      </c>
      <c r="K656" s="5">
        <v>11.6666666666667</v>
      </c>
      <c r="L656" s="5">
        <v>198.146752941176</v>
      </c>
      <c r="M656" s="5">
        <v>12436.193537696739</v>
      </c>
      <c r="N656" s="5">
        <v>28.571428571428768</v>
      </c>
      <c r="O656" s="5">
        <v>-16.023857142856656</v>
      </c>
      <c r="P656" s="5">
        <v>-1005.6979773376806</v>
      </c>
      <c r="Q656" s="5">
        <v>-8.0868633500210247</v>
      </c>
    </row>
    <row r="657" spans="1:17" x14ac:dyDescent="0.2">
      <c r="A657" s="4" t="s">
        <v>51</v>
      </c>
      <c r="B657" s="25">
        <v>2014</v>
      </c>
      <c r="C657" s="25" t="s">
        <v>50</v>
      </c>
      <c r="D657" s="25">
        <v>4</v>
      </c>
      <c r="E657" s="25">
        <v>18</v>
      </c>
      <c r="F657" s="25">
        <v>3</v>
      </c>
      <c r="G657" s="6" t="str">
        <f t="shared" si="23"/>
        <v>183</v>
      </c>
      <c r="H657" s="5">
        <v>8.3333333333333339</v>
      </c>
      <c r="I657" s="5">
        <v>181.23613865546218</v>
      </c>
      <c r="J657" s="5">
        <v>11374.840429574349</v>
      </c>
      <c r="K657" s="5">
        <v>11.6666666666667</v>
      </c>
      <c r="L657" s="5">
        <v>193.20141176470599</v>
      </c>
      <c r="M657" s="5">
        <v>12125.811363537268</v>
      </c>
      <c r="N657" s="5">
        <v>28.571428571428768</v>
      </c>
      <c r="O657" s="5">
        <v>-11.96527310924381</v>
      </c>
      <c r="P657" s="5">
        <v>-750.97093396291893</v>
      </c>
      <c r="Q657" s="5">
        <v>-6.193160287987939</v>
      </c>
    </row>
    <row r="658" spans="1:17" x14ac:dyDescent="0.2">
      <c r="A658" s="4" t="s">
        <v>80</v>
      </c>
      <c r="B658" s="25">
        <v>2014</v>
      </c>
      <c r="C658" s="25" t="s">
        <v>50</v>
      </c>
      <c r="D658" s="25">
        <v>1</v>
      </c>
      <c r="E658" s="25">
        <v>18</v>
      </c>
      <c r="F658" s="25">
        <v>3</v>
      </c>
      <c r="G658" s="6" t="str">
        <f t="shared" si="23"/>
        <v>183</v>
      </c>
      <c r="H658" s="5">
        <v>23.333333333333332</v>
      </c>
      <c r="I658" s="5">
        <v>209.91078153359609</v>
      </c>
      <c r="J658" s="5">
        <v>13174.533854591897</v>
      </c>
      <c r="K658" s="5">
        <v>13.3333333333333</v>
      </c>
      <c r="L658" s="5">
        <v>195.65573825486001</v>
      </c>
      <c r="M658" s="5">
        <v>12279.851128424621</v>
      </c>
      <c r="N658" s="5">
        <v>-75.000000000000426</v>
      </c>
      <c r="O658" s="5">
        <v>14.255043278736082</v>
      </c>
      <c r="P658" s="5">
        <v>894.68272616727518</v>
      </c>
      <c r="Q658" s="5">
        <v>7.2857782786659389</v>
      </c>
    </row>
    <row r="659" spans="1:17" x14ac:dyDescent="0.2">
      <c r="A659" s="4" t="s">
        <v>80</v>
      </c>
      <c r="B659" s="25">
        <v>2014</v>
      </c>
      <c r="C659" s="25" t="s">
        <v>50</v>
      </c>
      <c r="D659" s="25">
        <v>2</v>
      </c>
      <c r="E659" s="25">
        <v>18</v>
      </c>
      <c r="F659" s="25">
        <v>3</v>
      </c>
      <c r="G659" s="6" t="str">
        <f t="shared" si="23"/>
        <v>183</v>
      </c>
      <c r="H659" s="5">
        <v>35</v>
      </c>
      <c r="I659" s="5">
        <v>207.78907010481251</v>
      </c>
      <c r="J659" s="5">
        <v>13041.369855849363</v>
      </c>
      <c r="K659" s="5">
        <v>26.6666666666667</v>
      </c>
      <c r="L659" s="5">
        <v>200.14342489396401</v>
      </c>
      <c r="M659" s="5">
        <v>12561.509741306365</v>
      </c>
      <c r="N659" s="5">
        <v>-31.24999999999984</v>
      </c>
      <c r="O659" s="5">
        <v>7.6456452108484996</v>
      </c>
      <c r="P659" s="5">
        <v>479.86011454299842</v>
      </c>
      <c r="Q659" s="5">
        <v>3.8200831303347318</v>
      </c>
    </row>
    <row r="660" spans="1:17" x14ac:dyDescent="0.2">
      <c r="A660" s="4" t="s">
        <v>80</v>
      </c>
      <c r="B660" s="25">
        <v>2014</v>
      </c>
      <c r="C660" s="25" t="s">
        <v>50</v>
      </c>
      <c r="D660" s="25">
        <v>3</v>
      </c>
      <c r="E660" s="25">
        <v>18</v>
      </c>
      <c r="F660" s="25">
        <v>3</v>
      </c>
      <c r="G660" s="6" t="str">
        <f t="shared" si="23"/>
        <v>183</v>
      </c>
      <c r="H660" s="5">
        <v>41.666666666666664</v>
      </c>
      <c r="I660" s="5">
        <v>214.7639445592915</v>
      </c>
      <c r="J660" s="5">
        <v>13479.130693862131</v>
      </c>
      <c r="K660" s="5">
        <v>13.3333333333333</v>
      </c>
      <c r="L660" s="5">
        <v>225.624535736848</v>
      </c>
      <c r="M660" s="5">
        <v>14160.768983731008</v>
      </c>
      <c r="N660" s="5">
        <v>-212.50000000000077</v>
      </c>
      <c r="O660" s="5">
        <v>-10.8605911775565</v>
      </c>
      <c r="P660" s="5">
        <v>-681.63828986887711</v>
      </c>
      <c r="Q660" s="5">
        <v>-4.8135683214096368</v>
      </c>
    </row>
    <row r="661" spans="1:17" x14ac:dyDescent="0.2">
      <c r="A661" s="4" t="s">
        <v>80</v>
      </c>
      <c r="B661" s="25">
        <v>2014</v>
      </c>
      <c r="C661" s="25" t="s">
        <v>50</v>
      </c>
      <c r="D661" s="25">
        <v>4</v>
      </c>
      <c r="E661" s="25">
        <v>18</v>
      </c>
      <c r="F661" s="25">
        <v>3</v>
      </c>
      <c r="G661" s="6" t="str">
        <f t="shared" si="23"/>
        <v>183</v>
      </c>
      <c r="H661" s="5">
        <v>43.333333333333336</v>
      </c>
      <c r="I661" s="5">
        <v>219.50745884548016</v>
      </c>
      <c r="J661" s="5">
        <v>13776.845699716323</v>
      </c>
      <c r="K661" s="5">
        <v>41.666666666666664</v>
      </c>
      <c r="L661" s="5">
        <v>227.77236153538229</v>
      </c>
      <c r="M661" s="5">
        <v>14295.571986653595</v>
      </c>
      <c r="N661" s="5">
        <v>-4.0000000000000115</v>
      </c>
      <c r="O661" s="5">
        <v>-8.2649026899021294</v>
      </c>
      <c r="P661" s="5">
        <v>-518.72628693727165</v>
      </c>
      <c r="Q661" s="5">
        <v>-3.6285801465066014</v>
      </c>
    </row>
    <row r="662" spans="1:17" x14ac:dyDescent="0.2">
      <c r="A662" s="4" t="s">
        <v>87</v>
      </c>
      <c r="B662" s="4">
        <v>2014</v>
      </c>
      <c r="C662" s="4" t="s">
        <v>50</v>
      </c>
      <c r="D662" s="4">
        <v>1</v>
      </c>
      <c r="E662" s="4">
        <v>18</v>
      </c>
      <c r="F662" s="4">
        <v>3</v>
      </c>
      <c r="G662" s="6" t="str">
        <f t="shared" si="23"/>
        <v>183</v>
      </c>
      <c r="H662" s="5">
        <v>1</v>
      </c>
      <c r="I662" s="5">
        <v>208.70272461176472</v>
      </c>
      <c r="J662" s="5">
        <v>13098.713133528105</v>
      </c>
      <c r="K662" s="5">
        <v>10.5</v>
      </c>
      <c r="L662" s="5">
        <v>198.27910945210101</v>
      </c>
      <c r="M662" s="5">
        <v>12444.500568528207</v>
      </c>
      <c r="N662" s="5">
        <v>90.476190476190482</v>
      </c>
      <c r="O662" s="5">
        <v>10.423615159663711</v>
      </c>
      <c r="P662" s="5">
        <v>654.21256499989795</v>
      </c>
      <c r="Q662" s="5">
        <v>5.2570415453584634</v>
      </c>
    </row>
    <row r="663" spans="1:17" x14ac:dyDescent="0.2">
      <c r="A663" s="4" t="s">
        <v>87</v>
      </c>
      <c r="B663" s="4">
        <v>2014</v>
      </c>
      <c r="C663" s="4" t="s">
        <v>50</v>
      </c>
      <c r="D663" s="4">
        <v>2</v>
      </c>
      <c r="E663" s="4">
        <v>18</v>
      </c>
      <c r="F663" s="4">
        <v>3</v>
      </c>
      <c r="G663" s="6" t="str">
        <f t="shared" si="23"/>
        <v>183</v>
      </c>
      <c r="H663" s="5">
        <v>15</v>
      </c>
      <c r="I663" s="5">
        <v>210.43201268571434</v>
      </c>
      <c r="J663" s="5">
        <v>13207.247645705816</v>
      </c>
      <c r="K663" s="5">
        <v>12.5</v>
      </c>
      <c r="L663" s="5">
        <v>195.36490518655501</v>
      </c>
      <c r="M663" s="5">
        <v>12261.597706297251</v>
      </c>
      <c r="N663" s="5">
        <v>-20</v>
      </c>
      <c r="O663" s="5">
        <v>15.067107499159334</v>
      </c>
      <c r="P663" s="5">
        <v>945.64993940856584</v>
      </c>
      <c r="Q663" s="5">
        <v>7.7122897199840734</v>
      </c>
    </row>
    <row r="664" spans="1:17" x14ac:dyDescent="0.2">
      <c r="A664" s="4" t="s">
        <v>87</v>
      </c>
      <c r="B664" s="4">
        <v>2014</v>
      </c>
      <c r="C664" s="4" t="s">
        <v>50</v>
      </c>
      <c r="D664" s="4">
        <v>3</v>
      </c>
      <c r="E664" s="4">
        <v>18</v>
      </c>
      <c r="F664" s="4">
        <v>3</v>
      </c>
      <c r="G664" s="6" t="str">
        <f t="shared" si="23"/>
        <v>183</v>
      </c>
      <c r="H664" s="5">
        <v>5</v>
      </c>
      <c r="I664" s="5">
        <v>206.32342616470589</v>
      </c>
      <c r="J664" s="5">
        <v>12949.382319208129</v>
      </c>
      <c r="K664" s="5">
        <v>7.5</v>
      </c>
      <c r="L664" s="5">
        <v>197.00707692100801</v>
      </c>
      <c r="M664" s="5">
        <v>12364.664575719307</v>
      </c>
      <c r="N664" s="5">
        <v>33.333333333333329</v>
      </c>
      <c r="O664" s="5">
        <v>9.3163492436978856</v>
      </c>
      <c r="P664" s="5">
        <v>584.71774348882172</v>
      </c>
      <c r="Q664" s="5">
        <v>4.7289414112942572</v>
      </c>
    </row>
    <row r="665" spans="1:17" x14ac:dyDescent="0.2">
      <c r="A665" s="4" t="s">
        <v>87</v>
      </c>
      <c r="B665" s="4">
        <v>2014</v>
      </c>
      <c r="C665" s="4" t="s">
        <v>50</v>
      </c>
      <c r="D665" s="4">
        <v>4</v>
      </c>
      <c r="E665" s="4">
        <v>18</v>
      </c>
      <c r="F665" s="4">
        <v>3</v>
      </c>
      <c r="G665" s="6" t="str">
        <f t="shared" si="23"/>
        <v>183</v>
      </c>
      <c r="H665" s="5">
        <v>10</v>
      </c>
      <c r="I665" s="5">
        <v>204.84097321008406</v>
      </c>
      <c r="J665" s="5">
        <v>12856.339806118445</v>
      </c>
      <c r="K665" s="5">
        <v>12.5</v>
      </c>
      <c r="L665" s="5">
        <v>198.94150697142859</v>
      </c>
      <c r="M665" s="5">
        <v>12486.074319432386</v>
      </c>
      <c r="N665" s="5">
        <v>20</v>
      </c>
      <c r="O665" s="5">
        <v>5.8994662386554637</v>
      </c>
      <c r="P665" s="5">
        <v>370.26548668605938</v>
      </c>
      <c r="Q665" s="5">
        <v>2.9654275412233133</v>
      </c>
    </row>
    <row r="666" spans="1:17" x14ac:dyDescent="0.2">
      <c r="A666" s="4" t="s">
        <v>77</v>
      </c>
      <c r="B666" s="25">
        <v>2014</v>
      </c>
      <c r="C666" s="25" t="s">
        <v>50</v>
      </c>
      <c r="D666" s="26">
        <v>1</v>
      </c>
      <c r="E666" s="26">
        <v>19</v>
      </c>
      <c r="F666" s="26">
        <v>3</v>
      </c>
      <c r="G666" s="6" t="str">
        <f t="shared" si="23"/>
        <v>193</v>
      </c>
      <c r="H666" s="5">
        <v>12.666666666666666</v>
      </c>
      <c r="I666" s="5">
        <v>224.37780635464264</v>
      </c>
      <c r="J666" s="5">
        <v>14082.52108082017</v>
      </c>
      <c r="K666" s="5">
        <v>5</v>
      </c>
      <c r="L666" s="5">
        <v>203.90911865546201</v>
      </c>
      <c r="M666" s="5">
        <v>12797.854247217037</v>
      </c>
      <c r="N666" s="5">
        <v>-153.33333333333331</v>
      </c>
      <c r="O666" s="5">
        <v>20.468687699180634</v>
      </c>
      <c r="P666" s="5">
        <v>1284.6668336031325</v>
      </c>
      <c r="Q666" s="5">
        <v>10.038142400961398</v>
      </c>
    </row>
    <row r="667" spans="1:17" x14ac:dyDescent="0.2">
      <c r="A667" s="4" t="s">
        <v>77</v>
      </c>
      <c r="B667" s="25">
        <v>2014</v>
      </c>
      <c r="C667" s="25" t="s">
        <v>50</v>
      </c>
      <c r="D667" s="26">
        <v>2</v>
      </c>
      <c r="E667" s="26">
        <v>19</v>
      </c>
      <c r="F667" s="26">
        <v>3</v>
      </c>
      <c r="G667" s="6" t="str">
        <f t="shared" si="23"/>
        <v>193</v>
      </c>
      <c r="H667" s="5">
        <v>11</v>
      </c>
      <c r="I667" s="5">
        <v>220.51163269950698</v>
      </c>
      <c r="J667" s="5">
        <v>13839.870201550475</v>
      </c>
      <c r="K667" s="5">
        <v>31.6666666666667</v>
      </c>
      <c r="L667" s="5">
        <v>233.849114621849</v>
      </c>
      <c r="M667" s="5">
        <v>14676.964446244043</v>
      </c>
      <c r="N667" s="5">
        <v>65.263157894736878</v>
      </c>
      <c r="O667" s="5">
        <v>-13.337481922342022</v>
      </c>
      <c r="P667" s="5">
        <v>-837.09424469356782</v>
      </c>
      <c r="Q667" s="5">
        <v>-5.703456240965326</v>
      </c>
    </row>
    <row r="668" spans="1:17" x14ac:dyDescent="0.2">
      <c r="A668" s="4" t="s">
        <v>77</v>
      </c>
      <c r="B668" s="25">
        <v>2014</v>
      </c>
      <c r="C668" s="25" t="s">
        <v>50</v>
      </c>
      <c r="D668" s="26">
        <v>3</v>
      </c>
      <c r="E668" s="26">
        <v>19</v>
      </c>
      <c r="F668" s="26">
        <v>3</v>
      </c>
      <c r="G668" s="6" t="str">
        <f t="shared" si="23"/>
        <v>193</v>
      </c>
      <c r="H668" s="5">
        <v>11.666666666666666</v>
      </c>
      <c r="I668" s="5">
        <v>231.91973581126396</v>
      </c>
      <c r="J668" s="5">
        <v>14555.871731173967</v>
      </c>
      <c r="K668" s="5">
        <v>10</v>
      </c>
      <c r="L668" s="5">
        <v>216.62039332828201</v>
      </c>
      <c r="M668" s="5">
        <v>13595.646134268256</v>
      </c>
      <c r="N668" s="5">
        <v>-16.666666666666661</v>
      </c>
      <c r="O668" s="5">
        <v>15.299342482981956</v>
      </c>
      <c r="P668" s="5">
        <v>960.22559690571143</v>
      </c>
      <c r="Q668" s="5">
        <v>7.0627433769803138</v>
      </c>
    </row>
    <row r="669" spans="1:17" x14ac:dyDescent="0.2">
      <c r="A669" s="4" t="s">
        <v>77</v>
      </c>
      <c r="B669" s="25">
        <v>2014</v>
      </c>
      <c r="C669" s="25" t="s">
        <v>50</v>
      </c>
      <c r="D669" s="26">
        <v>4</v>
      </c>
      <c r="E669" s="26">
        <v>19</v>
      </c>
      <c r="F669" s="26">
        <v>3</v>
      </c>
      <c r="G669" s="6" t="str">
        <f t="shared" si="23"/>
        <v>193</v>
      </c>
      <c r="H669" s="5">
        <v>5.333333333333333</v>
      </c>
      <c r="I669" s="5">
        <v>209.73218407950981</v>
      </c>
      <c r="J669" s="5">
        <v>13163.324624708546</v>
      </c>
      <c r="K669" s="5">
        <v>18.3333333333333</v>
      </c>
      <c r="L669" s="5">
        <v>214.28523421746999</v>
      </c>
      <c r="M669" s="5">
        <v>13449.085616811806</v>
      </c>
      <c r="N669" s="5">
        <v>70.909090909090864</v>
      </c>
      <c r="O669" s="5">
        <v>-4.5530501379601844</v>
      </c>
      <c r="P669" s="5">
        <v>-285.76099210325992</v>
      </c>
      <c r="Q669" s="5">
        <v>-2.1247614911905175</v>
      </c>
    </row>
    <row r="670" spans="1:17" x14ac:dyDescent="0.2">
      <c r="A670" s="4" t="s">
        <v>86</v>
      </c>
      <c r="B670" s="25">
        <v>2014</v>
      </c>
      <c r="C670" s="25" t="s">
        <v>50</v>
      </c>
      <c r="D670" s="25">
        <v>1</v>
      </c>
      <c r="E670" s="25">
        <v>19</v>
      </c>
      <c r="F670" s="25">
        <v>3</v>
      </c>
      <c r="G670" s="6" t="str">
        <f t="shared" si="23"/>
        <v>193</v>
      </c>
      <c r="H670" s="5">
        <v>0</v>
      </c>
      <c r="I670" s="5">
        <v>143.85049411764709</v>
      </c>
      <c r="J670" s="5">
        <v>9028.4224131164719</v>
      </c>
      <c r="K670" s="5">
        <v>0</v>
      </c>
      <c r="L670" s="5" t="s">
        <v>97</v>
      </c>
      <c r="M670" s="5" t="s">
        <v>97</v>
      </c>
      <c r="N670" s="5" t="s">
        <v>97</v>
      </c>
      <c r="O670" s="5" t="s">
        <v>97</v>
      </c>
      <c r="P670" s="5" t="s">
        <v>97</v>
      </c>
      <c r="Q670" s="5" t="s">
        <v>97</v>
      </c>
    </row>
    <row r="671" spans="1:17" x14ac:dyDescent="0.2">
      <c r="A671" s="4" t="s">
        <v>86</v>
      </c>
      <c r="B671" s="25">
        <v>2014</v>
      </c>
      <c r="C671" s="25" t="s">
        <v>50</v>
      </c>
      <c r="D671" s="25">
        <v>2</v>
      </c>
      <c r="E671" s="25">
        <v>19</v>
      </c>
      <c r="F671" s="25">
        <v>3</v>
      </c>
      <c r="G671" s="6" t="str">
        <f t="shared" si="23"/>
        <v>193</v>
      </c>
      <c r="H671" s="5">
        <v>0</v>
      </c>
      <c r="I671" s="5">
        <v>176.21301176470587</v>
      </c>
      <c r="J671" s="5">
        <v>11059.576226398638</v>
      </c>
      <c r="K671" s="5">
        <v>0</v>
      </c>
      <c r="L671" s="5">
        <v>141.80000000000001</v>
      </c>
      <c r="M671" s="5">
        <v>8899.7281937237458</v>
      </c>
      <c r="N671" s="5" t="s">
        <v>97</v>
      </c>
      <c r="O671" s="5">
        <v>34.413011764705857</v>
      </c>
      <c r="P671" s="5">
        <v>2159.8480326748922</v>
      </c>
      <c r="Q671" s="5">
        <v>24.26869659006055</v>
      </c>
    </row>
    <row r="672" spans="1:17" x14ac:dyDescent="0.2">
      <c r="A672" s="4" t="s">
        <v>86</v>
      </c>
      <c r="B672" s="25">
        <v>2014</v>
      </c>
      <c r="C672" s="25" t="s">
        <v>50</v>
      </c>
      <c r="D672" s="25">
        <v>3</v>
      </c>
      <c r="E672" s="25">
        <v>19</v>
      </c>
      <c r="F672" s="25">
        <v>3</v>
      </c>
      <c r="G672" s="6" t="str">
        <f t="shared" si="23"/>
        <v>193</v>
      </c>
      <c r="H672" s="5">
        <v>0</v>
      </c>
      <c r="I672" s="5">
        <v>151.67225949579833</v>
      </c>
      <c r="J672" s="5">
        <v>9519.3362767315975</v>
      </c>
      <c r="K672" s="5">
        <v>0</v>
      </c>
      <c r="L672" s="5">
        <v>147.9</v>
      </c>
      <c r="M672" s="5">
        <v>9282.5796886582648</v>
      </c>
      <c r="N672" s="5" t="s">
        <v>97</v>
      </c>
      <c r="O672" s="5">
        <v>3.7722594957983233</v>
      </c>
      <c r="P672" s="5">
        <v>236.75658807333275</v>
      </c>
      <c r="Q672" s="5">
        <v>2.5505473264356575</v>
      </c>
    </row>
    <row r="673" spans="1:17" x14ac:dyDescent="0.2">
      <c r="A673" s="4" t="s">
        <v>86</v>
      </c>
      <c r="B673" s="25">
        <v>2014</v>
      </c>
      <c r="C673" s="25" t="s">
        <v>50</v>
      </c>
      <c r="D673" s="25">
        <v>4</v>
      </c>
      <c r="E673" s="25">
        <v>19</v>
      </c>
      <c r="F673" s="25">
        <v>3</v>
      </c>
      <c r="G673" s="6" t="str">
        <f t="shared" si="23"/>
        <v>193</v>
      </c>
      <c r="H673" s="5">
        <v>0</v>
      </c>
      <c r="I673" s="5">
        <v>152.55810151260505</v>
      </c>
      <c r="J673" s="5">
        <v>9574.9339718808205</v>
      </c>
      <c r="K673" s="5">
        <v>0</v>
      </c>
      <c r="L673" s="5">
        <v>158.6</v>
      </c>
      <c r="M673" s="5">
        <v>9954.138868297503</v>
      </c>
      <c r="N673" s="5" t="s">
        <v>97</v>
      </c>
      <c r="O673" s="5">
        <v>-6.0418984873949455</v>
      </c>
      <c r="P673" s="5">
        <v>-379.20489641668246</v>
      </c>
      <c r="Q673" s="5">
        <v>-3.8095198533385486</v>
      </c>
    </row>
    <row r="674" spans="1:17" x14ac:dyDescent="0.2">
      <c r="A674" s="4" t="s">
        <v>51</v>
      </c>
      <c r="B674" s="25">
        <v>2014</v>
      </c>
      <c r="C674" s="25" t="s">
        <v>50</v>
      </c>
      <c r="D674" s="25">
        <v>1</v>
      </c>
      <c r="E674" s="25">
        <v>19</v>
      </c>
      <c r="F674" s="25">
        <v>3</v>
      </c>
      <c r="G674" s="6" t="str">
        <f t="shared" si="23"/>
        <v>193</v>
      </c>
      <c r="H674" s="5">
        <v>5</v>
      </c>
      <c r="I674" s="5">
        <v>113.69160000000001</v>
      </c>
      <c r="J674" s="5">
        <v>7135.573610081542</v>
      </c>
      <c r="K674" s="5">
        <v>11.6666666666667</v>
      </c>
      <c r="L674" s="5">
        <v>201.86765546218501</v>
      </c>
      <c r="M674" s="5">
        <v>12669.726831577709</v>
      </c>
      <c r="N674" s="5">
        <v>57.14285714285726</v>
      </c>
      <c r="O674" s="5">
        <v>-88.176055462185005</v>
      </c>
      <c r="P674" s="5">
        <v>-5534.1532214961671</v>
      </c>
      <c r="Q674" s="5">
        <v>-43.680130558955561</v>
      </c>
    </row>
    <row r="675" spans="1:17" x14ac:dyDescent="0.2">
      <c r="A675" s="4" t="s">
        <v>51</v>
      </c>
      <c r="B675" s="25">
        <v>2014</v>
      </c>
      <c r="C675" s="25" t="s">
        <v>50</v>
      </c>
      <c r="D675" s="25">
        <v>2</v>
      </c>
      <c r="E675" s="25">
        <v>19</v>
      </c>
      <c r="F675" s="25">
        <v>3</v>
      </c>
      <c r="G675" s="6" t="str">
        <f t="shared" si="23"/>
        <v>193</v>
      </c>
      <c r="H675" s="5">
        <v>5</v>
      </c>
      <c r="I675" s="5">
        <v>195.46177310924367</v>
      </c>
      <c r="J675" s="5">
        <v>12267.677383184555</v>
      </c>
      <c r="K675" s="5">
        <v>13.3333333333333</v>
      </c>
      <c r="L675" s="5">
        <v>183.37661848739501</v>
      </c>
      <c r="M675" s="5">
        <v>11509.182380973149</v>
      </c>
      <c r="N675" s="5">
        <v>62.499999999999915</v>
      </c>
      <c r="O675" s="5">
        <v>12.085154621848659</v>
      </c>
      <c r="P675" s="5">
        <v>758.49500221140624</v>
      </c>
      <c r="Q675" s="5">
        <v>6.5903465346534222</v>
      </c>
    </row>
    <row r="676" spans="1:17" x14ac:dyDescent="0.2">
      <c r="A676" s="4" t="s">
        <v>51</v>
      </c>
      <c r="B676" s="25">
        <v>2014</v>
      </c>
      <c r="C676" s="25" t="s">
        <v>50</v>
      </c>
      <c r="D676" s="25">
        <v>3</v>
      </c>
      <c r="E676" s="25">
        <v>19</v>
      </c>
      <c r="F676" s="25">
        <v>3</v>
      </c>
      <c r="G676" s="6" t="str">
        <f t="shared" si="23"/>
        <v>193</v>
      </c>
      <c r="H676" s="5">
        <v>4.333333333333333</v>
      </c>
      <c r="I676" s="5">
        <v>172.07206638655464</v>
      </c>
      <c r="J676" s="5">
        <v>10799.679975830215</v>
      </c>
      <c r="K676" s="5">
        <v>11.6666666666667</v>
      </c>
      <c r="L676" s="5">
        <v>198.146752941176</v>
      </c>
      <c r="M676" s="5">
        <v>12436.193537696739</v>
      </c>
      <c r="N676" s="5">
        <v>62.857142857142968</v>
      </c>
      <c r="O676" s="5">
        <v>-26.074686554621366</v>
      </c>
      <c r="P676" s="5">
        <v>-1636.5135618665245</v>
      </c>
      <c r="Q676" s="5">
        <v>-13.159280264543206</v>
      </c>
    </row>
    <row r="677" spans="1:17" x14ac:dyDescent="0.2">
      <c r="A677" s="4" t="s">
        <v>51</v>
      </c>
      <c r="B677" s="25">
        <v>2014</v>
      </c>
      <c r="C677" s="25" t="s">
        <v>50</v>
      </c>
      <c r="D677" s="25">
        <v>4</v>
      </c>
      <c r="E677" s="25">
        <v>19</v>
      </c>
      <c r="F677" s="25">
        <v>3</v>
      </c>
      <c r="G677" s="6" t="str">
        <f t="shared" si="23"/>
        <v>193</v>
      </c>
      <c r="H677" s="5">
        <v>5</v>
      </c>
      <c r="I677" s="5">
        <v>212.37055714285714</v>
      </c>
      <c r="J677" s="5">
        <v>13328.915620036005</v>
      </c>
      <c r="K677" s="5">
        <v>11.6666666666667</v>
      </c>
      <c r="L677" s="5">
        <v>193.20141176470599</v>
      </c>
      <c r="M677" s="5">
        <v>12125.811363537268</v>
      </c>
      <c r="N677" s="5">
        <v>57.14285714285726</v>
      </c>
      <c r="O677" s="5">
        <v>19.169145378151143</v>
      </c>
      <c r="P677" s="5">
        <v>1203.1042564987365</v>
      </c>
      <c r="Q677" s="5">
        <v>9.9218453959832527</v>
      </c>
    </row>
    <row r="678" spans="1:17" x14ac:dyDescent="0.2">
      <c r="A678" s="4" t="s">
        <v>80</v>
      </c>
      <c r="B678" s="25">
        <v>2014</v>
      </c>
      <c r="C678" s="25" t="s">
        <v>50</v>
      </c>
      <c r="D678" s="25">
        <v>1</v>
      </c>
      <c r="E678" s="25">
        <v>19</v>
      </c>
      <c r="F678" s="25">
        <v>3</v>
      </c>
      <c r="G678" s="6" t="str">
        <f t="shared" si="23"/>
        <v>193</v>
      </c>
      <c r="H678" s="5">
        <v>36.666666666666664</v>
      </c>
      <c r="I678" s="5">
        <v>212.09335716406648</v>
      </c>
      <c r="J678" s="5">
        <v>13311.517845236689</v>
      </c>
      <c r="K678" s="5">
        <v>13.3333333333333</v>
      </c>
      <c r="L678" s="5">
        <v>195.65573825486001</v>
      </c>
      <c r="M678" s="5">
        <v>12279.851128424621</v>
      </c>
      <c r="N678" s="5">
        <v>-175.00000000000065</v>
      </c>
      <c r="O678" s="5">
        <v>16.437618909206464</v>
      </c>
      <c r="P678" s="5">
        <v>1031.6667168120675</v>
      </c>
      <c r="Q678" s="5">
        <v>8.4012966120088439</v>
      </c>
    </row>
    <row r="679" spans="1:17" x14ac:dyDescent="0.2">
      <c r="A679" s="4" t="s">
        <v>80</v>
      </c>
      <c r="B679" s="25">
        <v>2014</v>
      </c>
      <c r="C679" s="25" t="s">
        <v>50</v>
      </c>
      <c r="D679" s="25">
        <v>2</v>
      </c>
      <c r="E679" s="25">
        <v>19</v>
      </c>
      <c r="F679" s="25">
        <v>3</v>
      </c>
      <c r="G679" s="6" t="str">
        <f t="shared" si="23"/>
        <v>193</v>
      </c>
      <c r="H679" s="5">
        <v>61.666666666666664</v>
      </c>
      <c r="I679" s="5">
        <v>212.46300153385133</v>
      </c>
      <c r="J679" s="5">
        <v>13334.717664837715</v>
      </c>
      <c r="K679" s="5">
        <v>26.6666666666667</v>
      </c>
      <c r="L679" s="5">
        <v>200.14342489396401</v>
      </c>
      <c r="M679" s="5">
        <v>12561.509741306365</v>
      </c>
      <c r="N679" s="5">
        <v>-131.24999999999972</v>
      </c>
      <c r="O679" s="5">
        <v>12.319576639887316</v>
      </c>
      <c r="P679" s="5">
        <v>773.20792353135039</v>
      </c>
      <c r="Q679" s="5">
        <v>6.1553741505194157</v>
      </c>
    </row>
    <row r="680" spans="1:17" x14ac:dyDescent="0.2">
      <c r="A680" s="4" t="s">
        <v>80</v>
      </c>
      <c r="B680" s="25">
        <v>2014</v>
      </c>
      <c r="C680" s="25" t="s">
        <v>50</v>
      </c>
      <c r="D680" s="25">
        <v>3</v>
      </c>
      <c r="E680" s="25">
        <v>19</v>
      </c>
      <c r="F680" s="25">
        <v>3</v>
      </c>
      <c r="G680" s="6" t="str">
        <f t="shared" si="23"/>
        <v>193</v>
      </c>
      <c r="H680" s="5">
        <v>45</v>
      </c>
      <c r="I680" s="5">
        <v>237.33047876322885</v>
      </c>
      <c r="J680" s="5">
        <v>14895.463702955307</v>
      </c>
      <c r="K680" s="5">
        <v>13.3333333333333</v>
      </c>
      <c r="L680" s="5">
        <v>225.624535736848</v>
      </c>
      <c r="M680" s="5">
        <v>14160.768983731008</v>
      </c>
      <c r="N680" s="5">
        <v>-237.50000000000085</v>
      </c>
      <c r="O680" s="5">
        <v>11.705943026380851</v>
      </c>
      <c r="P680" s="5">
        <v>734.69471922429875</v>
      </c>
      <c r="Q680" s="5">
        <v>5.1882402718974738</v>
      </c>
    </row>
    <row r="681" spans="1:17" x14ac:dyDescent="0.2">
      <c r="A681" s="4" t="s">
        <v>80</v>
      </c>
      <c r="B681" s="25">
        <v>2014</v>
      </c>
      <c r="C681" s="25" t="s">
        <v>50</v>
      </c>
      <c r="D681" s="25">
        <v>4</v>
      </c>
      <c r="E681" s="25">
        <v>19</v>
      </c>
      <c r="F681" s="25">
        <v>3</v>
      </c>
      <c r="G681" s="6" t="str">
        <f t="shared" si="23"/>
        <v>193</v>
      </c>
      <c r="H681" s="5">
        <v>30</v>
      </c>
      <c r="I681" s="5">
        <v>226.35028893019802</v>
      </c>
      <c r="J681" s="5">
        <v>14206.319097669952</v>
      </c>
      <c r="K681" s="5">
        <v>41.6666666666667</v>
      </c>
      <c r="L681" s="5">
        <v>227.772361535382</v>
      </c>
      <c r="M681" s="5">
        <v>14295.571986653578</v>
      </c>
      <c r="N681" s="5">
        <v>28.000000000000057</v>
      </c>
      <c r="O681" s="5">
        <v>-1.4220726051839847</v>
      </c>
      <c r="P681" s="5">
        <v>-89.25288898362669</v>
      </c>
      <c r="Q681" s="5">
        <v>-0.62433940430612822</v>
      </c>
    </row>
    <row r="682" spans="1:17" x14ac:dyDescent="0.2">
      <c r="A682" s="4" t="s">
        <v>87</v>
      </c>
      <c r="B682" s="4">
        <v>2014</v>
      </c>
      <c r="C682" s="4" t="s">
        <v>50</v>
      </c>
      <c r="D682" s="4">
        <v>1</v>
      </c>
      <c r="E682" s="4">
        <v>19</v>
      </c>
      <c r="F682" s="4">
        <v>3</v>
      </c>
      <c r="G682" s="6" t="str">
        <f t="shared" si="23"/>
        <v>193</v>
      </c>
      <c r="H682" s="5">
        <v>1</v>
      </c>
      <c r="I682" s="5">
        <v>202.86736112268906</v>
      </c>
      <c r="J682" s="5">
        <v>12732.470898236477</v>
      </c>
      <c r="K682" s="5">
        <v>10.5</v>
      </c>
      <c r="L682" s="5">
        <v>198.27910945210101</v>
      </c>
      <c r="M682" s="5">
        <v>12444.500568528207</v>
      </c>
      <c r="N682" s="5">
        <v>90.476190476190482</v>
      </c>
      <c r="O682" s="5">
        <v>4.5882516705880505</v>
      </c>
      <c r="P682" s="5">
        <v>287.97032970827058</v>
      </c>
      <c r="Q682" s="5">
        <v>2.3140368560594506</v>
      </c>
    </row>
    <row r="683" spans="1:17" x14ac:dyDescent="0.2">
      <c r="A683" s="4" t="s">
        <v>87</v>
      </c>
      <c r="B683" s="4">
        <v>2014</v>
      </c>
      <c r="C683" s="4" t="s">
        <v>50</v>
      </c>
      <c r="D683" s="4">
        <v>2</v>
      </c>
      <c r="E683" s="4">
        <v>19</v>
      </c>
      <c r="F683" s="4">
        <v>3</v>
      </c>
      <c r="G683" s="6" t="str">
        <f t="shared" si="23"/>
        <v>193</v>
      </c>
      <c r="H683" s="5">
        <v>1</v>
      </c>
      <c r="I683" s="5">
        <v>211.13209875630255</v>
      </c>
      <c r="J683" s="5">
        <v>13251.186825821806</v>
      </c>
      <c r="K683" s="5">
        <v>12.5</v>
      </c>
      <c r="L683" s="5">
        <v>195.36490518655501</v>
      </c>
      <c r="M683" s="5">
        <v>12261.597706297251</v>
      </c>
      <c r="N683" s="5">
        <v>92</v>
      </c>
      <c r="O683" s="5">
        <v>15.767193569747548</v>
      </c>
      <c r="P683" s="5">
        <v>989.58911952455492</v>
      </c>
      <c r="Q683" s="5">
        <v>8.0706376381629834</v>
      </c>
    </row>
    <row r="684" spans="1:17" x14ac:dyDescent="0.2">
      <c r="A684" s="4" t="s">
        <v>87</v>
      </c>
      <c r="B684" s="4">
        <v>2014</v>
      </c>
      <c r="C684" s="4" t="s">
        <v>50</v>
      </c>
      <c r="D684" s="4">
        <v>3</v>
      </c>
      <c r="E684" s="4">
        <v>19</v>
      </c>
      <c r="F684" s="4">
        <v>3</v>
      </c>
      <c r="G684" s="6" t="str">
        <f t="shared" si="23"/>
        <v>193</v>
      </c>
      <c r="H684" s="5">
        <v>5</v>
      </c>
      <c r="I684" s="5">
        <v>206.22344315294114</v>
      </c>
      <c r="J684" s="5">
        <v>12943.107131417606</v>
      </c>
      <c r="K684" s="5">
        <v>7.5</v>
      </c>
      <c r="L684" s="5">
        <v>197.00707692100801</v>
      </c>
      <c r="M684" s="5">
        <v>12364.664575719307</v>
      </c>
      <c r="N684" s="5">
        <v>33.333333333333329</v>
      </c>
      <c r="O684" s="5">
        <v>9.2163662319331365</v>
      </c>
      <c r="P684" s="5">
        <v>578.44255569829875</v>
      </c>
      <c r="Q684" s="5">
        <v>4.6781904365945826</v>
      </c>
    </row>
    <row r="685" spans="1:17" x14ac:dyDescent="0.2">
      <c r="A685" s="4" t="s">
        <v>87</v>
      </c>
      <c r="B685" s="4">
        <v>2014</v>
      </c>
      <c r="C685" s="4" t="s">
        <v>50</v>
      </c>
      <c r="D685" s="4">
        <v>4</v>
      </c>
      <c r="E685" s="4">
        <v>19</v>
      </c>
      <c r="F685" s="4">
        <v>3</v>
      </c>
      <c r="G685" s="6" t="str">
        <f t="shared" si="23"/>
        <v>193</v>
      </c>
      <c r="H685" s="5">
        <v>10</v>
      </c>
      <c r="I685" s="5">
        <v>205.29669866218489</v>
      </c>
      <c r="J685" s="5">
        <v>12884.942293104759</v>
      </c>
      <c r="K685" s="5">
        <v>12.5</v>
      </c>
      <c r="L685" s="5">
        <v>198.94150697142859</v>
      </c>
      <c r="M685" s="5">
        <v>12486.074319432386</v>
      </c>
      <c r="N685" s="5">
        <v>20</v>
      </c>
      <c r="O685" s="5">
        <v>6.3551916907562997</v>
      </c>
      <c r="P685" s="5">
        <v>398.86797367237341</v>
      </c>
      <c r="Q685" s="5">
        <v>3.1945026392451092</v>
      </c>
    </row>
    <row r="686" spans="1:17" x14ac:dyDescent="0.2">
      <c r="A686" s="4" t="s">
        <v>73</v>
      </c>
      <c r="B686" s="4">
        <v>2014</v>
      </c>
      <c r="C686" s="4" t="s">
        <v>72</v>
      </c>
      <c r="D686" s="4">
        <v>1</v>
      </c>
      <c r="E686" s="4">
        <v>1</v>
      </c>
      <c r="F686" s="4">
        <v>0</v>
      </c>
      <c r="G686" s="6" t="str">
        <f t="shared" si="23"/>
        <v>10</v>
      </c>
      <c r="H686" s="5">
        <v>5.4</v>
      </c>
      <c r="I686" s="5">
        <v>191.24</v>
      </c>
      <c r="J686" s="5">
        <v>12002.70817889795</v>
      </c>
      <c r="K686" s="5">
        <v>5.4</v>
      </c>
      <c r="L686" s="5">
        <v>191.24</v>
      </c>
      <c r="M686" s="5">
        <v>12002.70817889795</v>
      </c>
      <c r="N686" s="5">
        <v>0</v>
      </c>
      <c r="O686" s="5">
        <v>0</v>
      </c>
      <c r="P686" s="5">
        <v>0</v>
      </c>
      <c r="Q686" s="5">
        <v>0</v>
      </c>
    </row>
    <row r="687" spans="1:17" x14ac:dyDescent="0.2">
      <c r="A687" s="4" t="s">
        <v>73</v>
      </c>
      <c r="B687" s="4">
        <v>2014</v>
      </c>
      <c r="C687" s="4" t="s">
        <v>72</v>
      </c>
      <c r="D687" s="4">
        <v>2</v>
      </c>
      <c r="E687" s="4">
        <v>1</v>
      </c>
      <c r="F687" s="4">
        <v>0</v>
      </c>
      <c r="G687" s="6" t="str">
        <f t="shared" si="23"/>
        <v>10</v>
      </c>
      <c r="H687" s="5">
        <v>4.4000000000000004</v>
      </c>
      <c r="I687" s="5">
        <v>184.46</v>
      </c>
      <c r="J687" s="5">
        <v>11577.178156659254</v>
      </c>
      <c r="K687" s="5">
        <v>4.4000000000000004</v>
      </c>
      <c r="L687" s="5">
        <v>184.46</v>
      </c>
      <c r="M687" s="5">
        <v>11577.178156659254</v>
      </c>
      <c r="N687" s="5">
        <v>0</v>
      </c>
      <c r="O687" s="5">
        <v>0</v>
      </c>
      <c r="P687" s="5">
        <v>0</v>
      </c>
      <c r="Q687" s="5">
        <v>0</v>
      </c>
    </row>
    <row r="688" spans="1:17" x14ac:dyDescent="0.2">
      <c r="A688" s="4" t="s">
        <v>73</v>
      </c>
      <c r="B688" s="4">
        <v>2014</v>
      </c>
      <c r="C688" s="4" t="s">
        <v>72</v>
      </c>
      <c r="D688" s="4">
        <v>3</v>
      </c>
      <c r="E688" s="4">
        <v>1</v>
      </c>
      <c r="F688" s="4">
        <v>0</v>
      </c>
      <c r="G688" s="6" t="str">
        <f t="shared" si="23"/>
        <v>10</v>
      </c>
      <c r="H688" s="5">
        <v>8.6</v>
      </c>
      <c r="I688" s="5">
        <v>186.44</v>
      </c>
      <c r="J688" s="5">
        <v>11701.44798616259</v>
      </c>
      <c r="K688" s="5">
        <v>8.6</v>
      </c>
      <c r="L688" s="5">
        <v>186.44</v>
      </c>
      <c r="M688" s="5">
        <v>11701.44798616259</v>
      </c>
      <c r="N688" s="5">
        <v>0</v>
      </c>
      <c r="O688" s="5">
        <v>0</v>
      </c>
      <c r="P688" s="5">
        <v>0</v>
      </c>
      <c r="Q688" s="5">
        <v>0</v>
      </c>
    </row>
    <row r="689" spans="1:17" s="7" customFormat="1" x14ac:dyDescent="0.2">
      <c r="A689" s="7" t="s">
        <v>73</v>
      </c>
      <c r="B689" s="7">
        <v>2014</v>
      </c>
      <c r="C689" s="7" t="s">
        <v>72</v>
      </c>
      <c r="D689" s="7">
        <v>4</v>
      </c>
      <c r="E689" s="7">
        <v>1</v>
      </c>
      <c r="F689" s="7">
        <v>0</v>
      </c>
      <c r="G689" s="6" t="str">
        <f t="shared" si="23"/>
        <v>10</v>
      </c>
      <c r="H689" s="9">
        <v>7</v>
      </c>
      <c r="I689" s="9">
        <v>217.17</v>
      </c>
      <c r="J689" s="9">
        <v>13630.140845070422</v>
      </c>
      <c r="K689" s="9">
        <v>7</v>
      </c>
      <c r="L689" s="9">
        <v>217.17</v>
      </c>
      <c r="M689" s="9">
        <v>13630.140845070422</v>
      </c>
      <c r="N689" s="9">
        <v>0</v>
      </c>
      <c r="O689" s="9">
        <v>0</v>
      </c>
      <c r="P689" s="9">
        <v>0</v>
      </c>
      <c r="Q689" s="9">
        <v>0</v>
      </c>
    </row>
    <row r="690" spans="1:17" x14ac:dyDescent="0.2">
      <c r="A690" s="4" t="s">
        <v>73</v>
      </c>
      <c r="B690" s="4">
        <v>2014</v>
      </c>
      <c r="C690" s="4" t="s">
        <v>72</v>
      </c>
      <c r="D690" s="4">
        <v>1</v>
      </c>
      <c r="E690" s="4">
        <v>2</v>
      </c>
      <c r="F690" s="4">
        <v>1</v>
      </c>
      <c r="G690" s="6" t="str">
        <f t="shared" si="23"/>
        <v>21</v>
      </c>
      <c r="H690" s="5">
        <v>4.5999999999999996</v>
      </c>
      <c r="I690" s="5">
        <v>196.78</v>
      </c>
      <c r="J690" s="5">
        <v>12350.412651346676</v>
      </c>
      <c r="K690" s="5">
        <v>5.4</v>
      </c>
      <c r="L690" s="5">
        <v>191.24</v>
      </c>
      <c r="M690" s="5">
        <v>12002.70817889795</v>
      </c>
      <c r="N690" s="5">
        <v>14.814814814814827</v>
      </c>
      <c r="O690" s="5">
        <v>5.539999999999992</v>
      </c>
      <c r="P690" s="5">
        <v>347.70447244872594</v>
      </c>
      <c r="Q690" s="5">
        <v>2.8968834971763098</v>
      </c>
    </row>
    <row r="691" spans="1:17" x14ac:dyDescent="0.2">
      <c r="A691" s="4" t="s">
        <v>73</v>
      </c>
      <c r="B691" s="4">
        <v>2014</v>
      </c>
      <c r="C691" s="4" t="s">
        <v>72</v>
      </c>
      <c r="D691" s="4">
        <v>2</v>
      </c>
      <c r="E691" s="4">
        <v>2</v>
      </c>
      <c r="F691" s="4">
        <v>1</v>
      </c>
      <c r="G691" s="6" t="str">
        <f t="shared" si="23"/>
        <v>21</v>
      </c>
      <c r="H691" s="5">
        <v>7.4</v>
      </c>
      <c r="I691" s="5">
        <v>200.65</v>
      </c>
      <c r="J691" s="5">
        <v>12593.30368173956</v>
      </c>
      <c r="K691" s="5">
        <v>4.4000000000000004</v>
      </c>
      <c r="L691" s="5">
        <v>184.46</v>
      </c>
      <c r="M691" s="5">
        <v>11577.178156659254</v>
      </c>
      <c r="N691" s="5">
        <v>-68.181818181818173</v>
      </c>
      <c r="O691" s="5">
        <v>16.189999999999998</v>
      </c>
      <c r="P691" s="5">
        <v>1016.125525080306</v>
      </c>
      <c r="Q691" s="5">
        <v>8.7769706169359161</v>
      </c>
    </row>
    <row r="692" spans="1:17" x14ac:dyDescent="0.2">
      <c r="A692" s="4" t="s">
        <v>73</v>
      </c>
      <c r="B692" s="4">
        <v>2014</v>
      </c>
      <c r="C692" s="4" t="s">
        <v>72</v>
      </c>
      <c r="D692" s="4">
        <v>3</v>
      </c>
      <c r="E692" s="4">
        <v>2</v>
      </c>
      <c r="F692" s="4">
        <v>1</v>
      </c>
      <c r="G692" s="6" t="str">
        <f t="shared" si="23"/>
        <v>21</v>
      </c>
      <c r="H692" s="5">
        <v>7.6</v>
      </c>
      <c r="I692" s="5">
        <v>181.87</v>
      </c>
      <c r="J692" s="5">
        <v>11414.623177662466</v>
      </c>
      <c r="K692" s="5">
        <v>8.6</v>
      </c>
      <c r="L692" s="5">
        <v>186.44</v>
      </c>
      <c r="M692" s="5">
        <v>11701.44798616259</v>
      </c>
      <c r="N692" s="5">
        <v>11.627906976744185</v>
      </c>
      <c r="O692" s="5">
        <v>-4.5699999999999932</v>
      </c>
      <c r="P692" s="5">
        <v>-286.82480850012325</v>
      </c>
      <c r="Q692" s="5">
        <v>-2.451190731602658</v>
      </c>
    </row>
    <row r="693" spans="1:17" x14ac:dyDescent="0.2">
      <c r="A693" s="4" t="s">
        <v>73</v>
      </c>
      <c r="B693" s="4">
        <v>2014</v>
      </c>
      <c r="C693" s="4" t="s">
        <v>72</v>
      </c>
      <c r="D693" s="4">
        <v>4</v>
      </c>
      <c r="E693" s="4">
        <v>2</v>
      </c>
      <c r="F693" s="4">
        <v>1</v>
      </c>
      <c r="G693" s="6" t="str">
        <f t="shared" si="23"/>
        <v>21</v>
      </c>
      <c r="H693" s="5">
        <v>8</v>
      </c>
      <c r="I693" s="5">
        <v>212.41</v>
      </c>
      <c r="J693" s="5">
        <v>13331.391153941191</v>
      </c>
      <c r="K693" s="5">
        <v>7</v>
      </c>
      <c r="L693" s="5">
        <v>217.17</v>
      </c>
      <c r="M693" s="5">
        <v>13630.140845070422</v>
      </c>
      <c r="N693" s="5">
        <v>-14.285714285714285</v>
      </c>
      <c r="O693" s="5">
        <v>-4.7599999999999909</v>
      </c>
      <c r="P693" s="5">
        <v>-298.749691129231</v>
      </c>
      <c r="Q693" s="5">
        <v>-2.19183128424736</v>
      </c>
    </row>
    <row r="694" spans="1:17" x14ac:dyDescent="0.2">
      <c r="A694" s="4" t="s">
        <v>73</v>
      </c>
      <c r="B694" s="4">
        <v>2014</v>
      </c>
      <c r="C694" s="4" t="s">
        <v>72</v>
      </c>
      <c r="D694" s="4">
        <v>1</v>
      </c>
      <c r="E694" s="4">
        <v>3</v>
      </c>
      <c r="F694" s="4">
        <v>1</v>
      </c>
      <c r="G694" s="6" t="str">
        <f t="shared" si="23"/>
        <v>31</v>
      </c>
      <c r="H694" s="5">
        <v>4</v>
      </c>
      <c r="I694" s="5">
        <v>194.53</v>
      </c>
      <c r="J694" s="5">
        <v>12209.196936001978</v>
      </c>
      <c r="K694" s="5">
        <v>5.4</v>
      </c>
      <c r="L694" s="5">
        <v>191.24</v>
      </c>
      <c r="M694" s="5">
        <v>12002.70817889795</v>
      </c>
      <c r="N694" s="5">
        <v>25.925925925925931</v>
      </c>
      <c r="O694" s="5">
        <v>3.289999999999992</v>
      </c>
      <c r="P694" s="5">
        <v>206.48875710402717</v>
      </c>
      <c r="Q694" s="5">
        <v>1.7203513909223966</v>
      </c>
    </row>
    <row r="695" spans="1:17" x14ac:dyDescent="0.2">
      <c r="A695" s="4" t="s">
        <v>73</v>
      </c>
      <c r="B695" s="4">
        <v>2014</v>
      </c>
      <c r="C695" s="4" t="s">
        <v>72</v>
      </c>
      <c r="D695" s="4">
        <v>2</v>
      </c>
      <c r="E695" s="4">
        <v>3</v>
      </c>
      <c r="F695" s="4">
        <v>1</v>
      </c>
      <c r="G695" s="6" t="str">
        <f t="shared" si="23"/>
        <v>31</v>
      </c>
      <c r="H695" s="5">
        <v>7</v>
      </c>
      <c r="I695" s="5">
        <v>194.01</v>
      </c>
      <c r="J695" s="5">
        <v>12176.560415122312</v>
      </c>
      <c r="K695" s="5">
        <v>4.4000000000000004</v>
      </c>
      <c r="L695" s="5">
        <v>184.46</v>
      </c>
      <c r="M695" s="5">
        <v>11577.178156659254</v>
      </c>
      <c r="N695" s="5">
        <v>-59.090909090909079</v>
      </c>
      <c r="O695" s="5">
        <v>9.5499999999999829</v>
      </c>
      <c r="P695" s="5">
        <v>599.38225846305795</v>
      </c>
      <c r="Q695" s="5">
        <v>5.1772742057898631</v>
      </c>
    </row>
    <row r="696" spans="1:17" x14ac:dyDescent="0.2">
      <c r="A696" s="4" t="s">
        <v>73</v>
      </c>
      <c r="B696" s="4">
        <v>2014</v>
      </c>
      <c r="C696" s="4" t="s">
        <v>72</v>
      </c>
      <c r="D696" s="4">
        <v>3</v>
      </c>
      <c r="E696" s="4">
        <v>3</v>
      </c>
      <c r="F696" s="4">
        <v>1</v>
      </c>
      <c r="G696" s="6" t="str">
        <f t="shared" si="23"/>
        <v>31</v>
      </c>
      <c r="H696" s="5">
        <v>6.4</v>
      </c>
      <c r="I696" s="5">
        <v>183.82</v>
      </c>
      <c r="J696" s="5">
        <v>11537.010130961206</v>
      </c>
      <c r="K696" s="5">
        <v>8.6</v>
      </c>
      <c r="L696" s="5">
        <v>186.44</v>
      </c>
      <c r="M696" s="5">
        <v>11701.44798616259</v>
      </c>
      <c r="N696" s="5">
        <v>25.581395348837205</v>
      </c>
      <c r="O696" s="5">
        <v>-2.6200000000000045</v>
      </c>
      <c r="P696" s="5">
        <v>-164.43785520138408</v>
      </c>
      <c r="Q696" s="5">
        <v>-1.4052778373739572</v>
      </c>
    </row>
    <row r="697" spans="1:17" x14ac:dyDescent="0.2">
      <c r="A697" s="4" t="s">
        <v>73</v>
      </c>
      <c r="B697" s="4">
        <v>2014</v>
      </c>
      <c r="C697" s="4" t="s">
        <v>72</v>
      </c>
      <c r="D697" s="4">
        <v>4</v>
      </c>
      <c r="E697" s="4">
        <v>3</v>
      </c>
      <c r="F697" s="4">
        <v>1</v>
      </c>
      <c r="G697" s="6" t="str">
        <f t="shared" si="23"/>
        <v>31</v>
      </c>
      <c r="H697" s="5">
        <v>7.6</v>
      </c>
      <c r="I697" s="5">
        <v>195.87</v>
      </c>
      <c r="J697" s="5">
        <v>12293.298739807266</v>
      </c>
      <c r="K697" s="5">
        <v>7</v>
      </c>
      <c r="L697" s="5">
        <v>217.17</v>
      </c>
      <c r="M697" s="5">
        <v>13630.140845070422</v>
      </c>
      <c r="N697" s="5">
        <v>-8.5714285714285658</v>
      </c>
      <c r="O697" s="5">
        <v>-21.299999999999983</v>
      </c>
      <c r="P697" s="5">
        <v>-1336.8421052631566</v>
      </c>
      <c r="Q697" s="5">
        <v>-9.8079845282497491</v>
      </c>
    </row>
    <row r="698" spans="1:17" x14ac:dyDescent="0.2">
      <c r="A698" s="4" t="s">
        <v>73</v>
      </c>
      <c r="B698" s="4">
        <v>2014</v>
      </c>
      <c r="C698" s="4" t="s">
        <v>72</v>
      </c>
      <c r="D698" s="4">
        <v>1</v>
      </c>
      <c r="E698" s="4">
        <v>4</v>
      </c>
      <c r="F698" s="4">
        <v>1</v>
      </c>
      <c r="G698" s="6" t="str">
        <f t="shared" si="23"/>
        <v>41</v>
      </c>
      <c r="H698" s="5">
        <v>4.5999999999999996</v>
      </c>
      <c r="I698" s="5">
        <v>185.83</v>
      </c>
      <c r="J698" s="5">
        <v>11663.162836669138</v>
      </c>
      <c r="K698" s="5">
        <v>5.4</v>
      </c>
      <c r="L698" s="5">
        <v>191.24</v>
      </c>
      <c r="M698" s="5">
        <v>12002.70817889795</v>
      </c>
      <c r="N698" s="5">
        <v>14.814814814814827</v>
      </c>
      <c r="O698" s="5">
        <v>-5.4099999999999966</v>
      </c>
      <c r="P698" s="5">
        <v>-339.54534222881193</v>
      </c>
      <c r="Q698" s="5">
        <v>-2.8289060865927667</v>
      </c>
    </row>
    <row r="699" spans="1:17" x14ac:dyDescent="0.2">
      <c r="A699" s="4" t="s">
        <v>73</v>
      </c>
      <c r="B699" s="4">
        <v>2014</v>
      </c>
      <c r="C699" s="4" t="s">
        <v>72</v>
      </c>
      <c r="D699" s="4">
        <v>2</v>
      </c>
      <c r="E699" s="4">
        <v>4</v>
      </c>
      <c r="F699" s="4">
        <v>1</v>
      </c>
      <c r="G699" s="6" t="str">
        <f t="shared" si="23"/>
        <v>41</v>
      </c>
      <c r="H699" s="5">
        <v>6.8</v>
      </c>
      <c r="I699" s="5">
        <v>166.68</v>
      </c>
      <c r="J699" s="5">
        <v>10461.260192735359</v>
      </c>
      <c r="K699" s="5">
        <v>4.4000000000000004</v>
      </c>
      <c r="L699" s="5">
        <v>184.46</v>
      </c>
      <c r="M699" s="5">
        <v>11577.178156659254</v>
      </c>
      <c r="N699" s="5">
        <v>-54.545454545454533</v>
      </c>
      <c r="O699" s="5">
        <v>-17.78</v>
      </c>
      <c r="P699" s="5">
        <v>-1115.9179639238955</v>
      </c>
      <c r="Q699" s="5">
        <v>-9.6389461129784344</v>
      </c>
    </row>
    <row r="700" spans="1:17" x14ac:dyDescent="0.2">
      <c r="A700" s="4" t="s">
        <v>73</v>
      </c>
      <c r="B700" s="4">
        <v>2014</v>
      </c>
      <c r="C700" s="4" t="s">
        <v>72</v>
      </c>
      <c r="D700" s="4">
        <v>3</v>
      </c>
      <c r="E700" s="4">
        <v>4</v>
      </c>
      <c r="F700" s="4">
        <v>1</v>
      </c>
      <c r="G700" s="6" t="str">
        <f t="shared" si="23"/>
        <v>41</v>
      </c>
      <c r="H700" s="5">
        <v>5</v>
      </c>
      <c r="I700" s="5">
        <v>204.28</v>
      </c>
      <c r="J700" s="5">
        <v>12821.131702495675</v>
      </c>
      <c r="K700" s="5">
        <v>8.6</v>
      </c>
      <c r="L700" s="5">
        <v>186.44</v>
      </c>
      <c r="M700" s="5">
        <v>11701.44798616259</v>
      </c>
      <c r="N700" s="5">
        <v>41.860465116279066</v>
      </c>
      <c r="O700" s="5">
        <v>17.840000000000003</v>
      </c>
      <c r="P700" s="5">
        <v>1119.6837163330856</v>
      </c>
      <c r="Q700" s="5">
        <v>9.5687620682256966</v>
      </c>
    </row>
    <row r="701" spans="1:17" x14ac:dyDescent="0.2">
      <c r="A701" s="4" t="s">
        <v>73</v>
      </c>
      <c r="B701" s="4">
        <v>2014</v>
      </c>
      <c r="C701" s="4" t="s">
        <v>72</v>
      </c>
      <c r="D701" s="4">
        <v>4</v>
      </c>
      <c r="E701" s="4">
        <v>4</v>
      </c>
      <c r="F701" s="4">
        <v>1</v>
      </c>
      <c r="G701" s="6" t="str">
        <f t="shared" si="23"/>
        <v>41</v>
      </c>
      <c r="H701" s="5">
        <v>6.6</v>
      </c>
      <c r="I701" s="5">
        <v>208.97</v>
      </c>
      <c r="J701" s="5">
        <v>13115.488015814182</v>
      </c>
      <c r="K701" s="5">
        <v>7</v>
      </c>
      <c r="L701" s="5">
        <v>217.17</v>
      </c>
      <c r="M701" s="5">
        <v>13630.140845070422</v>
      </c>
      <c r="N701" s="5">
        <v>5.7142857142857197</v>
      </c>
      <c r="O701" s="5">
        <v>-8.1999999999999886</v>
      </c>
      <c r="P701" s="5">
        <v>-514.65282925623978</v>
      </c>
      <c r="Q701" s="5">
        <v>-3.7758438089975641</v>
      </c>
    </row>
    <row r="702" spans="1:17" x14ac:dyDescent="0.2">
      <c r="A702" s="4" t="s">
        <v>73</v>
      </c>
      <c r="B702" s="4">
        <v>2014</v>
      </c>
      <c r="C702" s="4" t="s">
        <v>72</v>
      </c>
      <c r="D702" s="4">
        <v>1</v>
      </c>
      <c r="E702" s="4">
        <v>5</v>
      </c>
      <c r="F702" s="4">
        <v>1</v>
      </c>
      <c r="G702" s="6" t="str">
        <f t="shared" si="23"/>
        <v>51</v>
      </c>
      <c r="H702" s="5">
        <v>4</v>
      </c>
      <c r="I702" s="5">
        <v>184.44</v>
      </c>
      <c r="J702" s="5">
        <v>11575.922905856189</v>
      </c>
      <c r="K702" s="5">
        <v>5.4</v>
      </c>
      <c r="L702" s="5">
        <v>191.24</v>
      </c>
      <c r="M702" s="5">
        <v>12002.70817889795</v>
      </c>
      <c r="N702" s="5">
        <v>25.925925925925931</v>
      </c>
      <c r="O702" s="5">
        <v>-6.8000000000000114</v>
      </c>
      <c r="P702" s="5">
        <v>-426.78527304176168</v>
      </c>
      <c r="Q702" s="5">
        <v>-3.5557414766785382</v>
      </c>
    </row>
    <row r="703" spans="1:17" x14ac:dyDescent="0.2">
      <c r="A703" s="4" t="s">
        <v>73</v>
      </c>
      <c r="B703" s="4">
        <v>2014</v>
      </c>
      <c r="C703" s="4" t="s">
        <v>72</v>
      </c>
      <c r="D703" s="4">
        <v>2</v>
      </c>
      <c r="E703" s="4">
        <v>5</v>
      </c>
      <c r="F703" s="4">
        <v>1</v>
      </c>
      <c r="G703" s="6" t="str">
        <f t="shared" si="23"/>
        <v>51</v>
      </c>
      <c r="H703" s="5">
        <v>4.4000000000000004</v>
      </c>
      <c r="I703" s="5">
        <v>183.09</v>
      </c>
      <c r="J703" s="5">
        <v>11491.19347664937</v>
      </c>
      <c r="K703" s="5">
        <v>4.4000000000000004</v>
      </c>
      <c r="L703" s="5">
        <v>184.46</v>
      </c>
      <c r="M703" s="5">
        <v>11577.178156659254</v>
      </c>
      <c r="N703" s="5">
        <v>0</v>
      </c>
      <c r="O703" s="5">
        <v>-1.3700000000000045</v>
      </c>
      <c r="P703" s="5">
        <v>-85.984680009883959</v>
      </c>
      <c r="Q703" s="5">
        <v>-0.74270844627561616</v>
      </c>
    </row>
    <row r="704" spans="1:17" x14ac:dyDescent="0.2">
      <c r="A704" s="4" t="s">
        <v>73</v>
      </c>
      <c r="B704" s="4">
        <v>2014</v>
      </c>
      <c r="C704" s="4" t="s">
        <v>72</v>
      </c>
      <c r="D704" s="4">
        <v>3</v>
      </c>
      <c r="E704" s="4">
        <v>5</v>
      </c>
      <c r="F704" s="4">
        <v>1</v>
      </c>
      <c r="G704" s="6" t="str">
        <f t="shared" si="23"/>
        <v>51</v>
      </c>
      <c r="H704" s="5">
        <v>6</v>
      </c>
      <c r="I704" s="5">
        <v>200.13</v>
      </c>
      <c r="J704" s="5">
        <v>12560.667160859895</v>
      </c>
      <c r="K704" s="5">
        <v>8.6</v>
      </c>
      <c r="L704" s="5">
        <v>186.44</v>
      </c>
      <c r="M704" s="5">
        <v>11701.44798616259</v>
      </c>
      <c r="N704" s="5">
        <v>30.232558139534881</v>
      </c>
      <c r="O704" s="5">
        <v>13.689999999999998</v>
      </c>
      <c r="P704" s="5">
        <v>859.21917469730579</v>
      </c>
      <c r="Q704" s="5">
        <v>7.3428448830722939</v>
      </c>
    </row>
    <row r="705" spans="1:17" x14ac:dyDescent="0.2">
      <c r="A705" s="4" t="s">
        <v>73</v>
      </c>
      <c r="B705" s="4">
        <v>2014</v>
      </c>
      <c r="C705" s="4" t="s">
        <v>72</v>
      </c>
      <c r="D705" s="4">
        <v>4</v>
      </c>
      <c r="E705" s="4">
        <v>5</v>
      </c>
      <c r="F705" s="4">
        <v>1</v>
      </c>
      <c r="G705" s="6" t="str">
        <f t="shared" si="23"/>
        <v>51</v>
      </c>
      <c r="H705" s="5">
        <v>6</v>
      </c>
      <c r="I705" s="5">
        <v>217.58</v>
      </c>
      <c r="J705" s="5">
        <v>13655.873486533235</v>
      </c>
      <c r="K705" s="5">
        <v>7</v>
      </c>
      <c r="L705" s="5">
        <v>217.17</v>
      </c>
      <c r="M705" s="5">
        <v>13630.140845070422</v>
      </c>
      <c r="N705" s="5">
        <v>14.285714285714285</v>
      </c>
      <c r="O705" s="5">
        <v>0.41000000000002501</v>
      </c>
      <c r="P705" s="5">
        <v>25.732641462813262</v>
      </c>
      <c r="Q705" s="5">
        <v>0.18879219044988754</v>
      </c>
    </row>
    <row r="706" spans="1:17" x14ac:dyDescent="0.2">
      <c r="A706" s="4" t="s">
        <v>73</v>
      </c>
      <c r="B706" s="4">
        <v>2014</v>
      </c>
      <c r="C706" s="4" t="s">
        <v>72</v>
      </c>
      <c r="D706" s="4">
        <v>1</v>
      </c>
      <c r="E706" s="4">
        <v>6</v>
      </c>
      <c r="F706" s="4">
        <v>1</v>
      </c>
      <c r="G706" s="6" t="str">
        <f t="shared" ref="G706:G769" si="24">E706&amp;F706</f>
        <v>61</v>
      </c>
      <c r="H706" s="5">
        <v>4.5999999999999996</v>
      </c>
      <c r="I706" s="5">
        <v>182.65</v>
      </c>
      <c r="J706" s="5">
        <v>11463.577958981961</v>
      </c>
      <c r="K706" s="5">
        <v>5.4</v>
      </c>
      <c r="L706" s="5">
        <v>191.24</v>
      </c>
      <c r="M706" s="5">
        <v>12002.70817889795</v>
      </c>
      <c r="N706" s="5">
        <v>14.814814814814827</v>
      </c>
      <c r="O706" s="5">
        <v>-8.5900000000000034</v>
      </c>
      <c r="P706" s="5">
        <v>-539.13021991598907</v>
      </c>
      <c r="Q706" s="5">
        <v>-4.4917381300983212</v>
      </c>
    </row>
    <row r="707" spans="1:17" x14ac:dyDescent="0.2">
      <c r="A707" s="4" t="s">
        <v>73</v>
      </c>
      <c r="B707" s="4">
        <v>2014</v>
      </c>
      <c r="C707" s="4" t="s">
        <v>72</v>
      </c>
      <c r="D707" s="4">
        <v>2</v>
      </c>
      <c r="E707" s="4">
        <v>6</v>
      </c>
      <c r="F707" s="4">
        <v>1</v>
      </c>
      <c r="G707" s="6" t="str">
        <f t="shared" si="24"/>
        <v>61</v>
      </c>
      <c r="H707" s="5">
        <v>8.4</v>
      </c>
      <c r="I707" s="5">
        <v>186.48</v>
      </c>
      <c r="J707" s="5">
        <v>11703.958487768718</v>
      </c>
      <c r="K707" s="5">
        <v>4.4000000000000004</v>
      </c>
      <c r="L707" s="5">
        <v>184.46</v>
      </c>
      <c r="M707" s="5">
        <v>11577.178156659254</v>
      </c>
      <c r="N707" s="5">
        <v>-90.909090909090907</v>
      </c>
      <c r="O707" s="5">
        <v>2.0199999999999818</v>
      </c>
      <c r="P707" s="5">
        <v>126.78033110946308</v>
      </c>
      <c r="Q707" s="5">
        <v>1.0950883660414119</v>
      </c>
    </row>
    <row r="708" spans="1:17" x14ac:dyDescent="0.2">
      <c r="A708" s="4" t="s">
        <v>73</v>
      </c>
      <c r="B708" s="4">
        <v>2014</v>
      </c>
      <c r="C708" s="4" t="s">
        <v>72</v>
      </c>
      <c r="D708" s="4">
        <v>3</v>
      </c>
      <c r="E708" s="4">
        <v>6</v>
      </c>
      <c r="F708" s="4">
        <v>1</v>
      </c>
      <c r="G708" s="6" t="str">
        <f t="shared" si="24"/>
        <v>61</v>
      </c>
      <c r="H708" s="5">
        <v>7.2</v>
      </c>
      <c r="I708" s="5">
        <v>197.35</v>
      </c>
      <c r="J708" s="5">
        <v>12386.187299234</v>
      </c>
      <c r="K708" s="5">
        <v>8.6</v>
      </c>
      <c r="L708" s="5">
        <v>186.44</v>
      </c>
      <c r="M708" s="5">
        <v>11701.44798616259</v>
      </c>
      <c r="N708" s="5">
        <v>16.279069767441857</v>
      </c>
      <c r="O708" s="5">
        <v>10.909999999999997</v>
      </c>
      <c r="P708" s="5">
        <v>684.73931307140992</v>
      </c>
      <c r="Q708" s="5">
        <v>5.8517485518129071</v>
      </c>
    </row>
    <row r="709" spans="1:17" x14ac:dyDescent="0.2">
      <c r="A709" s="4" t="s">
        <v>73</v>
      </c>
      <c r="B709" s="4">
        <v>2014</v>
      </c>
      <c r="C709" s="4" t="s">
        <v>72</v>
      </c>
      <c r="D709" s="4">
        <v>4</v>
      </c>
      <c r="E709" s="4">
        <v>6</v>
      </c>
      <c r="F709" s="4">
        <v>1</v>
      </c>
      <c r="G709" s="6" t="str">
        <f t="shared" si="24"/>
        <v>61</v>
      </c>
      <c r="H709" s="5">
        <v>4</v>
      </c>
      <c r="I709" s="5">
        <v>191.74</v>
      </c>
      <c r="J709" s="5">
        <v>12034.08944897455</v>
      </c>
      <c r="K709" s="5">
        <v>7</v>
      </c>
      <c r="L709" s="5">
        <v>217.17</v>
      </c>
      <c r="M709" s="5">
        <v>13630.140845070422</v>
      </c>
      <c r="N709" s="5">
        <v>42.857142857142854</v>
      </c>
      <c r="O709" s="5">
        <v>-25.429999999999978</v>
      </c>
      <c r="P709" s="5">
        <v>-1596.0513960958724</v>
      </c>
      <c r="Q709" s="5">
        <v>-11.709720495464374</v>
      </c>
    </row>
    <row r="710" spans="1:17" x14ac:dyDescent="0.2">
      <c r="A710" s="4" t="s">
        <v>73</v>
      </c>
      <c r="B710" s="4">
        <v>2014</v>
      </c>
      <c r="C710" s="4" t="s">
        <v>72</v>
      </c>
      <c r="D710" s="4">
        <v>1</v>
      </c>
      <c r="E710" s="4">
        <v>7</v>
      </c>
      <c r="F710" s="4">
        <v>2</v>
      </c>
      <c r="G710" s="6" t="str">
        <f t="shared" si="24"/>
        <v>72</v>
      </c>
      <c r="H710" s="5">
        <v>3.8</v>
      </c>
      <c r="I710" s="5">
        <v>177.06</v>
      </c>
      <c r="J710" s="5">
        <v>11112.735359525574</v>
      </c>
      <c r="K710" s="5">
        <v>5.4</v>
      </c>
      <c r="L710" s="5">
        <v>191.24</v>
      </c>
      <c r="M710" s="5">
        <v>12002.70817889795</v>
      </c>
      <c r="N710" s="5">
        <v>29.62962962962964</v>
      </c>
      <c r="O710" s="5">
        <v>-14.180000000000007</v>
      </c>
      <c r="P710" s="5">
        <v>-889.97281937237676</v>
      </c>
      <c r="Q710" s="5">
        <v>-7.4147667851914001</v>
      </c>
    </row>
    <row r="711" spans="1:17" x14ac:dyDescent="0.2">
      <c r="A711" s="4" t="s">
        <v>73</v>
      </c>
      <c r="B711" s="4">
        <v>2014</v>
      </c>
      <c r="C711" s="4" t="s">
        <v>72</v>
      </c>
      <c r="D711" s="4">
        <v>2</v>
      </c>
      <c r="E711" s="4">
        <v>7</v>
      </c>
      <c r="F711" s="4">
        <v>2</v>
      </c>
      <c r="G711" s="6" t="str">
        <f t="shared" si="24"/>
        <v>72</v>
      </c>
      <c r="H711" s="5">
        <v>7</v>
      </c>
      <c r="I711" s="5">
        <v>188.82</v>
      </c>
      <c r="J711" s="5">
        <v>11850.822831727204</v>
      </c>
      <c r="K711" s="5">
        <v>4.4000000000000004</v>
      </c>
      <c r="L711" s="5">
        <v>184.46</v>
      </c>
      <c r="M711" s="5">
        <v>11577.178156659254</v>
      </c>
      <c r="N711" s="5">
        <v>-59.090909090909079</v>
      </c>
      <c r="O711" s="5">
        <v>4.3599999999999852</v>
      </c>
      <c r="P711" s="5">
        <v>273.64467506794972</v>
      </c>
      <c r="Q711" s="5">
        <v>2.3636560771982924</v>
      </c>
    </row>
    <row r="712" spans="1:17" x14ac:dyDescent="0.2">
      <c r="A712" s="4" t="s">
        <v>73</v>
      </c>
      <c r="B712" s="4">
        <v>2014</v>
      </c>
      <c r="C712" s="4" t="s">
        <v>72</v>
      </c>
      <c r="D712" s="4">
        <v>3</v>
      </c>
      <c r="E712" s="4">
        <v>7</v>
      </c>
      <c r="F712" s="4">
        <v>2</v>
      </c>
      <c r="G712" s="6" t="str">
        <f t="shared" si="24"/>
        <v>72</v>
      </c>
      <c r="H712" s="5">
        <v>4.4000000000000004</v>
      </c>
      <c r="I712" s="5">
        <v>180.85</v>
      </c>
      <c r="J712" s="5">
        <v>11350.605386706202</v>
      </c>
      <c r="K712" s="5">
        <v>8.6</v>
      </c>
      <c r="L712" s="5">
        <v>186.44</v>
      </c>
      <c r="M712" s="5">
        <v>11701.44798616259</v>
      </c>
      <c r="N712" s="5">
        <v>48.837209302325576</v>
      </c>
      <c r="O712" s="5">
        <v>-5.5900000000000034</v>
      </c>
      <c r="P712" s="5">
        <v>-350.84259945638769</v>
      </c>
      <c r="Q712" s="5">
        <v>-2.9982836301222933</v>
      </c>
    </row>
    <row r="713" spans="1:17" x14ac:dyDescent="0.2">
      <c r="A713" s="4" t="s">
        <v>73</v>
      </c>
      <c r="B713" s="4">
        <v>2014</v>
      </c>
      <c r="C713" s="4" t="s">
        <v>72</v>
      </c>
      <c r="D713" s="4">
        <v>4</v>
      </c>
      <c r="E713" s="4">
        <v>7</v>
      </c>
      <c r="F713" s="4">
        <v>2</v>
      </c>
      <c r="G713" s="6" t="str">
        <f t="shared" si="24"/>
        <v>72</v>
      </c>
      <c r="H713" s="5">
        <v>4</v>
      </c>
      <c r="I713" s="5">
        <v>201.06</v>
      </c>
      <c r="J713" s="5">
        <v>12619.036323202372</v>
      </c>
      <c r="K713" s="5">
        <v>7</v>
      </c>
      <c r="L713" s="5">
        <v>217.17</v>
      </c>
      <c r="M713" s="5">
        <v>13630.140845070422</v>
      </c>
      <c r="N713" s="5">
        <v>42.857142857142854</v>
      </c>
      <c r="O713" s="5">
        <v>-16.109999999999985</v>
      </c>
      <c r="P713" s="5">
        <v>-1011.1045218680501</v>
      </c>
      <c r="Q713" s="5">
        <v>-7.418151678408619</v>
      </c>
    </row>
    <row r="714" spans="1:17" x14ac:dyDescent="0.2">
      <c r="A714" s="4" t="s">
        <v>73</v>
      </c>
      <c r="B714" s="4">
        <v>2014</v>
      </c>
      <c r="C714" s="4" t="s">
        <v>72</v>
      </c>
      <c r="D714" s="4">
        <v>1</v>
      </c>
      <c r="E714" s="4">
        <v>8</v>
      </c>
      <c r="F714" s="4">
        <v>2</v>
      </c>
      <c r="G714" s="6" t="str">
        <f t="shared" si="24"/>
        <v>82</v>
      </c>
      <c r="H714" s="5">
        <v>3.8</v>
      </c>
      <c r="I714" s="5">
        <v>203.34</v>
      </c>
      <c r="J714" s="5">
        <v>12762.134914751668</v>
      </c>
      <c r="K714" s="5">
        <v>5.4</v>
      </c>
      <c r="L714" s="5">
        <v>191.24</v>
      </c>
      <c r="M714" s="5">
        <v>12002.70817889795</v>
      </c>
      <c r="N714" s="5">
        <v>29.62962962962964</v>
      </c>
      <c r="O714" s="5">
        <v>12.099999999999994</v>
      </c>
      <c r="P714" s="5">
        <v>759.42673585371813</v>
      </c>
      <c r="Q714" s="5">
        <v>6.327128215854418</v>
      </c>
    </row>
    <row r="715" spans="1:17" x14ac:dyDescent="0.2">
      <c r="A715" s="4" t="s">
        <v>73</v>
      </c>
      <c r="B715" s="4">
        <v>2014</v>
      </c>
      <c r="C715" s="4" t="s">
        <v>72</v>
      </c>
      <c r="D715" s="4">
        <v>2</v>
      </c>
      <c r="E715" s="4">
        <v>8</v>
      </c>
      <c r="F715" s="4">
        <v>2</v>
      </c>
      <c r="G715" s="6" t="str">
        <f t="shared" si="24"/>
        <v>82</v>
      </c>
      <c r="H715" s="5">
        <v>6.8</v>
      </c>
      <c r="I715" s="5">
        <v>185</v>
      </c>
      <c r="J715" s="5">
        <v>11611.069928341982</v>
      </c>
      <c r="K715" s="5">
        <v>4.4000000000000004</v>
      </c>
      <c r="L715" s="5">
        <v>184.46</v>
      </c>
      <c r="M715" s="5">
        <v>11577.178156659254</v>
      </c>
      <c r="N715" s="5">
        <v>-54.545454545454533</v>
      </c>
      <c r="O715" s="5">
        <v>0.53999999999999204</v>
      </c>
      <c r="P715" s="5">
        <v>33.891771682727267</v>
      </c>
      <c r="Q715" s="5">
        <v>0.29274639488235343</v>
      </c>
    </row>
    <row r="716" spans="1:17" x14ac:dyDescent="0.2">
      <c r="A716" s="4" t="s">
        <v>73</v>
      </c>
      <c r="B716" s="4">
        <v>2014</v>
      </c>
      <c r="C716" s="4" t="s">
        <v>72</v>
      </c>
      <c r="D716" s="4">
        <v>3</v>
      </c>
      <c r="E716" s="4">
        <v>8</v>
      </c>
      <c r="F716" s="4">
        <v>2</v>
      </c>
      <c r="G716" s="6" t="str">
        <f t="shared" si="24"/>
        <v>82</v>
      </c>
      <c r="H716" s="5">
        <v>4.8</v>
      </c>
      <c r="I716" s="5">
        <v>173.41</v>
      </c>
      <c r="J716" s="5">
        <v>10883.652087966395</v>
      </c>
      <c r="K716" s="5">
        <v>8.6</v>
      </c>
      <c r="L716" s="5">
        <v>186.44</v>
      </c>
      <c r="M716" s="5">
        <v>11701.44798616259</v>
      </c>
      <c r="N716" s="5">
        <v>44.186046511627907</v>
      </c>
      <c r="O716" s="5">
        <v>-13.030000000000001</v>
      </c>
      <c r="P716" s="5">
        <v>-817.79589819619468</v>
      </c>
      <c r="Q716" s="5">
        <v>-6.9888435957948944</v>
      </c>
    </row>
    <row r="717" spans="1:17" x14ac:dyDescent="0.2">
      <c r="A717" s="4" t="s">
        <v>73</v>
      </c>
      <c r="B717" s="4">
        <v>2014</v>
      </c>
      <c r="C717" s="4" t="s">
        <v>72</v>
      </c>
      <c r="D717" s="4">
        <v>4</v>
      </c>
      <c r="E717" s="4">
        <v>8</v>
      </c>
      <c r="F717" s="4">
        <v>2</v>
      </c>
      <c r="G717" s="6" t="str">
        <f t="shared" si="24"/>
        <v>82</v>
      </c>
      <c r="H717" s="5">
        <v>4.4000000000000004</v>
      </c>
      <c r="I717" s="5">
        <v>188.66</v>
      </c>
      <c r="J717" s="5">
        <v>11840.780825302692</v>
      </c>
      <c r="K717" s="5">
        <v>7</v>
      </c>
      <c r="L717" s="5">
        <v>217.17</v>
      </c>
      <c r="M717" s="5">
        <v>13630.140845070422</v>
      </c>
      <c r="N717" s="5">
        <v>37.142857142857139</v>
      </c>
      <c r="O717" s="5">
        <v>-28.509999999999991</v>
      </c>
      <c r="P717" s="5">
        <v>-1789.3600197677297</v>
      </c>
      <c r="Q717" s="5">
        <v>-13.127964267624446</v>
      </c>
    </row>
    <row r="718" spans="1:17" x14ac:dyDescent="0.2">
      <c r="A718" s="4" t="s">
        <v>73</v>
      </c>
      <c r="B718" s="4">
        <v>2014</v>
      </c>
      <c r="C718" s="4" t="s">
        <v>72</v>
      </c>
      <c r="D718" s="4">
        <v>1</v>
      </c>
      <c r="E718" s="4">
        <v>9</v>
      </c>
      <c r="F718" s="4">
        <v>2</v>
      </c>
      <c r="G718" s="6" t="str">
        <f t="shared" si="24"/>
        <v>92</v>
      </c>
      <c r="H718" s="5">
        <v>5.6</v>
      </c>
      <c r="I718" s="5">
        <v>202.56</v>
      </c>
      <c r="J718" s="5">
        <v>12713.180133432172</v>
      </c>
      <c r="K718" s="5">
        <v>5.4</v>
      </c>
      <c r="L718" s="5">
        <v>191.24</v>
      </c>
      <c r="M718" s="5">
        <v>12002.70817889795</v>
      </c>
      <c r="N718" s="5">
        <v>-3.7037037037036904</v>
      </c>
      <c r="O718" s="5">
        <v>11.319999999999993</v>
      </c>
      <c r="P718" s="5">
        <v>710.47195453422137</v>
      </c>
      <c r="Q718" s="5">
        <v>5.9192637523530509</v>
      </c>
    </row>
    <row r="719" spans="1:17" x14ac:dyDescent="0.2">
      <c r="A719" s="4" t="s">
        <v>73</v>
      </c>
      <c r="B719" s="4">
        <v>2014</v>
      </c>
      <c r="C719" s="4" t="s">
        <v>72</v>
      </c>
      <c r="D719" s="4">
        <v>2</v>
      </c>
      <c r="E719" s="4">
        <v>9</v>
      </c>
      <c r="F719" s="4">
        <v>2</v>
      </c>
      <c r="G719" s="6" t="str">
        <f t="shared" si="24"/>
        <v>92</v>
      </c>
      <c r="H719" s="5">
        <v>3.6</v>
      </c>
      <c r="I719" s="5">
        <v>194.86</v>
      </c>
      <c r="J719" s="5">
        <v>12229.908574252533</v>
      </c>
      <c r="K719" s="5">
        <v>4.4000000000000004</v>
      </c>
      <c r="L719" s="5">
        <v>184.46</v>
      </c>
      <c r="M719" s="5">
        <v>11577.178156659254</v>
      </c>
      <c r="N719" s="5">
        <v>18.181818181818183</v>
      </c>
      <c r="O719" s="5">
        <v>10.400000000000006</v>
      </c>
      <c r="P719" s="5">
        <v>652.73041759327862</v>
      </c>
      <c r="Q719" s="5">
        <v>5.638078716252843</v>
      </c>
    </row>
    <row r="720" spans="1:17" x14ac:dyDescent="0.2">
      <c r="A720" s="4" t="s">
        <v>73</v>
      </c>
      <c r="B720" s="4">
        <v>2014</v>
      </c>
      <c r="C720" s="4" t="s">
        <v>72</v>
      </c>
      <c r="D720" s="4">
        <v>3</v>
      </c>
      <c r="E720" s="4">
        <v>9</v>
      </c>
      <c r="F720" s="4">
        <v>2</v>
      </c>
      <c r="G720" s="6" t="str">
        <f t="shared" si="24"/>
        <v>92</v>
      </c>
      <c r="H720" s="5">
        <v>5.4</v>
      </c>
      <c r="I720" s="5">
        <v>202.16</v>
      </c>
      <c r="J720" s="5">
        <v>12688.075117370892</v>
      </c>
      <c r="K720" s="5">
        <v>8.6</v>
      </c>
      <c r="L720" s="5">
        <v>186.44</v>
      </c>
      <c r="M720" s="5">
        <v>11701.44798616259</v>
      </c>
      <c r="N720" s="5">
        <v>37.20930232558139</v>
      </c>
      <c r="O720" s="5">
        <v>15.719999999999999</v>
      </c>
      <c r="P720" s="5">
        <v>986.62713120830267</v>
      </c>
      <c r="Q720" s="5">
        <v>8.4316670242437262</v>
      </c>
    </row>
    <row r="721" spans="1:17" x14ac:dyDescent="0.2">
      <c r="A721" s="4" t="s">
        <v>73</v>
      </c>
      <c r="B721" s="4">
        <v>2014</v>
      </c>
      <c r="C721" s="4" t="s">
        <v>72</v>
      </c>
      <c r="D721" s="4">
        <v>4</v>
      </c>
      <c r="E721" s="4">
        <v>9</v>
      </c>
      <c r="F721" s="4">
        <v>2</v>
      </c>
      <c r="G721" s="6" t="str">
        <f t="shared" si="24"/>
        <v>92</v>
      </c>
      <c r="H721" s="5">
        <v>6.2</v>
      </c>
      <c r="I721" s="5">
        <v>209.48</v>
      </c>
      <c r="J721" s="5">
        <v>13147.496911292314</v>
      </c>
      <c r="K721" s="5">
        <v>7</v>
      </c>
      <c r="L721" s="5">
        <v>217.17</v>
      </c>
      <c r="M721" s="5">
        <v>13630.140845070422</v>
      </c>
      <c r="N721" s="5">
        <v>11.428571428571425</v>
      </c>
      <c r="O721" s="5">
        <v>-7.6899999999999977</v>
      </c>
      <c r="P721" s="5">
        <v>-482.64393377810848</v>
      </c>
      <c r="Q721" s="5">
        <v>-3.5410047428282083</v>
      </c>
    </row>
    <row r="722" spans="1:17" x14ac:dyDescent="0.2">
      <c r="A722" s="4" t="s">
        <v>73</v>
      </c>
      <c r="B722" s="4">
        <v>2014</v>
      </c>
      <c r="C722" s="4" t="s">
        <v>72</v>
      </c>
      <c r="D722" s="4">
        <v>1</v>
      </c>
      <c r="E722" s="4">
        <v>10</v>
      </c>
      <c r="F722" s="4">
        <v>2</v>
      </c>
      <c r="G722" s="6" t="str">
        <f t="shared" si="24"/>
        <v>102</v>
      </c>
      <c r="H722" s="5">
        <v>5.4</v>
      </c>
      <c r="I722" s="5">
        <v>192.82</v>
      </c>
      <c r="J722" s="5">
        <v>12101.872992340004</v>
      </c>
      <c r="K722" s="5">
        <v>5.4</v>
      </c>
      <c r="L722" s="5">
        <v>191.24</v>
      </c>
      <c r="M722" s="5">
        <v>12002.70817889795</v>
      </c>
      <c r="N722" s="5">
        <v>0</v>
      </c>
      <c r="O722" s="5">
        <v>1.5799999999999841</v>
      </c>
      <c r="P722" s="5">
        <v>99.164813442053855</v>
      </c>
      <c r="Q722" s="5">
        <v>0.826186990169404</v>
      </c>
    </row>
    <row r="723" spans="1:17" x14ac:dyDescent="0.2">
      <c r="A723" s="4" t="s">
        <v>73</v>
      </c>
      <c r="B723" s="4">
        <v>2014</v>
      </c>
      <c r="C723" s="4" t="s">
        <v>72</v>
      </c>
      <c r="D723" s="4">
        <v>2</v>
      </c>
      <c r="E723" s="4">
        <v>10</v>
      </c>
      <c r="F723" s="4">
        <v>2</v>
      </c>
      <c r="G723" s="6" t="str">
        <f t="shared" si="24"/>
        <v>102</v>
      </c>
      <c r="H723" s="5">
        <v>6.6</v>
      </c>
      <c r="I723" s="5">
        <v>184.52</v>
      </c>
      <c r="J723" s="5">
        <v>11580.943909068446</v>
      </c>
      <c r="K723" s="5">
        <v>4.4000000000000004</v>
      </c>
      <c r="L723" s="5">
        <v>184.46</v>
      </c>
      <c r="M723" s="5">
        <v>11577.178156659254</v>
      </c>
      <c r="N723" s="5">
        <v>-49.999999999999979</v>
      </c>
      <c r="O723" s="5">
        <v>6.0000000000002274E-2</v>
      </c>
      <c r="P723" s="5">
        <v>3.7657524091919186</v>
      </c>
      <c r="Q723" s="5">
        <v>3.2527377209150381E-2</v>
      </c>
    </row>
    <row r="724" spans="1:17" x14ac:dyDescent="0.2">
      <c r="A724" s="4" t="s">
        <v>73</v>
      </c>
      <c r="B724" s="4">
        <v>2014</v>
      </c>
      <c r="C724" s="4" t="s">
        <v>72</v>
      </c>
      <c r="D724" s="4">
        <v>3</v>
      </c>
      <c r="E724" s="4">
        <v>10</v>
      </c>
      <c r="F724" s="4">
        <v>2</v>
      </c>
      <c r="G724" s="6" t="str">
        <f t="shared" si="24"/>
        <v>102</v>
      </c>
      <c r="H724" s="5">
        <v>7.6</v>
      </c>
      <c r="I724" s="5">
        <v>193.39</v>
      </c>
      <c r="J724" s="5">
        <v>12137.647640227327</v>
      </c>
      <c r="K724" s="5">
        <v>8.6</v>
      </c>
      <c r="L724" s="5">
        <v>186.44</v>
      </c>
      <c r="M724" s="5">
        <v>11701.44798616259</v>
      </c>
      <c r="N724" s="5">
        <v>11.627906976744185</v>
      </c>
      <c r="O724" s="5">
        <v>6.9499999999999886</v>
      </c>
      <c r="P724" s="5">
        <v>436.19965406473784</v>
      </c>
      <c r="Q724" s="5">
        <v>3.7277408281484536</v>
      </c>
    </row>
    <row r="725" spans="1:17" x14ac:dyDescent="0.2">
      <c r="A725" s="4" t="s">
        <v>73</v>
      </c>
      <c r="B725" s="4">
        <v>2014</v>
      </c>
      <c r="C725" s="4" t="s">
        <v>72</v>
      </c>
      <c r="D725" s="4">
        <v>4</v>
      </c>
      <c r="E725" s="4">
        <v>10</v>
      </c>
      <c r="F725" s="4">
        <v>2</v>
      </c>
      <c r="G725" s="6" t="str">
        <f t="shared" si="24"/>
        <v>102</v>
      </c>
      <c r="H725" s="5">
        <v>5.4</v>
      </c>
      <c r="I725" s="5">
        <v>213.35</v>
      </c>
      <c r="J725" s="5">
        <v>13390.387941685198</v>
      </c>
      <c r="K725" s="5">
        <v>7</v>
      </c>
      <c r="L725" s="5">
        <v>217.17</v>
      </c>
      <c r="M725" s="5">
        <v>13630.140845070422</v>
      </c>
      <c r="N725" s="5">
        <v>22.857142857142851</v>
      </c>
      <c r="O725" s="5">
        <v>-3.8199999999999932</v>
      </c>
      <c r="P725" s="5">
        <v>-239.75290338522427</v>
      </c>
      <c r="Q725" s="5">
        <v>-1.7589906524842338</v>
      </c>
    </row>
    <row r="726" spans="1:17" x14ac:dyDescent="0.2">
      <c r="A726" s="4" t="s">
        <v>73</v>
      </c>
      <c r="B726" s="4">
        <v>2014</v>
      </c>
      <c r="C726" s="4" t="s">
        <v>72</v>
      </c>
      <c r="D726" s="4">
        <v>1</v>
      </c>
      <c r="E726" s="4">
        <v>11</v>
      </c>
      <c r="F726" s="4">
        <v>2</v>
      </c>
      <c r="G726" s="6" t="str">
        <f t="shared" si="24"/>
        <v>112</v>
      </c>
      <c r="H726" s="5">
        <v>4.2</v>
      </c>
      <c r="I726" s="5">
        <v>195</v>
      </c>
      <c r="J726" s="5">
        <v>12238.695329873981</v>
      </c>
      <c r="K726" s="5">
        <v>5.4</v>
      </c>
      <c r="L726" s="5">
        <v>191.24</v>
      </c>
      <c r="M726" s="5">
        <v>12002.70817889795</v>
      </c>
      <c r="N726" s="5">
        <v>22.222222222222225</v>
      </c>
      <c r="O726" s="5">
        <v>3.7599999999999909</v>
      </c>
      <c r="P726" s="5">
        <v>235.98715097603053</v>
      </c>
      <c r="Q726" s="5">
        <v>1.966115875339878</v>
      </c>
    </row>
    <row r="727" spans="1:17" x14ac:dyDescent="0.2">
      <c r="A727" s="4" t="s">
        <v>73</v>
      </c>
      <c r="B727" s="4">
        <v>2014</v>
      </c>
      <c r="C727" s="4" t="s">
        <v>72</v>
      </c>
      <c r="D727" s="4">
        <v>2</v>
      </c>
      <c r="E727" s="4">
        <v>11</v>
      </c>
      <c r="F727" s="4">
        <v>2</v>
      </c>
      <c r="G727" s="6" t="str">
        <f t="shared" si="24"/>
        <v>112</v>
      </c>
      <c r="H727" s="5">
        <v>3.8</v>
      </c>
      <c r="I727" s="5">
        <v>182.51</v>
      </c>
      <c r="J727" s="5">
        <v>11454.791203360513</v>
      </c>
      <c r="K727" s="5">
        <v>4.4000000000000004</v>
      </c>
      <c r="L727" s="5">
        <v>184.46</v>
      </c>
      <c r="M727" s="5">
        <v>11577.178156659254</v>
      </c>
      <c r="N727" s="5">
        <v>13.636363636363647</v>
      </c>
      <c r="O727" s="5">
        <v>-1.9500000000000171</v>
      </c>
      <c r="P727" s="5">
        <v>-122.38695329874099</v>
      </c>
      <c r="Q727" s="5">
        <v>-1.0571397592974188</v>
      </c>
    </row>
    <row r="728" spans="1:17" x14ac:dyDescent="0.2">
      <c r="A728" s="4" t="s">
        <v>73</v>
      </c>
      <c r="B728" s="4">
        <v>2014</v>
      </c>
      <c r="C728" s="4" t="s">
        <v>72</v>
      </c>
      <c r="D728" s="4">
        <v>3</v>
      </c>
      <c r="E728" s="4">
        <v>11</v>
      </c>
      <c r="F728" s="4">
        <v>2</v>
      </c>
      <c r="G728" s="6" t="str">
        <f t="shared" si="24"/>
        <v>112</v>
      </c>
      <c r="H728" s="5">
        <v>7.6</v>
      </c>
      <c r="I728" s="5">
        <v>188.56</v>
      </c>
      <c r="J728" s="5">
        <v>11834.504571287373</v>
      </c>
      <c r="K728" s="5">
        <v>8.6</v>
      </c>
      <c r="L728" s="5">
        <v>186.44</v>
      </c>
      <c r="M728" s="5">
        <v>11701.44798616259</v>
      </c>
      <c r="N728" s="5">
        <v>11.627906976744185</v>
      </c>
      <c r="O728" s="5">
        <v>2.1200000000000045</v>
      </c>
      <c r="P728" s="5">
        <v>133.05658512478294</v>
      </c>
      <c r="Q728" s="5">
        <v>1.1370950439819707</v>
      </c>
    </row>
    <row r="729" spans="1:17" x14ac:dyDescent="0.2">
      <c r="A729" s="4" t="s">
        <v>73</v>
      </c>
      <c r="B729" s="4">
        <v>2014</v>
      </c>
      <c r="C729" s="4" t="s">
        <v>72</v>
      </c>
      <c r="D729" s="4">
        <v>4</v>
      </c>
      <c r="E729" s="4">
        <v>11</v>
      </c>
      <c r="F729" s="4">
        <v>2</v>
      </c>
      <c r="G729" s="6" t="str">
        <f t="shared" si="24"/>
        <v>112</v>
      </c>
      <c r="H729" s="5">
        <v>5.4</v>
      </c>
      <c r="I729" s="5">
        <v>192.78</v>
      </c>
      <c r="J729" s="5">
        <v>12099.362490733876</v>
      </c>
      <c r="K729" s="5">
        <v>7</v>
      </c>
      <c r="L729" s="5">
        <v>217.17</v>
      </c>
      <c r="M729" s="5">
        <v>13630.140845070422</v>
      </c>
      <c r="N729" s="5">
        <v>22.857142857142851</v>
      </c>
      <c r="O729" s="5">
        <v>-24.389999999999986</v>
      </c>
      <c r="P729" s="5">
        <v>-1530.7783543365458</v>
      </c>
      <c r="Q729" s="5">
        <v>-11.230832987981767</v>
      </c>
    </row>
    <row r="730" spans="1:17" x14ac:dyDescent="0.2">
      <c r="A730" s="4" t="s">
        <v>73</v>
      </c>
      <c r="B730" s="4">
        <v>2014</v>
      </c>
      <c r="C730" s="4" t="s">
        <v>72</v>
      </c>
      <c r="D730" s="4">
        <v>1</v>
      </c>
      <c r="E730" s="4">
        <v>15</v>
      </c>
      <c r="F730" s="4">
        <v>3</v>
      </c>
      <c r="G730" s="6" t="str">
        <f t="shared" si="24"/>
        <v>153</v>
      </c>
      <c r="H730" s="5">
        <v>3.6</v>
      </c>
      <c r="I730" s="5">
        <v>187.18</v>
      </c>
      <c r="J730" s="5">
        <v>11747.892265875958</v>
      </c>
      <c r="K730" s="5">
        <v>5.4</v>
      </c>
      <c r="L730" s="5">
        <v>191.24</v>
      </c>
      <c r="M730" s="5">
        <v>12002.70817889795</v>
      </c>
      <c r="N730" s="5">
        <v>33.333333333333336</v>
      </c>
      <c r="O730" s="5">
        <v>-4.0600000000000023</v>
      </c>
      <c r="P730" s="5">
        <v>-254.81591302199195</v>
      </c>
      <c r="Q730" s="5">
        <v>-2.1229868228404127</v>
      </c>
    </row>
    <row r="731" spans="1:17" x14ac:dyDescent="0.2">
      <c r="A731" s="4" t="s">
        <v>73</v>
      </c>
      <c r="B731" s="4">
        <v>2014</v>
      </c>
      <c r="C731" s="4" t="s">
        <v>72</v>
      </c>
      <c r="D731" s="4">
        <v>2</v>
      </c>
      <c r="E731" s="4">
        <v>15</v>
      </c>
      <c r="F731" s="4">
        <v>3</v>
      </c>
      <c r="G731" s="6" t="str">
        <f t="shared" si="24"/>
        <v>153</v>
      </c>
      <c r="H731" s="5">
        <v>4.2</v>
      </c>
      <c r="I731" s="5">
        <v>185.75</v>
      </c>
      <c r="J731" s="5">
        <v>11658.141833456881</v>
      </c>
      <c r="K731" s="5">
        <v>4.4000000000000004</v>
      </c>
      <c r="L731" s="5">
        <v>184.46</v>
      </c>
      <c r="M731" s="5">
        <v>11577.178156659254</v>
      </c>
      <c r="N731" s="5">
        <v>4.5454545454545494</v>
      </c>
      <c r="O731" s="5">
        <v>1.289999999999992</v>
      </c>
      <c r="P731" s="5">
        <v>80.963676797626249</v>
      </c>
      <c r="Q731" s="5">
        <v>0.69933860999673325</v>
      </c>
    </row>
    <row r="732" spans="1:17" x14ac:dyDescent="0.2">
      <c r="A732" s="4" t="s">
        <v>73</v>
      </c>
      <c r="B732" s="4">
        <v>2014</v>
      </c>
      <c r="C732" s="4" t="s">
        <v>72</v>
      </c>
      <c r="D732" s="4">
        <v>3</v>
      </c>
      <c r="E732" s="4">
        <v>15</v>
      </c>
      <c r="F732" s="4">
        <v>3</v>
      </c>
      <c r="G732" s="6" t="str">
        <f t="shared" si="24"/>
        <v>153</v>
      </c>
      <c r="H732" s="5">
        <v>4</v>
      </c>
      <c r="I732" s="5">
        <v>184.45</v>
      </c>
      <c r="J732" s="5">
        <v>11576.550531257721</v>
      </c>
      <c r="K732" s="5">
        <v>8.6</v>
      </c>
      <c r="L732" s="5">
        <v>186.44</v>
      </c>
      <c r="M732" s="5">
        <v>11701.44798616259</v>
      </c>
      <c r="N732" s="5">
        <v>53.488372093023251</v>
      </c>
      <c r="O732" s="5">
        <v>-1.9900000000000091</v>
      </c>
      <c r="P732" s="5">
        <v>-124.89745490486894</v>
      </c>
      <c r="Q732" s="5">
        <v>-1.0673675177000741</v>
      </c>
    </row>
    <row r="733" spans="1:17" x14ac:dyDescent="0.2">
      <c r="A733" s="4" t="s">
        <v>73</v>
      </c>
      <c r="B733" s="4">
        <v>2014</v>
      </c>
      <c r="C733" s="4" t="s">
        <v>72</v>
      </c>
      <c r="D733" s="4">
        <v>4</v>
      </c>
      <c r="E733" s="4">
        <v>15</v>
      </c>
      <c r="F733" s="4">
        <v>3</v>
      </c>
      <c r="G733" s="6" t="str">
        <f t="shared" si="24"/>
        <v>153</v>
      </c>
      <c r="H733" s="5">
        <v>4.2</v>
      </c>
      <c r="I733" s="5">
        <v>204.78</v>
      </c>
      <c r="J733" s="5">
        <v>12852.512972572276</v>
      </c>
      <c r="K733" s="5">
        <v>7</v>
      </c>
      <c r="L733" s="5">
        <v>217.17</v>
      </c>
      <c r="M733" s="5">
        <v>13630.140845070422</v>
      </c>
      <c r="N733" s="5">
        <v>40</v>
      </c>
      <c r="O733" s="5">
        <v>-12.389999999999986</v>
      </c>
      <c r="P733" s="5">
        <v>-777.62787249814573</v>
      </c>
      <c r="Q733" s="5">
        <v>-5.7052079016438659</v>
      </c>
    </row>
    <row r="734" spans="1:17" x14ac:dyDescent="0.2">
      <c r="A734" s="4" t="s">
        <v>73</v>
      </c>
      <c r="B734" s="4">
        <v>2014</v>
      </c>
      <c r="C734" s="4" t="s">
        <v>72</v>
      </c>
      <c r="D734" s="4">
        <v>1</v>
      </c>
      <c r="E734" s="4">
        <v>16</v>
      </c>
      <c r="F734" s="4">
        <v>3</v>
      </c>
      <c r="G734" s="6" t="str">
        <f t="shared" si="24"/>
        <v>163</v>
      </c>
      <c r="H734" s="5">
        <v>4.4000000000000004</v>
      </c>
      <c r="I734" s="5">
        <v>178.16</v>
      </c>
      <c r="J734" s="5">
        <v>11181.774153694094</v>
      </c>
      <c r="K734" s="5">
        <v>5.4</v>
      </c>
      <c r="L734" s="5">
        <v>191.24</v>
      </c>
      <c r="M734" s="5">
        <v>12002.70817889795</v>
      </c>
      <c r="N734" s="5">
        <v>18.518518518518519</v>
      </c>
      <c r="O734" s="5">
        <v>-13.080000000000013</v>
      </c>
      <c r="P734" s="5">
        <v>-820.93402520385644</v>
      </c>
      <c r="Q734" s="5">
        <v>-6.8395733110228116</v>
      </c>
    </row>
    <row r="735" spans="1:17" x14ac:dyDescent="0.2">
      <c r="A735" s="4" t="s">
        <v>73</v>
      </c>
      <c r="B735" s="4">
        <v>2014</v>
      </c>
      <c r="C735" s="4" t="s">
        <v>72</v>
      </c>
      <c r="D735" s="4">
        <v>2</v>
      </c>
      <c r="E735" s="4">
        <v>16</v>
      </c>
      <c r="F735" s="4">
        <v>3</v>
      </c>
      <c r="G735" s="6" t="str">
        <f t="shared" si="24"/>
        <v>163</v>
      </c>
      <c r="H735" s="5">
        <v>4</v>
      </c>
      <c r="I735" s="5">
        <v>174.97</v>
      </c>
      <c r="J735" s="5">
        <v>10981.561650605387</v>
      </c>
      <c r="K735" s="5">
        <v>4.4000000000000004</v>
      </c>
      <c r="L735" s="5">
        <v>184.46</v>
      </c>
      <c r="M735" s="5">
        <v>11577.178156659254</v>
      </c>
      <c r="N735" s="5">
        <v>9.0909090909090988</v>
      </c>
      <c r="O735" s="5">
        <v>-9.4900000000000091</v>
      </c>
      <c r="P735" s="5">
        <v>-595.61650605386785</v>
      </c>
      <c r="Q735" s="5">
        <v>-5.1447468285807281</v>
      </c>
    </row>
    <row r="736" spans="1:17" x14ac:dyDescent="0.2">
      <c r="A736" s="4" t="s">
        <v>73</v>
      </c>
      <c r="B736" s="4">
        <v>2014</v>
      </c>
      <c r="C736" s="4" t="s">
        <v>72</v>
      </c>
      <c r="D736" s="4">
        <v>3</v>
      </c>
      <c r="E736" s="4">
        <v>16</v>
      </c>
      <c r="F736" s="4">
        <v>3</v>
      </c>
      <c r="G736" s="6" t="str">
        <f t="shared" si="24"/>
        <v>163</v>
      </c>
      <c r="H736" s="5">
        <v>4.8</v>
      </c>
      <c r="I736" s="5">
        <v>194.21</v>
      </c>
      <c r="J736" s="5">
        <v>12189.112923152954</v>
      </c>
      <c r="K736" s="5">
        <v>8.6</v>
      </c>
      <c r="L736" s="5">
        <v>186.44</v>
      </c>
      <c r="M736" s="5">
        <v>11701.44798616259</v>
      </c>
      <c r="N736" s="5">
        <v>44.186046511627907</v>
      </c>
      <c r="O736" s="5">
        <v>7.7700000000000102</v>
      </c>
      <c r="P736" s="5">
        <v>487.66493699036437</v>
      </c>
      <c r="Q736" s="5">
        <v>4.167560609311316</v>
      </c>
    </row>
    <row r="737" spans="1:17" x14ac:dyDescent="0.2">
      <c r="A737" s="4" t="s">
        <v>73</v>
      </c>
      <c r="B737" s="4">
        <v>2014</v>
      </c>
      <c r="C737" s="4" t="s">
        <v>72</v>
      </c>
      <c r="D737" s="4">
        <v>4</v>
      </c>
      <c r="E737" s="4">
        <v>16</v>
      </c>
      <c r="F737" s="4">
        <v>3</v>
      </c>
      <c r="G737" s="6" t="str">
        <f t="shared" si="24"/>
        <v>163</v>
      </c>
      <c r="H737" s="5">
        <v>6.6</v>
      </c>
      <c r="I737" s="5">
        <v>191.43</v>
      </c>
      <c r="J737" s="5">
        <v>12014.633061527058</v>
      </c>
      <c r="K737" s="5">
        <v>7</v>
      </c>
      <c r="L737" s="5">
        <v>217.17</v>
      </c>
      <c r="M737" s="5">
        <v>13630.140845070422</v>
      </c>
      <c r="N737" s="5">
        <v>5.7142857142857197</v>
      </c>
      <c r="O737" s="5">
        <v>-25.739999999999981</v>
      </c>
      <c r="P737" s="5">
        <v>-1615.507783543364</v>
      </c>
      <c r="Q737" s="5">
        <v>-11.852465810194769</v>
      </c>
    </row>
    <row r="738" spans="1:17" x14ac:dyDescent="0.2">
      <c r="A738" s="4" t="s">
        <v>73</v>
      </c>
      <c r="B738" s="4">
        <v>2014</v>
      </c>
      <c r="C738" s="4" t="s">
        <v>72</v>
      </c>
      <c r="D738" s="4">
        <v>1</v>
      </c>
      <c r="E738" s="4">
        <v>17</v>
      </c>
      <c r="F738" s="4">
        <v>3</v>
      </c>
      <c r="G738" s="6" t="str">
        <f t="shared" si="24"/>
        <v>173</v>
      </c>
      <c r="H738" s="5">
        <v>2.4</v>
      </c>
      <c r="I738" s="5">
        <v>205.41</v>
      </c>
      <c r="J738" s="5">
        <v>12892.053372868791</v>
      </c>
      <c r="K738" s="5">
        <v>5.4</v>
      </c>
      <c r="L738" s="5">
        <v>191.24</v>
      </c>
      <c r="M738" s="5">
        <v>12002.70817889795</v>
      </c>
      <c r="N738" s="5">
        <v>55.555555555555557</v>
      </c>
      <c r="O738" s="5">
        <v>14.169999999999987</v>
      </c>
      <c r="P738" s="5">
        <v>889.34519397084114</v>
      </c>
      <c r="Q738" s="5">
        <v>7.409537753608018</v>
      </c>
    </row>
    <row r="739" spans="1:17" x14ac:dyDescent="0.2">
      <c r="A739" s="4" t="s">
        <v>73</v>
      </c>
      <c r="B739" s="4">
        <v>2014</v>
      </c>
      <c r="C739" s="4" t="s">
        <v>72</v>
      </c>
      <c r="D739" s="4">
        <v>2</v>
      </c>
      <c r="E739" s="4">
        <v>17</v>
      </c>
      <c r="F739" s="4">
        <v>3</v>
      </c>
      <c r="G739" s="6" t="str">
        <f t="shared" si="24"/>
        <v>173</v>
      </c>
      <c r="H739" s="5">
        <v>5</v>
      </c>
      <c r="I739" s="5">
        <v>191.36</v>
      </c>
      <c r="J739" s="5">
        <v>12010.239683716334</v>
      </c>
      <c r="K739" s="5">
        <v>4.4000000000000004</v>
      </c>
      <c r="L739" s="5">
        <v>184.46</v>
      </c>
      <c r="M739" s="5">
        <v>11577.178156659254</v>
      </c>
      <c r="N739" s="5">
        <v>-13.636363636363628</v>
      </c>
      <c r="O739" s="5">
        <v>6.9000000000000057</v>
      </c>
      <c r="P739" s="5">
        <v>433.06152705707973</v>
      </c>
      <c r="Q739" s="5">
        <v>3.7406483790523728</v>
      </c>
    </row>
    <row r="740" spans="1:17" x14ac:dyDescent="0.2">
      <c r="A740" s="4" t="s">
        <v>73</v>
      </c>
      <c r="B740" s="4">
        <v>2014</v>
      </c>
      <c r="C740" s="4" t="s">
        <v>72</v>
      </c>
      <c r="D740" s="4">
        <v>3</v>
      </c>
      <c r="E740" s="4">
        <v>17</v>
      </c>
      <c r="F740" s="4">
        <v>3</v>
      </c>
      <c r="G740" s="6" t="str">
        <f t="shared" si="24"/>
        <v>173</v>
      </c>
      <c r="H740" s="5">
        <v>7</v>
      </c>
      <c r="I740" s="5">
        <v>199.24</v>
      </c>
      <c r="J740" s="5">
        <v>12504.808500123549</v>
      </c>
      <c r="K740" s="5">
        <v>8.6</v>
      </c>
      <c r="L740" s="5">
        <v>186.44</v>
      </c>
      <c r="M740" s="5">
        <v>11701.44798616259</v>
      </c>
      <c r="N740" s="5">
        <v>18.604651162790695</v>
      </c>
      <c r="O740" s="5">
        <v>12.800000000000011</v>
      </c>
      <c r="P740" s="5">
        <v>803.360513960959</v>
      </c>
      <c r="Q740" s="5">
        <v>6.8654795108345867</v>
      </c>
    </row>
    <row r="741" spans="1:17" x14ac:dyDescent="0.2">
      <c r="A741" s="4" t="s">
        <v>73</v>
      </c>
      <c r="B741" s="4">
        <v>2014</v>
      </c>
      <c r="C741" s="4" t="s">
        <v>72</v>
      </c>
      <c r="D741" s="4">
        <v>4</v>
      </c>
      <c r="E741" s="4">
        <v>17</v>
      </c>
      <c r="F741" s="4">
        <v>3</v>
      </c>
      <c r="G741" s="6" t="str">
        <f t="shared" si="24"/>
        <v>173</v>
      </c>
      <c r="H741" s="5">
        <v>3.4</v>
      </c>
      <c r="I741" s="5">
        <v>195.03</v>
      </c>
      <c r="J741" s="5">
        <v>12240.578206078577</v>
      </c>
      <c r="K741" s="5">
        <v>7</v>
      </c>
      <c r="L741" s="5">
        <v>217.17</v>
      </c>
      <c r="M741" s="5">
        <v>13630.140845070422</v>
      </c>
      <c r="N741" s="5">
        <v>51.428571428571438</v>
      </c>
      <c r="O741" s="5">
        <v>-22.139999999999986</v>
      </c>
      <c r="P741" s="5">
        <v>-1389.5626389918452</v>
      </c>
      <c r="Q741" s="5">
        <v>-10.194778284293408</v>
      </c>
    </row>
    <row r="742" spans="1:17" x14ac:dyDescent="0.2">
      <c r="A742" s="4" t="s">
        <v>73</v>
      </c>
      <c r="B742" s="4">
        <v>2014</v>
      </c>
      <c r="C742" s="4" t="s">
        <v>72</v>
      </c>
      <c r="D742" s="4">
        <v>1</v>
      </c>
      <c r="E742" s="4">
        <v>18</v>
      </c>
      <c r="F742" s="4">
        <v>3</v>
      </c>
      <c r="G742" s="6" t="str">
        <f t="shared" si="24"/>
        <v>183</v>
      </c>
      <c r="H742" s="5">
        <v>4.8</v>
      </c>
      <c r="I742" s="5">
        <v>183.9</v>
      </c>
      <c r="J742" s="5">
        <v>11542.031134173461</v>
      </c>
      <c r="K742" s="5">
        <v>5.4</v>
      </c>
      <c r="L742" s="5">
        <v>191.24</v>
      </c>
      <c r="M742" s="5">
        <v>12002.70817889795</v>
      </c>
      <c r="N742" s="5">
        <v>11.11111111111112</v>
      </c>
      <c r="O742" s="5">
        <v>-7.3400000000000034</v>
      </c>
      <c r="P742" s="5">
        <v>-460.67704472448895</v>
      </c>
      <c r="Q742" s="5">
        <v>-3.8381091821794744</v>
      </c>
    </row>
    <row r="743" spans="1:17" x14ac:dyDescent="0.2">
      <c r="A743" s="4" t="s">
        <v>73</v>
      </c>
      <c r="B743" s="4">
        <v>2014</v>
      </c>
      <c r="C743" s="4" t="s">
        <v>72</v>
      </c>
      <c r="D743" s="4">
        <v>2</v>
      </c>
      <c r="E743" s="4">
        <v>18</v>
      </c>
      <c r="F743" s="4">
        <v>3</v>
      </c>
      <c r="G743" s="6" t="str">
        <f t="shared" si="24"/>
        <v>183</v>
      </c>
      <c r="H743" s="5">
        <v>6.2</v>
      </c>
      <c r="I743" s="5">
        <v>188.09</v>
      </c>
      <c r="J743" s="5">
        <v>11805.006177415369</v>
      </c>
      <c r="K743" s="5">
        <v>4.4000000000000004</v>
      </c>
      <c r="L743" s="5">
        <v>184.46</v>
      </c>
      <c r="M743" s="5">
        <v>11577.178156659254</v>
      </c>
      <c r="N743" s="5">
        <v>-40.909090909090899</v>
      </c>
      <c r="O743" s="5">
        <v>3.6299999999999955</v>
      </c>
      <c r="P743" s="5">
        <v>227.82802075611471</v>
      </c>
      <c r="Q743" s="5">
        <v>1.9679063211536296</v>
      </c>
    </row>
    <row r="744" spans="1:17" x14ac:dyDescent="0.2">
      <c r="A744" s="4" t="s">
        <v>73</v>
      </c>
      <c r="B744" s="4">
        <v>2014</v>
      </c>
      <c r="C744" s="4" t="s">
        <v>72</v>
      </c>
      <c r="D744" s="4">
        <v>3</v>
      </c>
      <c r="E744" s="4">
        <v>18</v>
      </c>
      <c r="F744" s="4">
        <v>3</v>
      </c>
      <c r="G744" s="6" t="str">
        <f t="shared" si="24"/>
        <v>183</v>
      </c>
      <c r="H744" s="5">
        <v>7</v>
      </c>
      <c r="I744" s="5">
        <v>188.28</v>
      </c>
      <c r="J744" s="5">
        <v>11816.931060044477</v>
      </c>
      <c r="K744" s="5">
        <v>8.6</v>
      </c>
      <c r="L744" s="5">
        <v>186.44</v>
      </c>
      <c r="M744" s="5">
        <v>11701.44798616259</v>
      </c>
      <c r="N744" s="5">
        <v>18.604651162790695</v>
      </c>
      <c r="O744" s="5">
        <v>1.8400000000000034</v>
      </c>
      <c r="P744" s="5">
        <v>115.48307388188732</v>
      </c>
      <c r="Q744" s="5">
        <v>0.98691267968246732</v>
      </c>
    </row>
    <row r="745" spans="1:17" x14ac:dyDescent="0.2">
      <c r="A745" s="4" t="s">
        <v>73</v>
      </c>
      <c r="B745" s="4">
        <v>2014</v>
      </c>
      <c r="C745" s="4" t="s">
        <v>72</v>
      </c>
      <c r="D745" s="4">
        <v>4</v>
      </c>
      <c r="E745" s="4">
        <v>18</v>
      </c>
      <c r="F745" s="4">
        <v>3</v>
      </c>
      <c r="G745" s="6" t="str">
        <f t="shared" si="24"/>
        <v>183</v>
      </c>
      <c r="H745" s="5">
        <v>4.4000000000000004</v>
      </c>
      <c r="I745" s="5">
        <v>181.7</v>
      </c>
      <c r="J745" s="5">
        <v>11403.953545836421</v>
      </c>
      <c r="K745" s="5">
        <v>7</v>
      </c>
      <c r="L745" s="5">
        <v>217.17</v>
      </c>
      <c r="M745" s="5">
        <v>13630.140845070422</v>
      </c>
      <c r="N745" s="5">
        <v>37.142857142857139</v>
      </c>
      <c r="O745" s="5">
        <v>-35.47</v>
      </c>
      <c r="P745" s="5">
        <v>-2226.1872992340013</v>
      </c>
      <c r="Q745" s="5">
        <v>-16.332826817700425</v>
      </c>
    </row>
    <row r="746" spans="1:17" x14ac:dyDescent="0.2">
      <c r="A746" s="4" t="s">
        <v>73</v>
      </c>
      <c r="B746" s="4">
        <v>2014</v>
      </c>
      <c r="C746" s="4" t="s">
        <v>72</v>
      </c>
      <c r="D746" s="4">
        <v>1</v>
      </c>
      <c r="E746" s="4">
        <v>19</v>
      </c>
      <c r="F746" s="4">
        <v>3</v>
      </c>
      <c r="G746" s="6" t="str">
        <f t="shared" si="24"/>
        <v>193</v>
      </c>
      <c r="H746" s="5">
        <v>3.4</v>
      </c>
      <c r="I746" s="5">
        <v>178.33</v>
      </c>
      <c r="J746" s="5">
        <v>11192.443785520139</v>
      </c>
      <c r="K746" s="5">
        <v>5.4</v>
      </c>
      <c r="L746" s="5">
        <v>191.24</v>
      </c>
      <c r="M746" s="5">
        <v>12002.70817889795</v>
      </c>
      <c r="N746" s="5">
        <v>37.037037037037038</v>
      </c>
      <c r="O746" s="5">
        <v>-12.909999999999997</v>
      </c>
      <c r="P746" s="5">
        <v>-810.26439337781085</v>
      </c>
      <c r="Q746" s="5">
        <v>-6.7506797741058362</v>
      </c>
    </row>
    <row r="747" spans="1:17" x14ac:dyDescent="0.2">
      <c r="A747" s="4" t="s">
        <v>73</v>
      </c>
      <c r="B747" s="4">
        <v>2014</v>
      </c>
      <c r="C747" s="4" t="s">
        <v>72</v>
      </c>
      <c r="D747" s="4">
        <v>2</v>
      </c>
      <c r="E747" s="4">
        <v>19</v>
      </c>
      <c r="F747" s="4">
        <v>3</v>
      </c>
      <c r="G747" s="6" t="str">
        <f t="shared" si="24"/>
        <v>193</v>
      </c>
      <c r="H747" s="5">
        <v>5.4</v>
      </c>
      <c r="I747" s="5">
        <v>165.27</v>
      </c>
      <c r="J747" s="5">
        <v>10372.765011119349</v>
      </c>
      <c r="K747" s="5">
        <v>4.4000000000000004</v>
      </c>
      <c r="L747" s="5">
        <v>184.46</v>
      </c>
      <c r="M747" s="5">
        <v>11577.178156659254</v>
      </c>
      <c r="N747" s="5">
        <v>-22.727272727272727</v>
      </c>
      <c r="O747" s="5">
        <v>-19.189999999999998</v>
      </c>
      <c r="P747" s="5">
        <v>-1204.4131455399056</v>
      </c>
      <c r="Q747" s="5">
        <v>-10.403339477393468</v>
      </c>
    </row>
    <row r="748" spans="1:17" x14ac:dyDescent="0.2">
      <c r="A748" s="4" t="s">
        <v>73</v>
      </c>
      <c r="B748" s="4">
        <v>2014</v>
      </c>
      <c r="C748" s="4" t="s">
        <v>72</v>
      </c>
      <c r="D748" s="4">
        <v>3</v>
      </c>
      <c r="E748" s="4">
        <v>19</v>
      </c>
      <c r="F748" s="4">
        <v>3</v>
      </c>
      <c r="G748" s="6" t="str">
        <f t="shared" si="24"/>
        <v>193</v>
      </c>
      <c r="H748" s="5">
        <v>6.4</v>
      </c>
      <c r="I748" s="5">
        <v>192.06</v>
      </c>
      <c r="J748" s="5">
        <v>12054.173461823573</v>
      </c>
      <c r="K748" s="5">
        <v>8.6</v>
      </c>
      <c r="L748" s="5">
        <v>186.44</v>
      </c>
      <c r="M748" s="5">
        <v>11701.44798616259</v>
      </c>
      <c r="N748" s="5">
        <v>25.581395348837205</v>
      </c>
      <c r="O748" s="5">
        <v>5.6200000000000045</v>
      </c>
      <c r="P748" s="5">
        <v>352.72547566098365</v>
      </c>
      <c r="Q748" s="5">
        <v>3.0143745977258116</v>
      </c>
    </row>
    <row r="749" spans="1:17" x14ac:dyDescent="0.2">
      <c r="A749" s="4" t="s">
        <v>73</v>
      </c>
      <c r="B749" s="4">
        <v>2014</v>
      </c>
      <c r="C749" s="4" t="s">
        <v>72</v>
      </c>
      <c r="D749" s="4">
        <v>4</v>
      </c>
      <c r="E749" s="4">
        <v>19</v>
      </c>
      <c r="F749" s="4">
        <v>3</v>
      </c>
      <c r="G749" s="6" t="str">
        <f t="shared" si="24"/>
        <v>193</v>
      </c>
      <c r="H749" s="5">
        <v>4.2</v>
      </c>
      <c r="I749" s="5">
        <v>209.09</v>
      </c>
      <c r="J749" s="5">
        <v>13123.019520632568</v>
      </c>
      <c r="K749" s="5">
        <v>7</v>
      </c>
      <c r="L749" s="5">
        <v>217.17</v>
      </c>
      <c r="M749" s="5">
        <v>13630.140845070422</v>
      </c>
      <c r="N749" s="5">
        <v>40</v>
      </c>
      <c r="O749" s="5">
        <v>-8.0799999999999841</v>
      </c>
      <c r="P749" s="5">
        <v>-507.12132443785413</v>
      </c>
      <c r="Q749" s="5">
        <v>-3.7205875581341732</v>
      </c>
    </row>
    <row r="750" spans="1:17" x14ac:dyDescent="0.2">
      <c r="A750" s="4" t="s">
        <v>53</v>
      </c>
      <c r="B750" s="4">
        <v>2014</v>
      </c>
      <c r="C750" s="4" t="s">
        <v>52</v>
      </c>
      <c r="D750" s="4">
        <v>1</v>
      </c>
      <c r="E750" s="4">
        <v>1</v>
      </c>
      <c r="F750" s="11">
        <v>0</v>
      </c>
      <c r="G750" s="6" t="str">
        <f t="shared" si="24"/>
        <v>10</v>
      </c>
      <c r="H750" s="5">
        <v>4</v>
      </c>
      <c r="I750" s="5">
        <v>218.05398609564699</v>
      </c>
      <c r="J750" s="5">
        <v>13685.622057893337</v>
      </c>
      <c r="K750" s="5">
        <v>4</v>
      </c>
      <c r="L750" s="5">
        <v>218.05398609564699</v>
      </c>
      <c r="M750" s="5">
        <v>13685.622057893337</v>
      </c>
      <c r="N750" s="5">
        <v>0</v>
      </c>
      <c r="O750" s="5">
        <v>0</v>
      </c>
      <c r="P750" s="5">
        <v>0</v>
      </c>
      <c r="Q750" s="5">
        <v>0</v>
      </c>
    </row>
    <row r="751" spans="1:17" x14ac:dyDescent="0.2">
      <c r="A751" s="4" t="s">
        <v>53</v>
      </c>
      <c r="B751" s="4">
        <v>2014</v>
      </c>
      <c r="C751" s="4" t="s">
        <v>52</v>
      </c>
      <c r="D751" s="4">
        <v>2</v>
      </c>
      <c r="E751" s="4">
        <v>1</v>
      </c>
      <c r="F751" s="11">
        <v>0</v>
      </c>
      <c r="G751" s="6" t="str">
        <f t="shared" si="24"/>
        <v>10</v>
      </c>
      <c r="H751" s="5">
        <v>4</v>
      </c>
      <c r="I751" s="5">
        <v>193.729942994824</v>
      </c>
      <c r="J751" s="5">
        <v>12158.983326089769</v>
      </c>
      <c r="K751" s="5">
        <v>4</v>
      </c>
      <c r="L751" s="5">
        <v>193.729942994824</v>
      </c>
      <c r="M751" s="5">
        <v>12158.983326089769</v>
      </c>
      <c r="N751" s="5">
        <v>0</v>
      </c>
      <c r="O751" s="5">
        <v>0</v>
      </c>
      <c r="P751" s="5">
        <v>0</v>
      </c>
      <c r="Q751" s="5">
        <v>0</v>
      </c>
    </row>
    <row r="752" spans="1:17" x14ac:dyDescent="0.2">
      <c r="A752" s="4" t="s">
        <v>53</v>
      </c>
      <c r="B752" s="4">
        <v>2014</v>
      </c>
      <c r="C752" s="4" t="s">
        <v>52</v>
      </c>
      <c r="D752" s="4">
        <v>3</v>
      </c>
      <c r="E752" s="4">
        <v>1</v>
      </c>
      <c r="F752" s="11">
        <v>0</v>
      </c>
      <c r="G752" s="6" t="str">
        <f t="shared" si="24"/>
        <v>10</v>
      </c>
      <c r="H752" s="5">
        <v>4</v>
      </c>
      <c r="I752" s="5">
        <v>192.13724364882401</v>
      </c>
      <c r="J752" s="5">
        <v>12059.02146943447</v>
      </c>
      <c r="K752" s="5">
        <v>4</v>
      </c>
      <c r="L752" s="5">
        <v>192.13724364882401</v>
      </c>
      <c r="M752" s="5">
        <v>12059.02146943447</v>
      </c>
      <c r="N752" s="5">
        <v>0</v>
      </c>
      <c r="O752" s="5">
        <v>0</v>
      </c>
      <c r="P752" s="5">
        <v>0</v>
      </c>
      <c r="Q752" s="5">
        <v>0</v>
      </c>
    </row>
    <row r="753" spans="1:17" s="7" customFormat="1" x14ac:dyDescent="0.2">
      <c r="A753" s="7" t="s">
        <v>53</v>
      </c>
      <c r="B753" s="7">
        <v>2014</v>
      </c>
      <c r="C753" s="7" t="s">
        <v>52</v>
      </c>
      <c r="D753" s="7">
        <v>4</v>
      </c>
      <c r="E753" s="7">
        <v>1</v>
      </c>
      <c r="F753" s="24">
        <v>0</v>
      </c>
      <c r="G753" s="6" t="str">
        <f t="shared" si="24"/>
        <v>10</v>
      </c>
      <c r="H753" s="9">
        <v>4</v>
      </c>
      <c r="I753" s="9">
        <v>159.04257412235299</v>
      </c>
      <c r="J753" s="9">
        <v>9981.9159444224515</v>
      </c>
      <c r="K753" s="9">
        <v>4</v>
      </c>
      <c r="L753" s="9">
        <v>159.04257412235299</v>
      </c>
      <c r="M753" s="9">
        <v>9981.9159444224515</v>
      </c>
      <c r="N753" s="9">
        <v>0</v>
      </c>
      <c r="O753" s="9">
        <v>0</v>
      </c>
      <c r="P753" s="9">
        <v>0</v>
      </c>
      <c r="Q753" s="9">
        <v>0</v>
      </c>
    </row>
    <row r="754" spans="1:17" x14ac:dyDescent="0.2">
      <c r="A754" s="4" t="s">
        <v>99</v>
      </c>
      <c r="B754" s="4">
        <v>2014</v>
      </c>
      <c r="C754" s="4" t="s">
        <v>52</v>
      </c>
      <c r="D754" s="4">
        <v>1</v>
      </c>
      <c r="E754" s="4">
        <v>1</v>
      </c>
      <c r="F754" s="5">
        <v>0</v>
      </c>
      <c r="G754" s="6" t="str">
        <f t="shared" si="24"/>
        <v>10</v>
      </c>
      <c r="H754" s="5">
        <v>70</v>
      </c>
      <c r="I754" s="5">
        <v>162.56</v>
      </c>
      <c r="J754" s="5">
        <v>10202.678527304175</v>
      </c>
      <c r="K754" s="5">
        <v>70</v>
      </c>
      <c r="L754" s="5">
        <v>162.56</v>
      </c>
      <c r="M754" s="5">
        <v>10202.678527304175</v>
      </c>
      <c r="N754" s="5">
        <v>0</v>
      </c>
      <c r="O754" s="5">
        <v>0</v>
      </c>
      <c r="P754" s="5">
        <v>0</v>
      </c>
      <c r="Q754" s="5">
        <v>0</v>
      </c>
    </row>
    <row r="755" spans="1:17" x14ac:dyDescent="0.2">
      <c r="A755" s="4" t="s">
        <v>99</v>
      </c>
      <c r="B755" s="4">
        <v>2014</v>
      </c>
      <c r="C755" s="4" t="s">
        <v>52</v>
      </c>
      <c r="D755" s="4">
        <v>2</v>
      </c>
      <c r="E755" s="4">
        <v>1</v>
      </c>
      <c r="F755" s="5">
        <v>0</v>
      </c>
      <c r="G755" s="6" t="str">
        <f t="shared" si="24"/>
        <v>10</v>
      </c>
      <c r="H755" s="5">
        <v>70</v>
      </c>
      <c r="I755" s="5">
        <v>168.24</v>
      </c>
      <c r="J755" s="5">
        <v>10559.169755374352</v>
      </c>
      <c r="K755" s="5">
        <v>70</v>
      </c>
      <c r="L755" s="5">
        <v>168.24</v>
      </c>
      <c r="M755" s="5">
        <v>10559.169755374352</v>
      </c>
      <c r="N755" s="5">
        <v>0</v>
      </c>
      <c r="O755" s="5">
        <v>0</v>
      </c>
      <c r="P755" s="5">
        <v>0</v>
      </c>
      <c r="Q755" s="5">
        <v>0</v>
      </c>
    </row>
    <row r="756" spans="1:17" x14ac:dyDescent="0.2">
      <c r="A756" s="4" t="s">
        <v>99</v>
      </c>
      <c r="B756" s="4">
        <v>2014</v>
      </c>
      <c r="C756" s="4" t="s">
        <v>52</v>
      </c>
      <c r="D756" s="4">
        <v>3</v>
      </c>
      <c r="E756" s="4">
        <v>1</v>
      </c>
      <c r="F756" s="5">
        <v>0</v>
      </c>
      <c r="G756" s="6" t="str">
        <f t="shared" si="24"/>
        <v>10</v>
      </c>
      <c r="H756" s="5">
        <v>70</v>
      </c>
      <c r="I756" s="5">
        <v>165.95</v>
      </c>
      <c r="J756" s="5">
        <v>10415.443538423522</v>
      </c>
      <c r="K756" s="5">
        <v>70</v>
      </c>
      <c r="L756" s="5">
        <v>165.95</v>
      </c>
      <c r="M756" s="5">
        <v>10415.443538423522</v>
      </c>
      <c r="N756" s="5">
        <v>0</v>
      </c>
      <c r="O756" s="5">
        <v>0</v>
      </c>
      <c r="P756" s="5">
        <v>0</v>
      </c>
      <c r="Q756" s="5">
        <v>0</v>
      </c>
    </row>
    <row r="757" spans="1:17" x14ac:dyDescent="0.2">
      <c r="A757" s="4" t="s">
        <v>99</v>
      </c>
      <c r="B757" s="4">
        <v>2014</v>
      </c>
      <c r="C757" s="4" t="s">
        <v>52</v>
      </c>
      <c r="D757" s="4">
        <v>4</v>
      </c>
      <c r="E757" s="4">
        <v>1</v>
      </c>
      <c r="F757" s="5">
        <v>0</v>
      </c>
      <c r="G757" s="6" t="str">
        <f t="shared" si="24"/>
        <v>10</v>
      </c>
      <c r="H757" s="5">
        <v>70</v>
      </c>
      <c r="I757" s="5">
        <v>163.37</v>
      </c>
      <c r="J757" s="5">
        <v>10253.516184828268</v>
      </c>
      <c r="K757" s="5">
        <v>70</v>
      </c>
      <c r="L757" s="5">
        <v>163.37</v>
      </c>
      <c r="M757" s="5">
        <v>10253.516184828268</v>
      </c>
      <c r="N757" s="5">
        <v>0</v>
      </c>
      <c r="O757" s="5">
        <v>0</v>
      </c>
      <c r="P757" s="5">
        <v>0</v>
      </c>
      <c r="Q757" s="5">
        <v>0</v>
      </c>
    </row>
    <row r="758" spans="1:17" x14ac:dyDescent="0.2">
      <c r="A758" s="4" t="s">
        <v>99</v>
      </c>
      <c r="B758" s="4">
        <v>2014</v>
      </c>
      <c r="C758" s="4" t="s">
        <v>52</v>
      </c>
      <c r="D758" s="4">
        <v>1</v>
      </c>
      <c r="E758" s="4">
        <v>2</v>
      </c>
      <c r="F758" s="4">
        <v>1</v>
      </c>
      <c r="G758" s="6" t="str">
        <f t="shared" si="24"/>
        <v>21</v>
      </c>
      <c r="H758" s="5">
        <v>70</v>
      </c>
      <c r="I758" s="5">
        <v>159.88</v>
      </c>
      <c r="J758" s="5">
        <v>10034.474919693599</v>
      </c>
      <c r="K758" s="5">
        <v>70</v>
      </c>
      <c r="L758" s="5">
        <v>162.56</v>
      </c>
      <c r="M758" s="5">
        <v>10202.678527304175</v>
      </c>
      <c r="N758" s="5">
        <v>0</v>
      </c>
      <c r="O758" s="5">
        <v>-2.6800000000000068</v>
      </c>
      <c r="P758" s="5">
        <v>-168.203607610576</v>
      </c>
      <c r="Q758" s="5">
        <v>-1.6486220472440971</v>
      </c>
    </row>
    <row r="759" spans="1:17" x14ac:dyDescent="0.2">
      <c r="A759" s="4" t="s">
        <v>99</v>
      </c>
      <c r="B759" s="4">
        <v>2014</v>
      </c>
      <c r="C759" s="4" t="s">
        <v>52</v>
      </c>
      <c r="D759" s="4">
        <v>2</v>
      </c>
      <c r="E759" s="4">
        <v>2</v>
      </c>
      <c r="F759" s="4">
        <v>1</v>
      </c>
      <c r="G759" s="6" t="str">
        <f t="shared" si="24"/>
        <v>21</v>
      </c>
      <c r="H759" s="5">
        <v>60</v>
      </c>
      <c r="I759" s="5">
        <v>169.23</v>
      </c>
      <c r="J759" s="5">
        <v>10621.304670126019</v>
      </c>
      <c r="K759" s="5">
        <v>70</v>
      </c>
      <c r="L759" s="5">
        <v>168.24</v>
      </c>
      <c r="M759" s="5">
        <v>10559.169755374352</v>
      </c>
      <c r="N759" s="5">
        <v>14.285714285714285</v>
      </c>
      <c r="O759" s="5">
        <v>0.98999999999998067</v>
      </c>
      <c r="P759" s="5">
        <v>62.134914751666656</v>
      </c>
      <c r="Q759" s="5">
        <v>0.58844507845933192</v>
      </c>
    </row>
    <row r="760" spans="1:17" x14ac:dyDescent="0.2">
      <c r="A760" s="4" t="s">
        <v>99</v>
      </c>
      <c r="B760" s="4">
        <v>2014</v>
      </c>
      <c r="C760" s="4" t="s">
        <v>52</v>
      </c>
      <c r="D760" s="4">
        <v>3</v>
      </c>
      <c r="E760" s="4">
        <v>2</v>
      </c>
      <c r="F760" s="4">
        <v>1</v>
      </c>
      <c r="G760" s="6" t="str">
        <f t="shared" si="24"/>
        <v>21</v>
      </c>
      <c r="H760" s="5">
        <v>65</v>
      </c>
      <c r="I760" s="5">
        <v>166.55</v>
      </c>
      <c r="J760" s="5">
        <v>10453.101062515445</v>
      </c>
      <c r="K760" s="5">
        <v>70</v>
      </c>
      <c r="L760" s="5">
        <v>165.95</v>
      </c>
      <c r="M760" s="5">
        <v>10415.443538423522</v>
      </c>
      <c r="N760" s="5">
        <v>7.1428571428571423</v>
      </c>
      <c r="O760" s="5">
        <v>0.60000000000002274</v>
      </c>
      <c r="P760" s="5">
        <v>37.657524091922824</v>
      </c>
      <c r="Q760" s="5">
        <v>0.36155468514615607</v>
      </c>
    </row>
    <row r="761" spans="1:17" x14ac:dyDescent="0.2">
      <c r="A761" s="4" t="s">
        <v>99</v>
      </c>
      <c r="B761" s="4">
        <v>2014</v>
      </c>
      <c r="C761" s="4" t="s">
        <v>52</v>
      </c>
      <c r="D761" s="4">
        <v>4</v>
      </c>
      <c r="E761" s="4">
        <v>2</v>
      </c>
      <c r="F761" s="4">
        <v>1</v>
      </c>
      <c r="G761" s="6" t="str">
        <f t="shared" si="24"/>
        <v>21</v>
      </c>
      <c r="H761" s="5">
        <v>65</v>
      </c>
      <c r="I761" s="5">
        <v>176.1</v>
      </c>
      <c r="J761" s="5">
        <v>11052.483320978503</v>
      </c>
      <c r="K761" s="5">
        <v>70</v>
      </c>
      <c r="L761" s="5">
        <v>163.37</v>
      </c>
      <c r="M761" s="5">
        <v>10253.516184828268</v>
      </c>
      <c r="N761" s="5">
        <v>7.1428571428571423</v>
      </c>
      <c r="O761" s="5">
        <v>12.72999999999999</v>
      </c>
      <c r="P761" s="5">
        <v>798.96713615023509</v>
      </c>
      <c r="Q761" s="5">
        <v>7.792128297729084</v>
      </c>
    </row>
    <row r="762" spans="1:17" x14ac:dyDescent="0.2">
      <c r="A762" s="4" t="s">
        <v>99</v>
      </c>
      <c r="B762" s="4">
        <v>2014</v>
      </c>
      <c r="C762" s="4" t="s">
        <v>52</v>
      </c>
      <c r="D762" s="4">
        <v>1</v>
      </c>
      <c r="E762" s="4">
        <v>3</v>
      </c>
      <c r="F762" s="4">
        <v>1</v>
      </c>
      <c r="G762" s="6" t="str">
        <f t="shared" si="24"/>
        <v>31</v>
      </c>
      <c r="H762" s="5">
        <v>60</v>
      </c>
      <c r="I762" s="5">
        <v>171.91</v>
      </c>
      <c r="J762" s="5">
        <v>10789.508277736595</v>
      </c>
      <c r="K762" s="5">
        <v>70</v>
      </c>
      <c r="L762" s="5">
        <v>162.56</v>
      </c>
      <c r="M762" s="5">
        <v>10202.678527304175</v>
      </c>
      <c r="N762" s="5">
        <v>14.285714285714285</v>
      </c>
      <c r="O762" s="5">
        <v>9.3499999999999943</v>
      </c>
      <c r="P762" s="5">
        <v>586.82975043242004</v>
      </c>
      <c r="Q762" s="5">
        <v>5.7517224409448922</v>
      </c>
    </row>
    <row r="763" spans="1:17" x14ac:dyDescent="0.2">
      <c r="A763" s="4" t="s">
        <v>99</v>
      </c>
      <c r="B763" s="4">
        <v>2014</v>
      </c>
      <c r="C763" s="4" t="s">
        <v>52</v>
      </c>
      <c r="D763" s="4">
        <v>2</v>
      </c>
      <c r="E763" s="4">
        <v>3</v>
      </c>
      <c r="F763" s="4">
        <v>1</v>
      </c>
      <c r="G763" s="6" t="str">
        <f t="shared" si="24"/>
        <v>31</v>
      </c>
      <c r="H763" s="5">
        <v>65</v>
      </c>
      <c r="I763" s="5">
        <v>169.54</v>
      </c>
      <c r="J763" s="5">
        <v>10640.761057573511</v>
      </c>
      <c r="K763" s="5">
        <v>70</v>
      </c>
      <c r="L763" s="5">
        <v>168.24</v>
      </c>
      <c r="M763" s="5">
        <v>10559.169755374352</v>
      </c>
      <c r="N763" s="5">
        <v>7.1428571428571423</v>
      </c>
      <c r="O763" s="5">
        <v>1.2999999999999829</v>
      </c>
      <c r="P763" s="5">
        <v>81.591302199158235</v>
      </c>
      <c r="Q763" s="5">
        <v>0.77270565858296114</v>
      </c>
    </row>
    <row r="764" spans="1:17" x14ac:dyDescent="0.2">
      <c r="A764" s="4" t="s">
        <v>99</v>
      </c>
      <c r="B764" s="4">
        <v>2014</v>
      </c>
      <c r="C764" s="4" t="s">
        <v>52</v>
      </c>
      <c r="D764" s="4">
        <v>3</v>
      </c>
      <c r="E764" s="4">
        <v>3</v>
      </c>
      <c r="F764" s="4">
        <v>1</v>
      </c>
      <c r="G764" s="6" t="str">
        <f t="shared" si="24"/>
        <v>31</v>
      </c>
      <c r="H764" s="5">
        <v>65</v>
      </c>
      <c r="I764" s="5">
        <v>171.35</v>
      </c>
      <c r="J764" s="5">
        <v>10754.361255250802</v>
      </c>
      <c r="K764" s="5">
        <v>70</v>
      </c>
      <c r="L764" s="5">
        <v>165.95</v>
      </c>
      <c r="M764" s="5">
        <v>10415.443538423522</v>
      </c>
      <c r="N764" s="5">
        <v>7.1428571428571423</v>
      </c>
      <c r="O764" s="5">
        <v>5.4000000000000057</v>
      </c>
      <c r="P764" s="5">
        <v>338.91771682727995</v>
      </c>
      <c r="Q764" s="5">
        <v>3.2539921663151601</v>
      </c>
    </row>
    <row r="765" spans="1:17" x14ac:dyDescent="0.2">
      <c r="A765" s="4" t="s">
        <v>99</v>
      </c>
      <c r="B765" s="4">
        <v>2014</v>
      </c>
      <c r="C765" s="4" t="s">
        <v>52</v>
      </c>
      <c r="D765" s="4">
        <v>4</v>
      </c>
      <c r="E765" s="4">
        <v>3</v>
      </c>
      <c r="F765" s="4">
        <v>1</v>
      </c>
      <c r="G765" s="6" t="str">
        <f t="shared" si="24"/>
        <v>31</v>
      </c>
      <c r="H765" s="5">
        <v>65</v>
      </c>
      <c r="I765" s="5">
        <v>161.84</v>
      </c>
      <c r="J765" s="5">
        <v>10157.489498393872</v>
      </c>
      <c r="K765" s="5">
        <v>70</v>
      </c>
      <c r="L765" s="5">
        <v>163.37</v>
      </c>
      <c r="M765" s="5">
        <v>10253.516184828268</v>
      </c>
      <c r="N765" s="5">
        <v>7.1428571428571423</v>
      </c>
      <c r="O765" s="5">
        <v>-1.5300000000000011</v>
      </c>
      <c r="P765" s="5">
        <v>-96.026686434395742</v>
      </c>
      <c r="Q765" s="5">
        <v>-0.93652445369406756</v>
      </c>
    </row>
    <row r="766" spans="1:17" x14ac:dyDescent="0.2">
      <c r="A766" s="4" t="s">
        <v>99</v>
      </c>
      <c r="B766" s="4">
        <v>2014</v>
      </c>
      <c r="C766" s="4" t="s">
        <v>52</v>
      </c>
      <c r="D766" s="4">
        <v>1</v>
      </c>
      <c r="E766" s="4">
        <v>4</v>
      </c>
      <c r="F766" s="4">
        <v>1</v>
      </c>
      <c r="G766" s="6" t="str">
        <f t="shared" si="24"/>
        <v>41</v>
      </c>
      <c r="H766" s="5">
        <v>70</v>
      </c>
      <c r="I766" s="5">
        <v>157.62</v>
      </c>
      <c r="J766" s="5">
        <v>9892.6315789473683</v>
      </c>
      <c r="K766" s="5">
        <v>70</v>
      </c>
      <c r="L766" s="5">
        <v>162.56</v>
      </c>
      <c r="M766" s="5">
        <v>10202.678527304175</v>
      </c>
      <c r="N766" s="5">
        <v>0</v>
      </c>
      <c r="O766" s="5">
        <v>-4.9399999999999977</v>
      </c>
      <c r="P766" s="5">
        <v>-310.04694835680675</v>
      </c>
      <c r="Q766" s="5">
        <v>-3.0388779527558984</v>
      </c>
    </row>
    <row r="767" spans="1:17" x14ac:dyDescent="0.2">
      <c r="A767" s="4" t="s">
        <v>99</v>
      </c>
      <c r="B767" s="4">
        <v>2014</v>
      </c>
      <c r="C767" s="4" t="s">
        <v>52</v>
      </c>
      <c r="D767" s="4">
        <v>2</v>
      </c>
      <c r="E767" s="4">
        <v>4</v>
      </c>
      <c r="F767" s="4">
        <v>1</v>
      </c>
      <c r="G767" s="6" t="str">
        <f t="shared" si="24"/>
        <v>41</v>
      </c>
      <c r="H767" s="5">
        <v>65</v>
      </c>
      <c r="I767" s="5">
        <v>159.82</v>
      </c>
      <c r="J767" s="5">
        <v>10030.709167284407</v>
      </c>
      <c r="K767" s="5">
        <v>70</v>
      </c>
      <c r="L767" s="5">
        <v>168.24</v>
      </c>
      <c r="M767" s="5">
        <v>10559.169755374352</v>
      </c>
      <c r="N767" s="5">
        <v>7.1428571428571423</v>
      </c>
      <c r="O767" s="5">
        <v>-8.4200000000000159</v>
      </c>
      <c r="P767" s="5">
        <v>-528.4605880899453</v>
      </c>
      <c r="Q767" s="5">
        <v>-5.004755111745145</v>
      </c>
    </row>
    <row r="768" spans="1:17" x14ac:dyDescent="0.2">
      <c r="A768" s="4" t="s">
        <v>99</v>
      </c>
      <c r="B768" s="4">
        <v>2014</v>
      </c>
      <c r="C768" s="4" t="s">
        <v>52</v>
      </c>
      <c r="D768" s="4">
        <v>3</v>
      </c>
      <c r="E768" s="4">
        <v>4</v>
      </c>
      <c r="F768" s="4">
        <v>1</v>
      </c>
      <c r="G768" s="6" t="str">
        <f t="shared" si="24"/>
        <v>41</v>
      </c>
      <c r="H768" s="5">
        <v>70</v>
      </c>
      <c r="I768" s="5">
        <v>163.47999999999999</v>
      </c>
      <c r="J768" s="5">
        <v>10260.42006424512</v>
      </c>
      <c r="K768" s="5">
        <v>70</v>
      </c>
      <c r="L768" s="5">
        <v>165.95</v>
      </c>
      <c r="M768" s="5">
        <v>10415.443538423522</v>
      </c>
      <c r="N768" s="5">
        <v>0</v>
      </c>
      <c r="O768" s="5">
        <v>-2.4699999999999989</v>
      </c>
      <c r="P768" s="5">
        <v>-155.02347417840247</v>
      </c>
      <c r="Q768" s="5">
        <v>-1.4884001205182162</v>
      </c>
    </row>
    <row r="769" spans="1:17" x14ac:dyDescent="0.2">
      <c r="A769" s="4" t="s">
        <v>99</v>
      </c>
      <c r="B769" s="4">
        <v>2014</v>
      </c>
      <c r="C769" s="4" t="s">
        <v>52</v>
      </c>
      <c r="D769" s="4">
        <v>4</v>
      </c>
      <c r="E769" s="4">
        <v>4</v>
      </c>
      <c r="F769" s="4">
        <v>1</v>
      </c>
      <c r="G769" s="6" t="str">
        <f t="shared" si="24"/>
        <v>41</v>
      </c>
      <c r="H769" s="5">
        <v>70</v>
      </c>
      <c r="I769" s="5">
        <v>159.52000000000001</v>
      </c>
      <c r="J769" s="5">
        <v>10011.880405238449</v>
      </c>
      <c r="K769" s="5">
        <v>70</v>
      </c>
      <c r="L769" s="5">
        <v>163.37</v>
      </c>
      <c r="M769" s="5">
        <v>10253.516184828268</v>
      </c>
      <c r="N769" s="5">
        <v>0</v>
      </c>
      <c r="O769" s="5">
        <v>-3.8499999999999943</v>
      </c>
      <c r="P769" s="5">
        <v>-241.63577958981841</v>
      </c>
      <c r="Q769" s="5">
        <v>-2.3566138213870236</v>
      </c>
    </row>
    <row r="770" spans="1:17" x14ac:dyDescent="0.2">
      <c r="A770" s="4" t="s">
        <v>99</v>
      </c>
      <c r="B770" s="4">
        <v>2014</v>
      </c>
      <c r="C770" s="4" t="s">
        <v>52</v>
      </c>
      <c r="D770" s="4">
        <v>1</v>
      </c>
      <c r="E770" s="4">
        <v>5</v>
      </c>
      <c r="F770" s="4">
        <v>1</v>
      </c>
      <c r="G770" s="6" t="str">
        <f t="shared" ref="G770:G833" si="25">E770&amp;F770</f>
        <v>51</v>
      </c>
      <c r="H770" s="5">
        <v>65</v>
      </c>
      <c r="I770" s="5">
        <v>168.01</v>
      </c>
      <c r="J770" s="5">
        <v>10544.734371139115</v>
      </c>
      <c r="K770" s="5">
        <v>70</v>
      </c>
      <c r="L770" s="5">
        <v>162.56</v>
      </c>
      <c r="M770" s="5">
        <v>10202.678527304175</v>
      </c>
      <c r="N770" s="5">
        <v>7.1428571428571423</v>
      </c>
      <c r="O770" s="5">
        <v>5.4499999999999886</v>
      </c>
      <c r="P770" s="5">
        <v>342.05584383493988</v>
      </c>
      <c r="Q770" s="5">
        <v>3.3526082677165401</v>
      </c>
    </row>
    <row r="771" spans="1:17" x14ac:dyDescent="0.2">
      <c r="A771" s="4" t="s">
        <v>99</v>
      </c>
      <c r="B771" s="4">
        <v>2014</v>
      </c>
      <c r="C771" s="4" t="s">
        <v>52</v>
      </c>
      <c r="D771" s="4">
        <v>2</v>
      </c>
      <c r="E771" s="4">
        <v>5</v>
      </c>
      <c r="F771" s="4">
        <v>1</v>
      </c>
      <c r="G771" s="6" t="str">
        <f t="shared" si="25"/>
        <v>51</v>
      </c>
      <c r="H771" s="5">
        <v>60</v>
      </c>
      <c r="I771" s="5">
        <v>157.99</v>
      </c>
      <c r="J771" s="5">
        <v>9915.8537188040536</v>
      </c>
      <c r="K771" s="5">
        <v>70</v>
      </c>
      <c r="L771" s="5">
        <v>168.24</v>
      </c>
      <c r="M771" s="5">
        <v>10559.169755374352</v>
      </c>
      <c r="N771" s="5">
        <v>14.285714285714285</v>
      </c>
      <c r="O771" s="5">
        <v>-10.25</v>
      </c>
      <c r="P771" s="5">
        <v>-643.31603657029882</v>
      </c>
      <c r="Q771" s="5">
        <v>-6.0924869234426984</v>
      </c>
    </row>
    <row r="772" spans="1:17" x14ac:dyDescent="0.2">
      <c r="A772" s="4" t="s">
        <v>99</v>
      </c>
      <c r="B772" s="4">
        <v>2014</v>
      </c>
      <c r="C772" s="4" t="s">
        <v>52</v>
      </c>
      <c r="D772" s="4">
        <v>3</v>
      </c>
      <c r="E772" s="4">
        <v>5</v>
      </c>
      <c r="F772" s="4">
        <v>1</v>
      </c>
      <c r="G772" s="6" t="str">
        <f t="shared" si="25"/>
        <v>51</v>
      </c>
      <c r="H772" s="5">
        <v>60</v>
      </c>
      <c r="I772" s="5">
        <v>166.47</v>
      </c>
      <c r="J772" s="5">
        <v>10448.080059303187</v>
      </c>
      <c r="K772" s="5">
        <v>70</v>
      </c>
      <c r="L772" s="5">
        <v>165.95</v>
      </c>
      <c r="M772" s="5">
        <v>10415.443538423522</v>
      </c>
      <c r="N772" s="5">
        <v>14.285714285714285</v>
      </c>
      <c r="O772" s="5">
        <v>0.52000000000001023</v>
      </c>
      <c r="P772" s="5">
        <v>32.636520879665113</v>
      </c>
      <c r="Q772" s="5">
        <v>0.31334739379332244</v>
      </c>
    </row>
    <row r="773" spans="1:17" x14ac:dyDescent="0.2">
      <c r="A773" s="4" t="s">
        <v>99</v>
      </c>
      <c r="B773" s="4">
        <v>2014</v>
      </c>
      <c r="C773" s="4" t="s">
        <v>52</v>
      </c>
      <c r="D773" s="4">
        <v>4</v>
      </c>
      <c r="E773" s="4">
        <v>5</v>
      </c>
      <c r="F773" s="4">
        <v>1</v>
      </c>
      <c r="G773" s="6" t="str">
        <f t="shared" si="25"/>
        <v>51</v>
      </c>
      <c r="H773" s="5">
        <v>55</v>
      </c>
      <c r="I773" s="5">
        <v>167.09</v>
      </c>
      <c r="J773" s="5">
        <v>10486.992834198172</v>
      </c>
      <c r="K773" s="5">
        <v>70</v>
      </c>
      <c r="L773" s="5">
        <v>163.37</v>
      </c>
      <c r="M773" s="5">
        <v>10253.516184828268</v>
      </c>
      <c r="N773" s="5">
        <v>21.428571428571427</v>
      </c>
      <c r="O773" s="5">
        <v>3.7199999999999989</v>
      </c>
      <c r="P773" s="5">
        <v>233.47664936990441</v>
      </c>
      <c r="Q773" s="5">
        <v>2.2770398481973508</v>
      </c>
    </row>
    <row r="774" spans="1:17" x14ac:dyDescent="0.2">
      <c r="A774" s="4" t="s">
        <v>99</v>
      </c>
      <c r="B774" s="4">
        <v>2014</v>
      </c>
      <c r="C774" s="4" t="s">
        <v>52</v>
      </c>
      <c r="D774" s="4">
        <v>1</v>
      </c>
      <c r="E774" s="4">
        <v>6</v>
      </c>
      <c r="F774" s="4">
        <v>1</v>
      </c>
      <c r="G774" s="6" t="str">
        <f t="shared" si="25"/>
        <v>61</v>
      </c>
      <c r="H774" s="5">
        <v>70</v>
      </c>
      <c r="I774" s="5">
        <v>162.25</v>
      </c>
      <c r="J774" s="5">
        <v>10183.222139856683</v>
      </c>
      <c r="K774" s="5">
        <v>70</v>
      </c>
      <c r="L774" s="5">
        <v>162.56</v>
      </c>
      <c r="M774" s="5">
        <v>10202.678527304175</v>
      </c>
      <c r="N774" s="5">
        <v>0</v>
      </c>
      <c r="O774" s="5">
        <v>-0.31000000000000227</v>
      </c>
      <c r="P774" s="5">
        <v>-19.456387447491579</v>
      </c>
      <c r="Q774" s="5">
        <v>-0.19069881889763399</v>
      </c>
    </row>
    <row r="775" spans="1:17" x14ac:dyDescent="0.2">
      <c r="A775" s="4" t="s">
        <v>99</v>
      </c>
      <c r="B775" s="4">
        <v>2014</v>
      </c>
      <c r="C775" s="4" t="s">
        <v>52</v>
      </c>
      <c r="D775" s="4">
        <v>2</v>
      </c>
      <c r="E775" s="4">
        <v>6</v>
      </c>
      <c r="F775" s="4">
        <v>1</v>
      </c>
      <c r="G775" s="6" t="str">
        <f t="shared" si="25"/>
        <v>61</v>
      </c>
      <c r="H775" s="5">
        <v>70</v>
      </c>
      <c r="I775" s="5">
        <v>169.91</v>
      </c>
      <c r="J775" s="5">
        <v>10663.983197430194</v>
      </c>
      <c r="K775" s="5">
        <v>70</v>
      </c>
      <c r="L775" s="5">
        <v>168.24</v>
      </c>
      <c r="M775" s="5">
        <v>10559.169755374352</v>
      </c>
      <c r="N775" s="5">
        <v>0</v>
      </c>
      <c r="O775" s="5">
        <v>1.6699999999999875</v>
      </c>
      <c r="P775" s="5">
        <v>104.81344205584173</v>
      </c>
      <c r="Q775" s="5">
        <v>0.99262957679503472</v>
      </c>
    </row>
    <row r="776" spans="1:17" x14ac:dyDescent="0.2">
      <c r="A776" s="4" t="s">
        <v>99</v>
      </c>
      <c r="B776" s="4">
        <v>2014</v>
      </c>
      <c r="C776" s="4" t="s">
        <v>52</v>
      </c>
      <c r="D776" s="4">
        <v>3</v>
      </c>
      <c r="E776" s="4">
        <v>6</v>
      </c>
      <c r="F776" s="4">
        <v>1</v>
      </c>
      <c r="G776" s="6" t="str">
        <f t="shared" si="25"/>
        <v>61</v>
      </c>
      <c r="H776" s="5">
        <v>70</v>
      </c>
      <c r="I776" s="5">
        <v>168.76</v>
      </c>
      <c r="J776" s="5">
        <v>10591.806276254014</v>
      </c>
      <c r="K776" s="5">
        <v>70</v>
      </c>
      <c r="L776" s="5">
        <v>165.95</v>
      </c>
      <c r="M776" s="5">
        <v>10415.443538423522</v>
      </c>
      <c r="N776" s="5">
        <v>0</v>
      </c>
      <c r="O776" s="5">
        <v>2.8100000000000023</v>
      </c>
      <c r="P776" s="5">
        <v>176.36273783049182</v>
      </c>
      <c r="Q776" s="5">
        <v>1.6932811087677024</v>
      </c>
    </row>
    <row r="777" spans="1:17" x14ac:dyDescent="0.2">
      <c r="A777" s="4" t="s">
        <v>99</v>
      </c>
      <c r="B777" s="4">
        <v>2014</v>
      </c>
      <c r="C777" s="4" t="s">
        <v>52</v>
      </c>
      <c r="D777" s="4">
        <v>4</v>
      </c>
      <c r="E777" s="4">
        <v>6</v>
      </c>
      <c r="F777" s="4">
        <v>1</v>
      </c>
      <c r="G777" s="6" t="str">
        <f t="shared" si="25"/>
        <v>61</v>
      </c>
      <c r="H777" s="5">
        <v>65</v>
      </c>
      <c r="I777" s="5">
        <v>164.08</v>
      </c>
      <c r="J777" s="5">
        <v>10298.077588337041</v>
      </c>
      <c r="K777" s="5">
        <v>70</v>
      </c>
      <c r="L777" s="5">
        <v>163.37</v>
      </c>
      <c r="M777" s="5">
        <v>10253.516184828268</v>
      </c>
      <c r="N777" s="5">
        <v>7.1428571428571423</v>
      </c>
      <c r="O777" s="5">
        <v>0.71000000000000796</v>
      </c>
      <c r="P777" s="5">
        <v>44.561403508772855</v>
      </c>
      <c r="Q777" s="5">
        <v>0.43459631511294289</v>
      </c>
    </row>
    <row r="778" spans="1:17" x14ac:dyDescent="0.2">
      <c r="A778" s="4" t="s">
        <v>53</v>
      </c>
      <c r="B778" s="4">
        <v>2014</v>
      </c>
      <c r="C778" s="4" t="s">
        <v>52</v>
      </c>
      <c r="D778" s="4">
        <v>1</v>
      </c>
      <c r="E778" s="4">
        <v>7</v>
      </c>
      <c r="F778" s="4">
        <v>2</v>
      </c>
      <c r="G778" s="6" t="str">
        <f t="shared" si="25"/>
        <v>72</v>
      </c>
      <c r="H778" s="5">
        <v>3</v>
      </c>
      <c r="I778" s="5">
        <v>196.53470888717601</v>
      </c>
      <c r="J778" s="5">
        <v>12335.017558028838</v>
      </c>
      <c r="K778" s="5">
        <v>4</v>
      </c>
      <c r="L778" s="5">
        <v>218.05398609564699</v>
      </c>
      <c r="M778" s="5">
        <v>13685.622057893337</v>
      </c>
      <c r="N778" s="5">
        <v>25</v>
      </c>
      <c r="O778" s="5">
        <v>-21.519277208470982</v>
      </c>
      <c r="P778" s="5">
        <v>-1350.6044998644993</v>
      </c>
      <c r="Q778" s="5">
        <v>-9.8687841455151322</v>
      </c>
    </row>
    <row r="779" spans="1:17" x14ac:dyDescent="0.2">
      <c r="A779" s="4" t="s">
        <v>53</v>
      </c>
      <c r="B779" s="4">
        <v>2014</v>
      </c>
      <c r="C779" s="4" t="s">
        <v>52</v>
      </c>
      <c r="D779" s="4">
        <v>2</v>
      </c>
      <c r="E779" s="4">
        <v>7</v>
      </c>
      <c r="F779" s="4">
        <v>2</v>
      </c>
      <c r="G779" s="6" t="str">
        <f t="shared" si="25"/>
        <v>72</v>
      </c>
      <c r="H779" s="5">
        <v>4</v>
      </c>
      <c r="I779" s="5">
        <v>186.70215223058801</v>
      </c>
      <c r="J779" s="5">
        <v>11717.901326061121</v>
      </c>
      <c r="K779" s="5">
        <v>4</v>
      </c>
      <c r="L779" s="5">
        <v>193.729942994824</v>
      </c>
      <c r="M779" s="5">
        <v>12158.983326089769</v>
      </c>
      <c r="N779" s="5">
        <v>0</v>
      </c>
      <c r="O779" s="5">
        <v>-7.0277907642359878</v>
      </c>
      <c r="P779" s="5">
        <v>-441.0820000286476</v>
      </c>
      <c r="Q779" s="5">
        <v>-3.627622377622719</v>
      </c>
    </row>
    <row r="780" spans="1:17" x14ac:dyDescent="0.2">
      <c r="A780" s="4" t="s">
        <v>53</v>
      </c>
      <c r="B780" s="4">
        <v>2014</v>
      </c>
      <c r="C780" s="4" t="s">
        <v>52</v>
      </c>
      <c r="D780" s="4">
        <v>3</v>
      </c>
      <c r="E780" s="4">
        <v>7</v>
      </c>
      <c r="F780" s="4">
        <v>2</v>
      </c>
      <c r="G780" s="6" t="str">
        <f t="shared" si="25"/>
        <v>72</v>
      </c>
      <c r="H780" s="5">
        <v>4</v>
      </c>
      <c r="I780" s="5">
        <v>189.90715096376499</v>
      </c>
      <c r="J780" s="5">
        <v>11919.055187743095</v>
      </c>
      <c r="K780" s="5">
        <v>4</v>
      </c>
      <c r="L780" s="5">
        <v>192.13724364882401</v>
      </c>
      <c r="M780" s="5">
        <v>12059.02146943447</v>
      </c>
      <c r="N780" s="5">
        <v>0</v>
      </c>
      <c r="O780" s="5">
        <v>-2.2300926850590201</v>
      </c>
      <c r="P780" s="5">
        <v>-139.96628169137512</v>
      </c>
      <c r="Q780" s="5">
        <v>-1.1606769425375201</v>
      </c>
    </row>
    <row r="781" spans="1:17" x14ac:dyDescent="0.2">
      <c r="A781" s="4" t="s">
        <v>53</v>
      </c>
      <c r="B781" s="4">
        <v>2014</v>
      </c>
      <c r="C781" s="4" t="s">
        <v>52</v>
      </c>
      <c r="D781" s="4">
        <v>4</v>
      </c>
      <c r="E781" s="4">
        <v>7</v>
      </c>
      <c r="F781" s="4">
        <v>2</v>
      </c>
      <c r="G781" s="6" t="str">
        <f t="shared" si="25"/>
        <v>72</v>
      </c>
      <c r="H781" s="5">
        <v>3</v>
      </c>
      <c r="I781" s="5">
        <v>184.39718738823501</v>
      </c>
      <c r="J781" s="5">
        <v>11573.235877591225</v>
      </c>
      <c r="K781" s="5">
        <v>4</v>
      </c>
      <c r="L781" s="5">
        <v>159.04257412235299</v>
      </c>
      <c r="M781" s="5">
        <v>9981.9159444224515</v>
      </c>
      <c r="N781" s="5">
        <v>25</v>
      </c>
      <c r="O781" s="5">
        <v>25.354613265882023</v>
      </c>
      <c r="P781" s="5">
        <v>1591.3199331687738</v>
      </c>
      <c r="Q781" s="5">
        <v>15.942028985507017</v>
      </c>
    </row>
    <row r="782" spans="1:17" x14ac:dyDescent="0.2">
      <c r="A782" s="4" t="s">
        <v>99</v>
      </c>
      <c r="B782" s="4">
        <v>2014</v>
      </c>
      <c r="C782" s="4" t="s">
        <v>52</v>
      </c>
      <c r="D782" s="4">
        <v>1</v>
      </c>
      <c r="E782" s="4">
        <v>7</v>
      </c>
      <c r="F782" s="4">
        <v>2</v>
      </c>
      <c r="G782" s="6" t="str">
        <f t="shared" si="25"/>
        <v>72</v>
      </c>
      <c r="H782" s="5">
        <v>25</v>
      </c>
      <c r="I782" s="5">
        <v>172.42</v>
      </c>
      <c r="J782" s="5">
        <v>10821.517173214726</v>
      </c>
      <c r="K782" s="5">
        <v>70</v>
      </c>
      <c r="L782" s="5">
        <v>162.56</v>
      </c>
      <c r="M782" s="5">
        <v>10202.678527304175</v>
      </c>
      <c r="N782" s="5">
        <v>64.285714285714292</v>
      </c>
      <c r="O782" s="5">
        <v>9.8599999999999852</v>
      </c>
      <c r="P782" s="5">
        <v>618.83864591055135</v>
      </c>
      <c r="Q782" s="5">
        <v>6.0654527559055156</v>
      </c>
    </row>
    <row r="783" spans="1:17" x14ac:dyDescent="0.2">
      <c r="A783" s="4" t="s">
        <v>99</v>
      </c>
      <c r="B783" s="4">
        <v>2014</v>
      </c>
      <c r="C783" s="4" t="s">
        <v>52</v>
      </c>
      <c r="D783" s="4">
        <v>2</v>
      </c>
      <c r="E783" s="4">
        <v>7</v>
      </c>
      <c r="F783" s="4">
        <v>2</v>
      </c>
      <c r="G783" s="6" t="str">
        <f t="shared" si="25"/>
        <v>72</v>
      </c>
      <c r="H783" s="5">
        <v>15</v>
      </c>
      <c r="I783" s="5">
        <v>176.95</v>
      </c>
      <c r="J783" s="5">
        <v>11105.831480108722</v>
      </c>
      <c r="K783" s="5">
        <v>70</v>
      </c>
      <c r="L783" s="5">
        <v>168.24</v>
      </c>
      <c r="M783" s="5">
        <v>10559.169755374352</v>
      </c>
      <c r="N783" s="5">
        <v>78.571428571428569</v>
      </c>
      <c r="O783" s="5">
        <v>8.7099999999999795</v>
      </c>
      <c r="P783" s="5">
        <v>546.66172473436927</v>
      </c>
      <c r="Q783" s="5">
        <v>5.1771279125059255</v>
      </c>
    </row>
    <row r="784" spans="1:17" x14ac:dyDescent="0.2">
      <c r="A784" s="4" t="s">
        <v>99</v>
      </c>
      <c r="B784" s="4">
        <v>2014</v>
      </c>
      <c r="C784" s="4" t="s">
        <v>52</v>
      </c>
      <c r="D784" s="4">
        <v>3</v>
      </c>
      <c r="E784" s="4">
        <v>7</v>
      </c>
      <c r="F784" s="4">
        <v>2</v>
      </c>
      <c r="G784" s="6" t="str">
        <f t="shared" si="25"/>
        <v>72</v>
      </c>
      <c r="H784" s="5">
        <v>10</v>
      </c>
      <c r="I784" s="5">
        <v>184.58</v>
      </c>
      <c r="J784" s="5">
        <v>11584.709661477638</v>
      </c>
      <c r="K784" s="5">
        <v>70</v>
      </c>
      <c r="L784" s="5">
        <v>165.95</v>
      </c>
      <c r="M784" s="5">
        <v>10415.443538423522</v>
      </c>
      <c r="N784" s="5">
        <v>85.714285714285708</v>
      </c>
      <c r="O784" s="5">
        <v>18.630000000000024</v>
      </c>
      <c r="P784" s="5">
        <v>1169.2661230541162</v>
      </c>
      <c r="Q784" s="5">
        <v>11.226272973787307</v>
      </c>
    </row>
    <row r="785" spans="1:17" x14ac:dyDescent="0.2">
      <c r="A785" s="4" t="s">
        <v>99</v>
      </c>
      <c r="B785" s="4">
        <v>2014</v>
      </c>
      <c r="C785" s="4" t="s">
        <v>52</v>
      </c>
      <c r="D785" s="4">
        <v>4</v>
      </c>
      <c r="E785" s="4">
        <v>7</v>
      </c>
      <c r="F785" s="4">
        <v>2</v>
      </c>
      <c r="G785" s="6" t="str">
        <f t="shared" si="25"/>
        <v>72</v>
      </c>
      <c r="H785" s="5">
        <v>10</v>
      </c>
      <c r="I785" s="5">
        <v>183.93</v>
      </c>
      <c r="J785" s="5">
        <v>11543.914010378057</v>
      </c>
      <c r="K785" s="5">
        <v>70</v>
      </c>
      <c r="L785" s="5">
        <v>163.37</v>
      </c>
      <c r="M785" s="5">
        <v>10253.516184828268</v>
      </c>
      <c r="N785" s="5">
        <v>85.714285714285708</v>
      </c>
      <c r="O785" s="5">
        <v>20.560000000000002</v>
      </c>
      <c r="P785" s="5">
        <v>1290.3978255497896</v>
      </c>
      <c r="Q785" s="5">
        <v>12.584929913692841</v>
      </c>
    </row>
    <row r="786" spans="1:17" x14ac:dyDescent="0.2">
      <c r="A786" s="4" t="s">
        <v>53</v>
      </c>
      <c r="B786" s="4">
        <v>2014</v>
      </c>
      <c r="C786" s="4" t="s">
        <v>52</v>
      </c>
      <c r="D786" s="4">
        <v>1</v>
      </c>
      <c r="E786" s="4">
        <v>8</v>
      </c>
      <c r="F786" s="4">
        <v>2</v>
      </c>
      <c r="G786" s="6" t="str">
        <f t="shared" si="25"/>
        <v>82</v>
      </c>
      <c r="H786" s="5">
        <v>3</v>
      </c>
      <c r="I786" s="5">
        <v>166.95511074529401</v>
      </c>
      <c r="J786" s="5">
        <v>10478.526841933452</v>
      </c>
      <c r="K786" s="5">
        <v>4</v>
      </c>
      <c r="L786" s="5">
        <v>218.05398609564699</v>
      </c>
      <c r="M786" s="5">
        <v>13685.622057893337</v>
      </c>
      <c r="N786" s="5">
        <v>25</v>
      </c>
      <c r="O786" s="5">
        <v>-51.098875350352984</v>
      </c>
      <c r="P786" s="5">
        <v>-3207.0952159598855</v>
      </c>
      <c r="Q786" s="5">
        <v>-23.434047808664694</v>
      </c>
    </row>
    <row r="787" spans="1:17" x14ac:dyDescent="0.2">
      <c r="A787" s="4" t="s">
        <v>53</v>
      </c>
      <c r="B787" s="4">
        <v>2014</v>
      </c>
      <c r="C787" s="4" t="s">
        <v>52</v>
      </c>
      <c r="D787" s="4">
        <v>2</v>
      </c>
      <c r="E787" s="4">
        <v>8</v>
      </c>
      <c r="F787" s="4">
        <v>2</v>
      </c>
      <c r="G787" s="6" t="str">
        <f t="shared" si="25"/>
        <v>82</v>
      </c>
      <c r="H787" s="5">
        <v>4</v>
      </c>
      <c r="I787" s="5">
        <v>187.68999430588201</v>
      </c>
      <c r="J787" s="5">
        <v>11779.90080397678</v>
      </c>
      <c r="K787" s="5">
        <v>4</v>
      </c>
      <c r="L787" s="5">
        <v>193.729942994824</v>
      </c>
      <c r="M787" s="5">
        <v>12158.983326089769</v>
      </c>
      <c r="N787" s="5">
        <v>0</v>
      </c>
      <c r="O787" s="5">
        <v>-6.0399486889419904</v>
      </c>
      <c r="P787" s="5">
        <v>-379.08252211298895</v>
      </c>
      <c r="Q787" s="5">
        <v>-3.1177156177160317</v>
      </c>
    </row>
    <row r="788" spans="1:17" x14ac:dyDescent="0.2">
      <c r="A788" s="4" t="s">
        <v>53</v>
      </c>
      <c r="B788" s="4">
        <v>2014</v>
      </c>
      <c r="C788" s="4" t="s">
        <v>52</v>
      </c>
      <c r="D788" s="4">
        <v>3</v>
      </c>
      <c r="E788" s="4">
        <v>8</v>
      </c>
      <c r="F788" s="4">
        <v>2</v>
      </c>
      <c r="G788" s="6" t="str">
        <f t="shared" si="25"/>
        <v>82</v>
      </c>
      <c r="H788" s="5">
        <v>4</v>
      </c>
      <c r="I788" s="5">
        <v>190.98672123176499</v>
      </c>
      <c r="J788" s="5">
        <v>11986.811760036646</v>
      </c>
      <c r="K788" s="5">
        <v>4</v>
      </c>
      <c r="L788" s="5">
        <v>192.13724364882401</v>
      </c>
      <c r="M788" s="5">
        <v>12059.02146943447</v>
      </c>
      <c r="N788" s="5">
        <v>0</v>
      </c>
      <c r="O788" s="5">
        <v>-1.1505224170590225</v>
      </c>
      <c r="P788" s="5">
        <v>-72.209709397824554</v>
      </c>
      <c r="Q788" s="5">
        <v>-0.59880239520969158</v>
      </c>
    </row>
    <row r="789" spans="1:17" x14ac:dyDescent="0.2">
      <c r="A789" s="4" t="s">
        <v>53</v>
      </c>
      <c r="B789" s="4">
        <v>2014</v>
      </c>
      <c r="C789" s="4" t="s">
        <v>52</v>
      </c>
      <c r="D789" s="4">
        <v>4</v>
      </c>
      <c r="E789" s="4">
        <v>8</v>
      </c>
      <c r="F789" s="4">
        <v>2</v>
      </c>
      <c r="G789" s="6" t="str">
        <f t="shared" si="25"/>
        <v>82</v>
      </c>
      <c r="H789" s="5">
        <v>4</v>
      </c>
      <c r="I789" s="5">
        <v>144.74003207505899</v>
      </c>
      <c r="J789" s="5">
        <v>9084.2520748863317</v>
      </c>
      <c r="K789" s="5">
        <v>4</v>
      </c>
      <c r="L789" s="5">
        <v>159.04257412235299</v>
      </c>
      <c r="M789" s="5">
        <v>9981.9159444224515</v>
      </c>
      <c r="N789" s="5">
        <v>0</v>
      </c>
      <c r="O789" s="5">
        <v>-14.302542047293997</v>
      </c>
      <c r="P789" s="5">
        <v>-897.66386953611982</v>
      </c>
      <c r="Q789" s="5">
        <v>-8.9929015084293837</v>
      </c>
    </row>
    <row r="790" spans="1:17" x14ac:dyDescent="0.2">
      <c r="A790" s="4" t="s">
        <v>99</v>
      </c>
      <c r="B790" s="4">
        <v>2014</v>
      </c>
      <c r="C790" s="4" t="s">
        <v>52</v>
      </c>
      <c r="D790" s="4">
        <v>1</v>
      </c>
      <c r="E790" s="4">
        <v>8</v>
      </c>
      <c r="F790" s="4">
        <v>2</v>
      </c>
      <c r="G790" s="6" t="str">
        <f t="shared" si="25"/>
        <v>82</v>
      </c>
      <c r="H790" s="5">
        <v>20</v>
      </c>
      <c r="I790" s="5">
        <v>179.22</v>
      </c>
      <c r="J790" s="5">
        <v>11248.302446256486</v>
      </c>
      <c r="K790" s="5">
        <v>70</v>
      </c>
      <c r="L790" s="5">
        <v>162.56</v>
      </c>
      <c r="M790" s="5">
        <v>10202.678527304175</v>
      </c>
      <c r="N790" s="5">
        <v>71.428571428571431</v>
      </c>
      <c r="O790" s="5">
        <v>16.659999999999997</v>
      </c>
      <c r="P790" s="5">
        <v>1045.6239189523112</v>
      </c>
      <c r="Q790" s="5">
        <v>10.248523622047253</v>
      </c>
    </row>
    <row r="791" spans="1:17" x14ac:dyDescent="0.2">
      <c r="A791" s="4" t="s">
        <v>99</v>
      </c>
      <c r="B791" s="4">
        <v>2014</v>
      </c>
      <c r="C791" s="4" t="s">
        <v>52</v>
      </c>
      <c r="D791" s="4">
        <v>2</v>
      </c>
      <c r="E791" s="4">
        <v>8</v>
      </c>
      <c r="F791" s="4">
        <v>2</v>
      </c>
      <c r="G791" s="6" t="str">
        <f t="shared" si="25"/>
        <v>82</v>
      </c>
      <c r="H791" s="5">
        <v>20</v>
      </c>
      <c r="I791" s="5">
        <v>172.79</v>
      </c>
      <c r="J791" s="5">
        <v>10844.73931307141</v>
      </c>
      <c r="K791" s="5">
        <v>70</v>
      </c>
      <c r="L791" s="5">
        <v>168.24</v>
      </c>
      <c r="M791" s="5">
        <v>10559.169755374352</v>
      </c>
      <c r="N791" s="5">
        <v>71.428571428571431</v>
      </c>
      <c r="O791" s="5">
        <v>4.5499999999999829</v>
      </c>
      <c r="P791" s="5">
        <v>285.56955769705746</v>
      </c>
      <c r="Q791" s="5">
        <v>2.7044698050403984</v>
      </c>
    </row>
    <row r="792" spans="1:17" x14ac:dyDescent="0.2">
      <c r="A792" s="4" t="s">
        <v>99</v>
      </c>
      <c r="B792" s="4">
        <v>2014</v>
      </c>
      <c r="C792" s="4" t="s">
        <v>52</v>
      </c>
      <c r="D792" s="4">
        <v>3</v>
      </c>
      <c r="E792" s="4">
        <v>8</v>
      </c>
      <c r="F792" s="4">
        <v>2</v>
      </c>
      <c r="G792" s="6" t="str">
        <f t="shared" si="25"/>
        <v>82</v>
      </c>
      <c r="H792" s="5">
        <v>20</v>
      </c>
      <c r="I792" s="5">
        <v>175.67</v>
      </c>
      <c r="J792" s="5">
        <v>11025.495428712626</v>
      </c>
      <c r="K792" s="5">
        <v>70</v>
      </c>
      <c r="L792" s="5">
        <v>165.95</v>
      </c>
      <c r="M792" s="5">
        <v>10415.443538423522</v>
      </c>
      <c r="N792" s="5">
        <v>71.428571428571431</v>
      </c>
      <c r="O792" s="5">
        <v>9.7199999999999989</v>
      </c>
      <c r="P792" s="5">
        <v>610.05189028910354</v>
      </c>
      <c r="Q792" s="5">
        <v>5.857185899367285</v>
      </c>
    </row>
    <row r="793" spans="1:17" x14ac:dyDescent="0.2">
      <c r="A793" s="4" t="s">
        <v>99</v>
      </c>
      <c r="B793" s="4">
        <v>2014</v>
      </c>
      <c r="C793" s="4" t="s">
        <v>52</v>
      </c>
      <c r="D793" s="4">
        <v>4</v>
      </c>
      <c r="E793" s="4">
        <v>8</v>
      </c>
      <c r="F793" s="4">
        <v>2</v>
      </c>
      <c r="G793" s="6" t="str">
        <f t="shared" si="25"/>
        <v>82</v>
      </c>
      <c r="H793" s="5">
        <v>20</v>
      </c>
      <c r="I793" s="5">
        <v>172.48</v>
      </c>
      <c r="J793" s="5">
        <v>10825.282925623918</v>
      </c>
      <c r="K793" s="5">
        <v>70</v>
      </c>
      <c r="L793" s="5">
        <v>163.37</v>
      </c>
      <c r="M793" s="5">
        <v>10253.516184828268</v>
      </c>
      <c r="N793" s="5">
        <v>71.428571428571431</v>
      </c>
      <c r="O793" s="5">
        <v>9.1099999999999852</v>
      </c>
      <c r="P793" s="5">
        <v>571.76674079565055</v>
      </c>
      <c r="Q793" s="5">
        <v>5.5762991981391883</v>
      </c>
    </row>
    <row r="794" spans="1:17" x14ac:dyDescent="0.2">
      <c r="A794" s="4" t="s">
        <v>53</v>
      </c>
      <c r="B794" s="4">
        <v>2014</v>
      </c>
      <c r="C794" s="4" t="s">
        <v>52</v>
      </c>
      <c r="D794" s="4">
        <v>1</v>
      </c>
      <c r="E794" s="4">
        <v>9</v>
      </c>
      <c r="F794" s="4">
        <v>2</v>
      </c>
      <c r="G794" s="6" t="str">
        <f t="shared" si="25"/>
        <v>92</v>
      </c>
      <c r="H794" s="5">
        <v>1</v>
      </c>
      <c r="I794" s="5">
        <v>190.661360548235</v>
      </c>
      <c r="J794" s="5">
        <v>11966.391297072323</v>
      </c>
      <c r="K794" s="5">
        <v>4</v>
      </c>
      <c r="L794" s="5">
        <v>218.05398609564699</v>
      </c>
      <c r="M794" s="5">
        <v>13685.622057893337</v>
      </c>
      <c r="N794" s="5">
        <v>75</v>
      </c>
      <c r="O794" s="5">
        <v>-27.392625547411996</v>
      </c>
      <c r="P794" s="5">
        <v>-1719.230760821014</v>
      </c>
      <c r="Q794" s="5">
        <v>-12.562313598521657</v>
      </c>
    </row>
    <row r="795" spans="1:17" x14ac:dyDescent="0.2">
      <c r="A795" s="4" t="s">
        <v>53</v>
      </c>
      <c r="B795" s="4">
        <v>2014</v>
      </c>
      <c r="C795" s="4" t="s">
        <v>52</v>
      </c>
      <c r="D795" s="4">
        <v>2</v>
      </c>
      <c r="E795" s="4">
        <v>9</v>
      </c>
      <c r="F795" s="4">
        <v>2</v>
      </c>
      <c r="G795" s="6" t="str">
        <f t="shared" si="25"/>
        <v>92</v>
      </c>
      <c r="H795" s="5">
        <v>1</v>
      </c>
      <c r="I795" s="5">
        <v>181.554397416</v>
      </c>
      <c r="J795" s="5">
        <v>11394.815157811712</v>
      </c>
      <c r="K795" s="5">
        <v>4</v>
      </c>
      <c r="L795" s="5">
        <v>193.729942994824</v>
      </c>
      <c r="M795" s="5">
        <v>12158.983326089769</v>
      </c>
      <c r="N795" s="5">
        <v>75</v>
      </c>
      <c r="O795" s="5">
        <v>-12.175545578824</v>
      </c>
      <c r="P795" s="5">
        <v>-764.16816827805633</v>
      </c>
      <c r="Q795" s="5">
        <v>-6.284803159803384</v>
      </c>
    </row>
    <row r="796" spans="1:17" x14ac:dyDescent="0.2">
      <c r="A796" s="4" t="s">
        <v>53</v>
      </c>
      <c r="B796" s="4">
        <v>2014</v>
      </c>
      <c r="C796" s="4" t="s">
        <v>52</v>
      </c>
      <c r="D796" s="4">
        <v>3</v>
      </c>
      <c r="E796" s="4">
        <v>9</v>
      </c>
      <c r="F796" s="4">
        <v>2</v>
      </c>
      <c r="G796" s="6" t="str">
        <f t="shared" si="25"/>
        <v>92</v>
      </c>
      <c r="H796" s="5">
        <v>3</v>
      </c>
      <c r="I796" s="5">
        <v>174.393326371765</v>
      </c>
      <c r="J796" s="5">
        <v>10945.368148857995</v>
      </c>
      <c r="K796" s="5">
        <v>4</v>
      </c>
      <c r="L796" s="5">
        <v>192.13724364882401</v>
      </c>
      <c r="M796" s="5">
        <v>12059.02146943447</v>
      </c>
      <c r="N796" s="5">
        <v>25</v>
      </c>
      <c r="O796" s="5">
        <v>-17.743917277059012</v>
      </c>
      <c r="P796" s="5">
        <v>-1113.6533205764754</v>
      </c>
      <c r="Q796" s="5">
        <v>-9.2350222893226359</v>
      </c>
    </row>
    <row r="797" spans="1:17" x14ac:dyDescent="0.2">
      <c r="A797" s="4" t="s">
        <v>53</v>
      </c>
      <c r="B797" s="4">
        <v>2014</v>
      </c>
      <c r="C797" s="4" t="s">
        <v>52</v>
      </c>
      <c r="D797" s="4">
        <v>4</v>
      </c>
      <c r="E797" s="4">
        <v>9</v>
      </c>
      <c r="F797" s="4">
        <v>2</v>
      </c>
      <c r="G797" s="6" t="str">
        <f t="shared" si="25"/>
        <v>92</v>
      </c>
      <c r="H797" s="5">
        <v>5</v>
      </c>
      <c r="I797" s="5">
        <v>188.434795870588</v>
      </c>
      <c r="J797" s="5">
        <v>11826.646442087806</v>
      </c>
      <c r="K797" s="5">
        <v>4</v>
      </c>
      <c r="L797" s="5">
        <v>159.04257412235299</v>
      </c>
      <c r="M797" s="5">
        <v>9981.9159444224515</v>
      </c>
      <c r="N797" s="5">
        <v>-25</v>
      </c>
      <c r="O797" s="5">
        <v>29.392221748235016</v>
      </c>
      <c r="P797" s="5">
        <v>1844.7304976653541</v>
      </c>
      <c r="Q797" s="5">
        <v>18.480725623582568</v>
      </c>
    </row>
    <row r="798" spans="1:17" x14ac:dyDescent="0.2">
      <c r="A798" s="4" t="s">
        <v>99</v>
      </c>
      <c r="B798" s="4">
        <v>2014</v>
      </c>
      <c r="C798" s="4" t="s">
        <v>52</v>
      </c>
      <c r="D798" s="4">
        <v>1</v>
      </c>
      <c r="E798" s="4">
        <v>9</v>
      </c>
      <c r="F798" s="4">
        <v>2</v>
      </c>
      <c r="G798" s="6" t="str">
        <f t="shared" si="25"/>
        <v>92</v>
      </c>
      <c r="H798" s="5">
        <v>15</v>
      </c>
      <c r="I798" s="5">
        <v>177.73</v>
      </c>
      <c r="J798" s="5">
        <v>11154.786261428218</v>
      </c>
      <c r="K798" s="5">
        <v>70</v>
      </c>
      <c r="L798" s="5">
        <v>162.56</v>
      </c>
      <c r="M798" s="5">
        <v>10202.678527304175</v>
      </c>
      <c r="N798" s="5">
        <v>78.571428571428569</v>
      </c>
      <c r="O798" s="5">
        <v>15.169999999999987</v>
      </c>
      <c r="P798" s="5">
        <v>952.10773412404342</v>
      </c>
      <c r="Q798" s="5">
        <v>9.3319389763779625</v>
      </c>
    </row>
    <row r="799" spans="1:17" x14ac:dyDescent="0.2">
      <c r="A799" s="4" t="s">
        <v>99</v>
      </c>
      <c r="B799" s="4">
        <v>2014</v>
      </c>
      <c r="C799" s="4" t="s">
        <v>52</v>
      </c>
      <c r="D799" s="4">
        <v>2</v>
      </c>
      <c r="E799" s="4">
        <v>9</v>
      </c>
      <c r="F799" s="4">
        <v>2</v>
      </c>
      <c r="G799" s="6" t="str">
        <f t="shared" si="25"/>
        <v>92</v>
      </c>
      <c r="H799" s="5">
        <v>10</v>
      </c>
      <c r="I799" s="5">
        <v>179.61</v>
      </c>
      <c r="J799" s="5">
        <v>11272.779836916236</v>
      </c>
      <c r="K799" s="5">
        <v>70</v>
      </c>
      <c r="L799" s="5">
        <v>168.24</v>
      </c>
      <c r="M799" s="5">
        <v>10559.169755374352</v>
      </c>
      <c r="N799" s="5">
        <v>85.714285714285708</v>
      </c>
      <c r="O799" s="5">
        <v>11.370000000000005</v>
      </c>
      <c r="P799" s="5">
        <v>713.61008154188312</v>
      </c>
      <c r="Q799" s="5">
        <v>6.7582025677603434</v>
      </c>
    </row>
    <row r="800" spans="1:17" x14ac:dyDescent="0.2">
      <c r="A800" s="4" t="s">
        <v>99</v>
      </c>
      <c r="B800" s="4">
        <v>2014</v>
      </c>
      <c r="C800" s="4" t="s">
        <v>52</v>
      </c>
      <c r="D800" s="4">
        <v>3</v>
      </c>
      <c r="E800" s="4">
        <v>9</v>
      </c>
      <c r="F800" s="4">
        <v>2</v>
      </c>
      <c r="G800" s="6" t="str">
        <f t="shared" si="25"/>
        <v>92</v>
      </c>
      <c r="H800" s="5">
        <v>15</v>
      </c>
      <c r="I800" s="5">
        <v>184.7</v>
      </c>
      <c r="J800" s="5">
        <v>11592.24116629602</v>
      </c>
      <c r="K800" s="5">
        <v>70</v>
      </c>
      <c r="L800" s="5">
        <v>165.95</v>
      </c>
      <c r="M800" s="5">
        <v>10415.443538423522</v>
      </c>
      <c r="N800" s="5">
        <v>78.571428571428569</v>
      </c>
      <c r="O800" s="5">
        <v>18.75</v>
      </c>
      <c r="P800" s="5">
        <v>1176.7976278724982</v>
      </c>
      <c r="Q800" s="5">
        <v>11.298583910816513</v>
      </c>
    </row>
    <row r="801" spans="1:17" x14ac:dyDescent="0.2">
      <c r="A801" s="4" t="s">
        <v>99</v>
      </c>
      <c r="B801" s="4">
        <v>2014</v>
      </c>
      <c r="C801" s="4" t="s">
        <v>52</v>
      </c>
      <c r="D801" s="4">
        <v>4</v>
      </c>
      <c r="E801" s="4">
        <v>9</v>
      </c>
      <c r="F801" s="4">
        <v>2</v>
      </c>
      <c r="G801" s="6" t="str">
        <f t="shared" si="25"/>
        <v>92</v>
      </c>
      <c r="H801" s="5">
        <v>20</v>
      </c>
      <c r="I801" s="5">
        <v>179.48</v>
      </c>
      <c r="J801" s="5">
        <v>11264.620706696318</v>
      </c>
      <c r="K801" s="5">
        <v>70</v>
      </c>
      <c r="L801" s="5">
        <v>163.37</v>
      </c>
      <c r="M801" s="5">
        <v>10253.516184828268</v>
      </c>
      <c r="N801" s="5">
        <v>71.428571428571431</v>
      </c>
      <c r="O801" s="5">
        <v>16.109999999999985</v>
      </c>
      <c r="P801" s="5">
        <v>1011.1045218680501</v>
      </c>
      <c r="Q801" s="5">
        <v>9.8610516006610727</v>
      </c>
    </row>
    <row r="802" spans="1:17" x14ac:dyDescent="0.2">
      <c r="A802" s="4" t="s">
        <v>53</v>
      </c>
      <c r="B802" s="4">
        <v>2014</v>
      </c>
      <c r="C802" s="4" t="s">
        <v>52</v>
      </c>
      <c r="D802" s="4">
        <v>1</v>
      </c>
      <c r="E802" s="4">
        <v>10</v>
      </c>
      <c r="F802" s="4">
        <v>2</v>
      </c>
      <c r="G802" s="6" t="str">
        <f t="shared" si="25"/>
        <v>102</v>
      </c>
      <c r="H802" s="5">
        <v>4</v>
      </c>
      <c r="I802" s="5">
        <v>179.48972907847099</v>
      </c>
      <c r="J802" s="5">
        <v>11265.231328374508</v>
      </c>
      <c r="K802" s="5">
        <v>4</v>
      </c>
      <c r="L802" s="5">
        <v>218.05398609564699</v>
      </c>
      <c r="M802" s="5">
        <v>13685.622057893337</v>
      </c>
      <c r="N802" s="5">
        <v>0</v>
      </c>
      <c r="O802" s="5">
        <v>-38.564257017176004</v>
      </c>
      <c r="P802" s="5">
        <v>-2420.3907295188292</v>
      </c>
      <c r="Q802" s="5">
        <v>-17.685646434484443</v>
      </c>
    </row>
    <row r="803" spans="1:17" x14ac:dyDescent="0.2">
      <c r="A803" s="4" t="s">
        <v>53</v>
      </c>
      <c r="B803" s="4">
        <v>2014</v>
      </c>
      <c r="C803" s="4" t="s">
        <v>52</v>
      </c>
      <c r="D803" s="4">
        <v>2</v>
      </c>
      <c r="E803" s="4">
        <v>10</v>
      </c>
      <c r="F803" s="4">
        <v>2</v>
      </c>
      <c r="G803" s="6" t="str">
        <f t="shared" si="25"/>
        <v>102</v>
      </c>
      <c r="H803" s="5">
        <v>3</v>
      </c>
      <c r="I803" s="5">
        <v>179.57322525388199</v>
      </c>
      <c r="J803" s="5">
        <v>11270.471760436378</v>
      </c>
      <c r="K803" s="5">
        <v>4</v>
      </c>
      <c r="L803" s="5">
        <v>193.729942994824</v>
      </c>
      <c r="M803" s="5">
        <v>12158.983326089769</v>
      </c>
      <c r="N803" s="5">
        <v>25</v>
      </c>
      <c r="O803" s="5">
        <v>-14.156717740942014</v>
      </c>
      <c r="P803" s="5">
        <v>-888.51156565339079</v>
      </c>
      <c r="Q803" s="5">
        <v>-7.3074494949499122</v>
      </c>
    </row>
    <row r="804" spans="1:17" x14ac:dyDescent="0.2">
      <c r="A804" s="4" t="s">
        <v>53</v>
      </c>
      <c r="B804" s="4">
        <v>2014</v>
      </c>
      <c r="C804" s="4" t="s">
        <v>52</v>
      </c>
      <c r="D804" s="4">
        <v>3</v>
      </c>
      <c r="E804" s="4">
        <v>10</v>
      </c>
      <c r="F804" s="4">
        <v>2</v>
      </c>
      <c r="G804" s="6" t="str">
        <f t="shared" si="25"/>
        <v>102</v>
      </c>
      <c r="H804" s="5">
        <v>2</v>
      </c>
      <c r="I804" s="5">
        <v>170.86139895176501</v>
      </c>
      <c r="J804" s="5">
        <v>10723.695412342058</v>
      </c>
      <c r="K804" s="5">
        <v>4</v>
      </c>
      <c r="L804" s="5">
        <v>192.13724364882401</v>
      </c>
      <c r="M804" s="5">
        <v>12059.02146943447</v>
      </c>
      <c r="N804" s="5">
        <v>50</v>
      </c>
      <c r="O804" s="5">
        <v>-21.275844697059</v>
      </c>
      <c r="P804" s="5">
        <v>-1335.3260570924122</v>
      </c>
      <c r="Q804" s="5">
        <v>-11.073253833049479</v>
      </c>
    </row>
    <row r="805" spans="1:17" x14ac:dyDescent="0.2">
      <c r="A805" s="4" t="s">
        <v>53</v>
      </c>
      <c r="B805" s="4">
        <v>2014</v>
      </c>
      <c r="C805" s="4" t="s">
        <v>52</v>
      </c>
      <c r="D805" s="4">
        <v>4</v>
      </c>
      <c r="E805" s="4">
        <v>10</v>
      </c>
      <c r="F805" s="4">
        <v>2</v>
      </c>
      <c r="G805" s="6" t="str">
        <f t="shared" si="25"/>
        <v>102</v>
      </c>
      <c r="H805" s="5">
        <v>4</v>
      </c>
      <c r="I805" s="5">
        <v>173.80728514058799</v>
      </c>
      <c r="J805" s="5">
        <v>10908.586712554817</v>
      </c>
      <c r="K805" s="5">
        <v>4</v>
      </c>
      <c r="L805" s="5">
        <v>159.04257412235299</v>
      </c>
      <c r="M805" s="5">
        <v>9981.9159444224515</v>
      </c>
      <c r="N805" s="5">
        <v>0</v>
      </c>
      <c r="O805" s="5">
        <v>14.764711018235005</v>
      </c>
      <c r="P805" s="5">
        <v>926.67076813236599</v>
      </c>
      <c r="Q805" s="5">
        <v>9.2834960070982913</v>
      </c>
    </row>
    <row r="806" spans="1:17" x14ac:dyDescent="0.2">
      <c r="A806" s="4" t="s">
        <v>99</v>
      </c>
      <c r="B806" s="4">
        <v>2014</v>
      </c>
      <c r="C806" s="4" t="s">
        <v>52</v>
      </c>
      <c r="D806" s="4">
        <v>1</v>
      </c>
      <c r="E806" s="4">
        <v>10</v>
      </c>
      <c r="F806" s="4">
        <v>2</v>
      </c>
      <c r="G806" s="6" t="str">
        <f t="shared" si="25"/>
        <v>102</v>
      </c>
      <c r="H806" s="5">
        <v>25</v>
      </c>
      <c r="I806" s="5">
        <v>172.57</v>
      </c>
      <c r="J806" s="5">
        <v>10830.931554237706</v>
      </c>
      <c r="K806" s="5">
        <v>70</v>
      </c>
      <c r="L806" s="5">
        <v>162.56</v>
      </c>
      <c r="M806" s="5">
        <v>10202.678527304175</v>
      </c>
      <c r="N806" s="5">
        <v>64.285714285714292</v>
      </c>
      <c r="O806" s="5">
        <v>10.009999999999991</v>
      </c>
      <c r="P806" s="5">
        <v>628.25302693353115</v>
      </c>
      <c r="Q806" s="5">
        <v>6.1577263779527573</v>
      </c>
    </row>
    <row r="807" spans="1:17" x14ac:dyDescent="0.2">
      <c r="A807" s="4" t="s">
        <v>99</v>
      </c>
      <c r="B807" s="4">
        <v>2014</v>
      </c>
      <c r="C807" s="4" t="s">
        <v>52</v>
      </c>
      <c r="D807" s="4">
        <v>2</v>
      </c>
      <c r="E807" s="4">
        <v>10</v>
      </c>
      <c r="F807" s="4">
        <v>2</v>
      </c>
      <c r="G807" s="6" t="str">
        <f t="shared" si="25"/>
        <v>102</v>
      </c>
      <c r="H807" s="5">
        <v>25</v>
      </c>
      <c r="I807" s="5">
        <v>170.05</v>
      </c>
      <c r="J807" s="5">
        <v>10672.769953051644</v>
      </c>
      <c r="K807" s="5">
        <v>70</v>
      </c>
      <c r="L807" s="5">
        <v>168.24</v>
      </c>
      <c r="M807" s="5">
        <v>10559.169755374352</v>
      </c>
      <c r="N807" s="5">
        <v>64.285714285714292</v>
      </c>
      <c r="O807" s="5">
        <v>1.8100000000000023</v>
      </c>
      <c r="P807" s="5">
        <v>113.60019767729136</v>
      </c>
      <c r="Q807" s="5">
        <v>1.0758440323347556</v>
      </c>
    </row>
    <row r="808" spans="1:17" x14ac:dyDescent="0.2">
      <c r="A808" s="4" t="s">
        <v>99</v>
      </c>
      <c r="B808" s="4">
        <v>2014</v>
      </c>
      <c r="C808" s="4" t="s">
        <v>52</v>
      </c>
      <c r="D808" s="4">
        <v>3</v>
      </c>
      <c r="E808" s="4">
        <v>10</v>
      </c>
      <c r="F808" s="4">
        <v>2</v>
      </c>
      <c r="G808" s="6" t="str">
        <f t="shared" si="25"/>
        <v>102</v>
      </c>
      <c r="H808" s="5">
        <v>25</v>
      </c>
      <c r="I808" s="5">
        <v>165.89</v>
      </c>
      <c r="J808" s="5">
        <v>10411.67778601433</v>
      </c>
      <c r="K808" s="5">
        <v>70</v>
      </c>
      <c r="L808" s="5">
        <v>165.95</v>
      </c>
      <c r="M808" s="5">
        <v>10415.443538423522</v>
      </c>
      <c r="N808" s="5">
        <v>64.285714285714292</v>
      </c>
      <c r="O808" s="5">
        <v>-6.0000000000002274E-2</v>
      </c>
      <c r="P808" s="5">
        <v>-3.7657524091919186</v>
      </c>
      <c r="Q808" s="5">
        <v>-3.6155468514612113E-2</v>
      </c>
    </row>
    <row r="809" spans="1:17" x14ac:dyDescent="0.2">
      <c r="A809" s="4" t="s">
        <v>99</v>
      </c>
      <c r="B809" s="4">
        <v>2014</v>
      </c>
      <c r="C809" s="4" t="s">
        <v>52</v>
      </c>
      <c r="D809" s="4">
        <v>4</v>
      </c>
      <c r="E809" s="4">
        <v>10</v>
      </c>
      <c r="F809" s="4">
        <v>2</v>
      </c>
      <c r="G809" s="6" t="str">
        <f t="shared" si="25"/>
        <v>102</v>
      </c>
      <c r="H809" s="5">
        <v>25</v>
      </c>
      <c r="I809" s="5">
        <v>172.97</v>
      </c>
      <c r="J809" s="5">
        <v>10856.036570298987</v>
      </c>
      <c r="K809" s="5">
        <v>70</v>
      </c>
      <c r="L809" s="5">
        <v>163.37</v>
      </c>
      <c r="M809" s="5">
        <v>10253.516184828268</v>
      </c>
      <c r="N809" s="5">
        <v>64.285714285714292</v>
      </c>
      <c r="O809" s="5">
        <v>9.5999999999999943</v>
      </c>
      <c r="P809" s="5">
        <v>602.5203854707197</v>
      </c>
      <c r="Q809" s="5">
        <v>5.8762318663157318</v>
      </c>
    </row>
    <row r="810" spans="1:17" x14ac:dyDescent="0.2">
      <c r="A810" s="4" t="s">
        <v>53</v>
      </c>
      <c r="B810" s="4">
        <v>2014</v>
      </c>
      <c r="C810" s="4" t="s">
        <v>52</v>
      </c>
      <c r="D810" s="4">
        <v>1</v>
      </c>
      <c r="E810" s="4">
        <v>11</v>
      </c>
      <c r="F810" s="4">
        <v>2</v>
      </c>
      <c r="G810" s="6" t="str">
        <f t="shared" si="25"/>
        <v>112</v>
      </c>
      <c r="H810" s="5">
        <v>2</v>
      </c>
      <c r="I810" s="5">
        <v>194.52256865999999</v>
      </c>
      <c r="J810" s="5">
        <v>12208.730526226835</v>
      </c>
      <c r="K810" s="5">
        <v>4</v>
      </c>
      <c r="L810" s="5">
        <v>218.05398609564699</v>
      </c>
      <c r="M810" s="5">
        <v>13685.622057893337</v>
      </c>
      <c r="N810" s="5">
        <v>50</v>
      </c>
      <c r="O810" s="5">
        <v>-23.531417435647001</v>
      </c>
      <c r="P810" s="5">
        <v>-1476.8915316665025</v>
      </c>
      <c r="Q810" s="5">
        <v>-10.791555732131947</v>
      </c>
    </row>
    <row r="811" spans="1:17" x14ac:dyDescent="0.2">
      <c r="A811" s="4" t="s">
        <v>53</v>
      </c>
      <c r="B811" s="4">
        <v>2014</v>
      </c>
      <c r="C811" s="4" t="s">
        <v>52</v>
      </c>
      <c r="D811" s="4">
        <v>2</v>
      </c>
      <c r="E811" s="4">
        <v>11</v>
      </c>
      <c r="F811" s="4">
        <v>2</v>
      </c>
      <c r="G811" s="6" t="str">
        <f t="shared" si="25"/>
        <v>112</v>
      </c>
      <c r="H811" s="5">
        <v>3</v>
      </c>
      <c r="I811" s="5">
        <v>193.82284719</v>
      </c>
      <c r="J811" s="5">
        <v>12164.814229369904</v>
      </c>
      <c r="K811" s="5">
        <v>4</v>
      </c>
      <c r="L811" s="5">
        <v>193.729942994824</v>
      </c>
      <c r="M811" s="5">
        <v>12158.983326089769</v>
      </c>
      <c r="N811" s="5">
        <v>25</v>
      </c>
      <c r="O811" s="5">
        <v>9.2904195176004123E-2</v>
      </c>
      <c r="P811" s="5">
        <v>5.8309032801353169</v>
      </c>
      <c r="Q811" s="5">
        <v>4.7955516705281052E-2</v>
      </c>
    </row>
    <row r="812" spans="1:17" x14ac:dyDescent="0.2">
      <c r="A812" s="4" t="s">
        <v>53</v>
      </c>
      <c r="B812" s="4">
        <v>2014</v>
      </c>
      <c r="C812" s="4" t="s">
        <v>52</v>
      </c>
      <c r="D812" s="4">
        <v>3</v>
      </c>
      <c r="E812" s="4">
        <v>11</v>
      </c>
      <c r="F812" s="4">
        <v>2</v>
      </c>
      <c r="G812" s="6" t="str">
        <f t="shared" si="25"/>
        <v>112</v>
      </c>
      <c r="H812" s="5">
        <v>1</v>
      </c>
      <c r="I812" s="5">
        <v>189.768774673059</v>
      </c>
      <c r="J812" s="5">
        <v>11910.37034024141</v>
      </c>
      <c r="K812" s="5">
        <v>4</v>
      </c>
      <c r="L812" s="5">
        <v>192.13724364882401</v>
      </c>
      <c r="M812" s="5">
        <v>12059.02146943447</v>
      </c>
      <c r="N812" s="5">
        <v>75</v>
      </c>
      <c r="O812" s="5">
        <v>-2.3684689757650119</v>
      </c>
      <c r="P812" s="5">
        <v>-148.65112919306011</v>
      </c>
      <c r="Q812" s="5">
        <v>-1.2326964469699329</v>
      </c>
    </row>
    <row r="813" spans="1:17" x14ac:dyDescent="0.2">
      <c r="A813" s="4" t="s">
        <v>53</v>
      </c>
      <c r="B813" s="4">
        <v>2014</v>
      </c>
      <c r="C813" s="4" t="s">
        <v>52</v>
      </c>
      <c r="D813" s="4">
        <v>4</v>
      </c>
      <c r="E813" s="4">
        <v>11</v>
      </c>
      <c r="F813" s="4">
        <v>2</v>
      </c>
      <c r="G813" s="6" t="str">
        <f t="shared" si="25"/>
        <v>112</v>
      </c>
      <c r="H813" s="5">
        <v>3</v>
      </c>
      <c r="I813" s="5">
        <v>192.26934792635299</v>
      </c>
      <c r="J813" s="5">
        <v>12067.312669457291</v>
      </c>
      <c r="K813" s="5">
        <v>4</v>
      </c>
      <c r="L813" s="5">
        <v>159.04257412235299</v>
      </c>
      <c r="M813" s="5">
        <v>9981.9159444224515</v>
      </c>
      <c r="N813" s="5">
        <v>25</v>
      </c>
      <c r="O813" s="5">
        <v>33.226773804000004</v>
      </c>
      <c r="P813" s="5">
        <v>2085.3967250348396</v>
      </c>
      <c r="Q813" s="5">
        <v>20.891748003549228</v>
      </c>
    </row>
    <row r="814" spans="1:17" x14ac:dyDescent="0.2">
      <c r="A814" s="4" t="s">
        <v>99</v>
      </c>
      <c r="B814" s="4">
        <v>2014</v>
      </c>
      <c r="C814" s="4" t="s">
        <v>52</v>
      </c>
      <c r="D814" s="4">
        <v>1</v>
      </c>
      <c r="E814" s="4">
        <v>11</v>
      </c>
      <c r="F814" s="4">
        <v>2</v>
      </c>
      <c r="G814" s="6" t="str">
        <f t="shared" si="25"/>
        <v>112</v>
      </c>
      <c r="H814" s="5">
        <v>25</v>
      </c>
      <c r="I814" s="5">
        <v>180.08</v>
      </c>
      <c r="J814" s="5">
        <v>11302.278230788239</v>
      </c>
      <c r="K814" s="5">
        <v>70</v>
      </c>
      <c r="L814" s="5">
        <v>162.56</v>
      </c>
      <c r="M814" s="5">
        <v>10202.678527304175</v>
      </c>
      <c r="N814" s="5">
        <v>64.285714285714292</v>
      </c>
      <c r="O814" s="5">
        <v>17.52000000000001</v>
      </c>
      <c r="P814" s="5">
        <v>1099.5997034840639</v>
      </c>
      <c r="Q814" s="5">
        <v>10.777559055118127</v>
      </c>
    </row>
    <row r="815" spans="1:17" x14ac:dyDescent="0.2">
      <c r="A815" s="4" t="s">
        <v>99</v>
      </c>
      <c r="B815" s="4">
        <v>2014</v>
      </c>
      <c r="C815" s="4" t="s">
        <v>52</v>
      </c>
      <c r="D815" s="4">
        <v>2</v>
      </c>
      <c r="E815" s="4">
        <v>11</v>
      </c>
      <c r="F815" s="4">
        <v>2</v>
      </c>
      <c r="G815" s="6" t="str">
        <f t="shared" si="25"/>
        <v>112</v>
      </c>
      <c r="H815" s="5">
        <v>30</v>
      </c>
      <c r="I815" s="5">
        <v>172.9</v>
      </c>
      <c r="J815" s="5">
        <v>10851.643192488264</v>
      </c>
      <c r="K815" s="5">
        <v>70</v>
      </c>
      <c r="L815" s="5">
        <v>168.24</v>
      </c>
      <c r="M815" s="5">
        <v>10559.169755374352</v>
      </c>
      <c r="N815" s="5">
        <v>57.142857142857139</v>
      </c>
      <c r="O815" s="5">
        <v>4.6599999999999966</v>
      </c>
      <c r="P815" s="5">
        <v>292.47343711391113</v>
      </c>
      <c r="Q815" s="5">
        <v>2.7698525915358969</v>
      </c>
    </row>
    <row r="816" spans="1:17" x14ac:dyDescent="0.2">
      <c r="A816" s="4" t="s">
        <v>99</v>
      </c>
      <c r="B816" s="4">
        <v>2014</v>
      </c>
      <c r="C816" s="4" t="s">
        <v>52</v>
      </c>
      <c r="D816" s="4">
        <v>3</v>
      </c>
      <c r="E816" s="4">
        <v>11</v>
      </c>
      <c r="F816" s="4">
        <v>2</v>
      </c>
      <c r="G816" s="6" t="str">
        <f t="shared" si="25"/>
        <v>112</v>
      </c>
      <c r="H816" s="5">
        <v>30</v>
      </c>
      <c r="I816" s="5">
        <v>169.97</v>
      </c>
      <c r="J816" s="5">
        <v>10667.748949839386</v>
      </c>
      <c r="K816" s="5">
        <v>70</v>
      </c>
      <c r="L816" s="5">
        <v>165.95</v>
      </c>
      <c r="M816" s="5">
        <v>10415.443538423522</v>
      </c>
      <c r="N816" s="5">
        <v>57.142857142857139</v>
      </c>
      <c r="O816" s="5">
        <v>4.0200000000000102</v>
      </c>
      <c r="P816" s="5">
        <v>252.305411415864</v>
      </c>
      <c r="Q816" s="5">
        <v>2.4224163904790643</v>
      </c>
    </row>
    <row r="817" spans="1:17" s="7" customFormat="1" x14ac:dyDescent="0.2">
      <c r="A817" s="7" t="s">
        <v>99</v>
      </c>
      <c r="B817" s="7">
        <v>2014</v>
      </c>
      <c r="C817" s="7" t="s">
        <v>52</v>
      </c>
      <c r="D817" s="7">
        <v>4</v>
      </c>
      <c r="E817" s="7">
        <v>11</v>
      </c>
      <c r="F817" s="7">
        <v>2</v>
      </c>
      <c r="G817" s="6" t="str">
        <f t="shared" si="25"/>
        <v>112</v>
      </c>
      <c r="H817" s="9">
        <v>30</v>
      </c>
      <c r="I817" s="9">
        <v>177.65</v>
      </c>
      <c r="J817" s="9">
        <v>11149.765258215963</v>
      </c>
      <c r="K817" s="9">
        <v>70</v>
      </c>
      <c r="L817" s="9">
        <v>163.37</v>
      </c>
      <c r="M817" s="9">
        <v>10253.516184828268</v>
      </c>
      <c r="N817" s="9">
        <v>57.142857142857139</v>
      </c>
      <c r="O817" s="9">
        <v>14.280000000000001</v>
      </c>
      <c r="P817" s="9">
        <v>896.24907338769481</v>
      </c>
      <c r="Q817" s="9">
        <v>8.7408949011446424</v>
      </c>
    </row>
    <row r="818" spans="1:17" x14ac:dyDescent="0.2">
      <c r="A818" s="4" t="s">
        <v>53</v>
      </c>
      <c r="B818" s="4">
        <v>2014</v>
      </c>
      <c r="C818" s="4" t="s">
        <v>52</v>
      </c>
      <c r="D818" s="4">
        <v>1</v>
      </c>
      <c r="E818" s="4">
        <v>12</v>
      </c>
      <c r="F818" s="4">
        <v>2</v>
      </c>
      <c r="G818" s="6" t="str">
        <f t="shared" si="25"/>
        <v>122</v>
      </c>
      <c r="H818" s="5">
        <v>3</v>
      </c>
      <c r="I818" s="5">
        <v>188.61080424035299</v>
      </c>
      <c r="J818" s="5">
        <v>11837.69317446248</v>
      </c>
      <c r="K818" s="5">
        <v>4</v>
      </c>
      <c r="L818" s="5">
        <v>218.05398609564699</v>
      </c>
      <c r="M818" s="5">
        <v>13685.622057893337</v>
      </c>
      <c r="N818" s="5">
        <v>25</v>
      </c>
      <c r="O818" s="5">
        <v>-29.443181855294</v>
      </c>
      <c r="P818" s="5">
        <v>-1847.9288834308572</v>
      </c>
      <c r="Q818" s="5">
        <v>-13.502702877616318</v>
      </c>
    </row>
    <row r="819" spans="1:17" x14ac:dyDescent="0.2">
      <c r="A819" s="4" t="s">
        <v>53</v>
      </c>
      <c r="B819" s="4">
        <v>2014</v>
      </c>
      <c r="C819" s="4" t="s">
        <v>52</v>
      </c>
      <c r="D819" s="4">
        <v>2</v>
      </c>
      <c r="E819" s="4">
        <v>12</v>
      </c>
      <c r="F819" s="4">
        <v>2</v>
      </c>
      <c r="G819" s="6" t="str">
        <f t="shared" si="25"/>
        <v>122</v>
      </c>
      <c r="H819" s="5">
        <v>4</v>
      </c>
      <c r="I819" s="5">
        <v>189.618638357647</v>
      </c>
      <c r="J819" s="5">
        <v>11900.947403716911</v>
      </c>
      <c r="K819" s="5">
        <v>4</v>
      </c>
      <c r="L819" s="5">
        <v>193.729942994824</v>
      </c>
      <c r="M819" s="5">
        <v>12158.983326089769</v>
      </c>
      <c r="N819" s="5">
        <v>0</v>
      </c>
      <c r="O819" s="5">
        <v>-4.1113046371769997</v>
      </c>
      <c r="P819" s="5">
        <v>-258.03592237285739</v>
      </c>
      <c r="Q819" s="5">
        <v>-2.1221833721836321</v>
      </c>
    </row>
    <row r="820" spans="1:17" x14ac:dyDescent="0.2">
      <c r="A820" s="4" t="s">
        <v>53</v>
      </c>
      <c r="B820" s="4">
        <v>2014</v>
      </c>
      <c r="C820" s="4" t="s">
        <v>52</v>
      </c>
      <c r="D820" s="4">
        <v>3</v>
      </c>
      <c r="E820" s="4">
        <v>12</v>
      </c>
      <c r="F820" s="4">
        <v>2</v>
      </c>
      <c r="G820" s="6" t="str">
        <f t="shared" si="25"/>
        <v>122</v>
      </c>
      <c r="H820" s="5">
        <v>2</v>
      </c>
      <c r="I820" s="5">
        <v>178.615567242</v>
      </c>
      <c r="J820" s="5">
        <v>11210.366711012601</v>
      </c>
      <c r="K820" s="5">
        <v>4</v>
      </c>
      <c r="L820" s="5">
        <v>192.13724364882401</v>
      </c>
      <c r="M820" s="5">
        <v>12059.02146943447</v>
      </c>
      <c r="N820" s="5">
        <v>50</v>
      </c>
      <c r="O820" s="5">
        <v>-13.521676406824014</v>
      </c>
      <c r="P820" s="5">
        <v>-848.6547584218697</v>
      </c>
      <c r="Q820" s="5">
        <v>-7.0375093084701916</v>
      </c>
    </row>
    <row r="821" spans="1:17" x14ac:dyDescent="0.2">
      <c r="A821" s="4" t="s">
        <v>53</v>
      </c>
      <c r="B821" s="4">
        <v>2014</v>
      </c>
      <c r="C821" s="4" t="s">
        <v>52</v>
      </c>
      <c r="D821" s="4">
        <v>4</v>
      </c>
      <c r="E821" s="4">
        <v>12</v>
      </c>
      <c r="F821" s="4">
        <v>2</v>
      </c>
      <c r="G821" s="6" t="str">
        <f t="shared" si="25"/>
        <v>122</v>
      </c>
      <c r="H821" s="5">
        <v>3</v>
      </c>
      <c r="I821" s="5">
        <v>171.31063189552901</v>
      </c>
      <c r="J821" s="5">
        <v>10751.890413013187</v>
      </c>
      <c r="K821" s="5">
        <v>4</v>
      </c>
      <c r="L821" s="5">
        <v>159.04257412235299</v>
      </c>
      <c r="M821" s="5">
        <v>9981.9159444224515</v>
      </c>
      <c r="N821" s="5">
        <v>25</v>
      </c>
      <c r="O821" s="5">
        <v>12.268057773176025</v>
      </c>
      <c r="P821" s="5">
        <v>769.97446859073534</v>
      </c>
      <c r="Q821" s="5">
        <v>7.7136941733212092</v>
      </c>
    </row>
    <row r="822" spans="1:17" x14ac:dyDescent="0.2">
      <c r="A822" s="4" t="s">
        <v>99</v>
      </c>
      <c r="B822" s="4">
        <v>2014</v>
      </c>
      <c r="C822" s="4" t="s">
        <v>52</v>
      </c>
      <c r="D822" s="4">
        <v>1</v>
      </c>
      <c r="E822" s="4">
        <v>12</v>
      </c>
      <c r="F822" s="4">
        <v>2</v>
      </c>
      <c r="G822" s="6" t="str">
        <f t="shared" si="25"/>
        <v>122</v>
      </c>
      <c r="H822" s="5">
        <v>20</v>
      </c>
      <c r="I822" s="5">
        <v>180.73</v>
      </c>
      <c r="J822" s="5">
        <v>11343.073881887818</v>
      </c>
      <c r="K822" s="5">
        <v>70</v>
      </c>
      <c r="L822" s="5">
        <v>162.56</v>
      </c>
      <c r="M822" s="5">
        <v>10202.678527304175</v>
      </c>
      <c r="N822" s="5">
        <v>71.428571428571431</v>
      </c>
      <c r="O822" s="5">
        <v>18.169999999999987</v>
      </c>
      <c r="P822" s="5">
        <v>1140.395354583643</v>
      </c>
      <c r="Q822" s="5">
        <v>11.177411417322842</v>
      </c>
    </row>
    <row r="823" spans="1:17" x14ac:dyDescent="0.2">
      <c r="A823" s="4" t="s">
        <v>99</v>
      </c>
      <c r="B823" s="4">
        <v>2014</v>
      </c>
      <c r="C823" s="4" t="s">
        <v>52</v>
      </c>
      <c r="D823" s="4">
        <v>2</v>
      </c>
      <c r="E823" s="4">
        <v>12</v>
      </c>
      <c r="F823" s="4">
        <v>2</v>
      </c>
      <c r="G823" s="6" t="str">
        <f t="shared" si="25"/>
        <v>122</v>
      </c>
      <c r="H823" s="5">
        <v>25</v>
      </c>
      <c r="I823" s="5">
        <v>177.27</v>
      </c>
      <c r="J823" s="5">
        <v>11125.915492957747</v>
      </c>
      <c r="K823" s="5">
        <v>70</v>
      </c>
      <c r="L823" s="5">
        <v>168.24</v>
      </c>
      <c r="M823" s="5">
        <v>10559.169755374352</v>
      </c>
      <c r="N823" s="5">
        <v>64.285714285714292</v>
      </c>
      <c r="O823" s="5">
        <v>9.0300000000000011</v>
      </c>
      <c r="P823" s="5">
        <v>566.74573758339466</v>
      </c>
      <c r="Q823" s="5">
        <v>5.3673323823109795</v>
      </c>
    </row>
    <row r="824" spans="1:17" x14ac:dyDescent="0.2">
      <c r="A824" s="4" t="s">
        <v>99</v>
      </c>
      <c r="B824" s="4">
        <v>2014</v>
      </c>
      <c r="C824" s="4" t="s">
        <v>52</v>
      </c>
      <c r="D824" s="4">
        <v>3</v>
      </c>
      <c r="E824" s="4">
        <v>12</v>
      </c>
      <c r="F824" s="4">
        <v>2</v>
      </c>
      <c r="G824" s="6" t="str">
        <f t="shared" si="25"/>
        <v>122</v>
      </c>
      <c r="H824" s="5">
        <v>25</v>
      </c>
      <c r="I824" s="5">
        <v>174.44</v>
      </c>
      <c r="J824" s="5">
        <v>10948.297504324191</v>
      </c>
      <c r="K824" s="5">
        <v>70</v>
      </c>
      <c r="L824" s="5">
        <v>165.95</v>
      </c>
      <c r="M824" s="5">
        <v>10415.443538423522</v>
      </c>
      <c r="N824" s="5">
        <v>64.285714285714292</v>
      </c>
      <c r="O824" s="5">
        <v>8.4900000000000091</v>
      </c>
      <c r="P824" s="5">
        <v>532.85396590066921</v>
      </c>
      <c r="Q824" s="5">
        <v>5.1159987948177363</v>
      </c>
    </row>
    <row r="825" spans="1:17" x14ac:dyDescent="0.2">
      <c r="A825" s="4" t="s">
        <v>99</v>
      </c>
      <c r="B825" s="4">
        <v>2014</v>
      </c>
      <c r="C825" s="4" t="s">
        <v>52</v>
      </c>
      <c r="D825" s="4">
        <v>4</v>
      </c>
      <c r="E825" s="4">
        <v>12</v>
      </c>
      <c r="F825" s="4">
        <v>2</v>
      </c>
      <c r="G825" s="6" t="str">
        <f t="shared" si="25"/>
        <v>122</v>
      </c>
      <c r="H825" s="5">
        <v>25</v>
      </c>
      <c r="I825" s="5">
        <v>178.84</v>
      </c>
      <c r="J825" s="5">
        <v>11224.452680998271</v>
      </c>
      <c r="K825" s="5">
        <v>70</v>
      </c>
      <c r="L825" s="5">
        <v>163.37</v>
      </c>
      <c r="M825" s="5">
        <v>10253.516184828268</v>
      </c>
      <c r="N825" s="5">
        <v>64.285714285714292</v>
      </c>
      <c r="O825" s="5">
        <v>15.469999999999999</v>
      </c>
      <c r="P825" s="5">
        <v>970.93649617000301</v>
      </c>
      <c r="Q825" s="5">
        <v>9.4693028095733673</v>
      </c>
    </row>
    <row r="826" spans="1:17" x14ac:dyDescent="0.2">
      <c r="A826" s="4" t="s">
        <v>53</v>
      </c>
      <c r="B826" s="4">
        <v>2014</v>
      </c>
      <c r="C826" s="4" t="s">
        <v>52</v>
      </c>
      <c r="D826" s="4">
        <v>1</v>
      </c>
      <c r="E826" s="4">
        <v>13</v>
      </c>
      <c r="F826" s="4">
        <v>2</v>
      </c>
      <c r="G826" s="6" t="str">
        <f t="shared" si="25"/>
        <v>132</v>
      </c>
      <c r="H826" s="5">
        <v>2</v>
      </c>
      <c r="I826" s="5">
        <v>194.894185440706</v>
      </c>
      <c r="J826" s="5">
        <v>12232.054139347498</v>
      </c>
      <c r="K826" s="5">
        <v>4</v>
      </c>
      <c r="L826" s="5">
        <v>218.05398609564699</v>
      </c>
      <c r="M826" s="5">
        <v>13685.622057893337</v>
      </c>
      <c r="N826" s="5">
        <v>50</v>
      </c>
      <c r="O826" s="5">
        <v>-23.159800654940994</v>
      </c>
      <c r="P826" s="5">
        <v>-1453.5679185458393</v>
      </c>
      <c r="Q826" s="5">
        <v>-10.621131523265161</v>
      </c>
    </row>
    <row r="827" spans="1:17" x14ac:dyDescent="0.2">
      <c r="A827" s="4" t="s">
        <v>53</v>
      </c>
      <c r="B827" s="4">
        <v>2014</v>
      </c>
      <c r="C827" s="4" t="s">
        <v>52</v>
      </c>
      <c r="D827" s="4">
        <v>2</v>
      </c>
      <c r="E827" s="4">
        <v>13</v>
      </c>
      <c r="F827" s="4">
        <v>2</v>
      </c>
      <c r="G827" s="6" t="str">
        <f t="shared" si="25"/>
        <v>132</v>
      </c>
      <c r="H827" s="5">
        <v>4</v>
      </c>
      <c r="I827" s="5">
        <v>200.09682037058801</v>
      </c>
      <c r="J827" s="5">
        <v>12558.584723036658</v>
      </c>
      <c r="K827" s="5">
        <v>4</v>
      </c>
      <c r="L827" s="5">
        <v>193.729942994824</v>
      </c>
      <c r="M827" s="5">
        <v>12158.983326089769</v>
      </c>
      <c r="N827" s="5">
        <v>0</v>
      </c>
      <c r="O827" s="5">
        <v>6.3668773757640054</v>
      </c>
      <c r="P827" s="5">
        <v>399.60139694688951</v>
      </c>
      <c r="Q827" s="5">
        <v>3.2864704739701134</v>
      </c>
    </row>
    <row r="828" spans="1:17" x14ac:dyDescent="0.2">
      <c r="A828" s="4" t="s">
        <v>53</v>
      </c>
      <c r="B828" s="4">
        <v>2014</v>
      </c>
      <c r="C828" s="4" t="s">
        <v>52</v>
      </c>
      <c r="D828" s="4">
        <v>3</v>
      </c>
      <c r="E828" s="4">
        <v>13</v>
      </c>
      <c r="F828" s="4">
        <v>2</v>
      </c>
      <c r="G828" s="6" t="str">
        <f t="shared" si="25"/>
        <v>132</v>
      </c>
      <c r="H828" s="5">
        <v>2</v>
      </c>
      <c r="I828" s="5">
        <v>180.35369889352901</v>
      </c>
      <c r="J828" s="5">
        <v>11319.456268583239</v>
      </c>
      <c r="K828" s="5">
        <v>4</v>
      </c>
      <c r="L828" s="5">
        <v>192.13724364882401</v>
      </c>
      <c r="M828" s="5">
        <v>12059.02146943447</v>
      </c>
      <c r="N828" s="5">
        <v>50</v>
      </c>
      <c r="O828" s="5">
        <v>-11.783544755294997</v>
      </c>
      <c r="P828" s="5">
        <v>-739.56520085123157</v>
      </c>
      <c r="Q828" s="5">
        <v>-6.1328790459970453</v>
      </c>
    </row>
    <row r="829" spans="1:17" x14ac:dyDescent="0.2">
      <c r="A829" s="4" t="s">
        <v>53</v>
      </c>
      <c r="B829" s="4">
        <v>2014</v>
      </c>
      <c r="C829" s="4" t="s">
        <v>52</v>
      </c>
      <c r="D829" s="4">
        <v>4</v>
      </c>
      <c r="E829" s="4">
        <v>13</v>
      </c>
      <c r="F829" s="4">
        <v>2</v>
      </c>
      <c r="G829" s="6" t="str">
        <f t="shared" si="25"/>
        <v>132</v>
      </c>
      <c r="H829" s="5">
        <v>5</v>
      </c>
      <c r="I829" s="5">
        <v>181.00167625482399</v>
      </c>
      <c r="J829" s="5">
        <v>11360.124973739879</v>
      </c>
      <c r="K829" s="5">
        <v>4</v>
      </c>
      <c r="L829" s="5">
        <v>159.04257412235299</v>
      </c>
      <c r="M829" s="5">
        <v>9981.9159444224515</v>
      </c>
      <c r="N829" s="5">
        <v>-25</v>
      </c>
      <c r="O829" s="5">
        <v>21.959102132471003</v>
      </c>
      <c r="P829" s="5">
        <v>1378.2090293174278</v>
      </c>
      <c r="Q829" s="5">
        <v>13.807059055506507</v>
      </c>
    </row>
    <row r="830" spans="1:17" x14ac:dyDescent="0.2">
      <c r="A830" s="4" t="s">
        <v>99</v>
      </c>
      <c r="B830" s="4">
        <v>2014</v>
      </c>
      <c r="C830" s="4" t="s">
        <v>52</v>
      </c>
      <c r="D830" s="4">
        <v>1</v>
      </c>
      <c r="E830" s="4">
        <v>13</v>
      </c>
      <c r="F830" s="4">
        <v>2</v>
      </c>
      <c r="G830" s="6" t="str">
        <f t="shared" si="25"/>
        <v>132</v>
      </c>
      <c r="H830" s="5">
        <v>25</v>
      </c>
      <c r="I830" s="5">
        <v>167.17</v>
      </c>
      <c r="J830" s="5">
        <v>10492.013837410426</v>
      </c>
      <c r="K830" s="5">
        <v>70</v>
      </c>
      <c r="L830" s="5">
        <v>162.56</v>
      </c>
      <c r="M830" s="5">
        <v>10202.678527304175</v>
      </c>
      <c r="N830" s="5">
        <v>64.285714285714292</v>
      </c>
      <c r="O830" s="5">
        <v>4.6099999999999852</v>
      </c>
      <c r="P830" s="5">
        <v>289.3353101062512</v>
      </c>
      <c r="Q830" s="5">
        <v>2.8358759842519654</v>
      </c>
    </row>
    <row r="831" spans="1:17" x14ac:dyDescent="0.2">
      <c r="A831" s="4" t="s">
        <v>99</v>
      </c>
      <c r="B831" s="4">
        <v>2014</v>
      </c>
      <c r="C831" s="4" t="s">
        <v>52</v>
      </c>
      <c r="D831" s="4">
        <v>2</v>
      </c>
      <c r="E831" s="4">
        <v>13</v>
      </c>
      <c r="F831" s="4">
        <v>2</v>
      </c>
      <c r="G831" s="6" t="str">
        <f t="shared" si="25"/>
        <v>132</v>
      </c>
      <c r="H831" s="5">
        <v>30</v>
      </c>
      <c r="I831" s="5">
        <v>176.12</v>
      </c>
      <c r="J831" s="5">
        <v>11053.738571781567</v>
      </c>
      <c r="K831" s="5">
        <v>70</v>
      </c>
      <c r="L831" s="5">
        <v>168.24</v>
      </c>
      <c r="M831" s="5">
        <v>10559.169755374352</v>
      </c>
      <c r="N831" s="5">
        <v>57.142857142857139</v>
      </c>
      <c r="O831" s="5">
        <v>7.8799999999999955</v>
      </c>
      <c r="P831" s="5">
        <v>494.5688164072144</v>
      </c>
      <c r="Q831" s="5">
        <v>4.6837850689491116</v>
      </c>
    </row>
    <row r="832" spans="1:17" x14ac:dyDescent="0.2">
      <c r="A832" s="4" t="s">
        <v>99</v>
      </c>
      <c r="B832" s="4">
        <v>2014</v>
      </c>
      <c r="C832" s="4" t="s">
        <v>52</v>
      </c>
      <c r="D832" s="4">
        <v>3</v>
      </c>
      <c r="E832" s="4">
        <v>13</v>
      </c>
      <c r="F832" s="4">
        <v>2</v>
      </c>
      <c r="G832" s="6" t="str">
        <f t="shared" si="25"/>
        <v>132</v>
      </c>
      <c r="H832" s="5">
        <v>35</v>
      </c>
      <c r="I832" s="5">
        <v>172.39</v>
      </c>
      <c r="J832" s="5">
        <v>10819.63429701013</v>
      </c>
      <c r="K832" s="5">
        <v>70</v>
      </c>
      <c r="L832" s="5">
        <v>165.95</v>
      </c>
      <c r="M832" s="5">
        <v>10415.443538423522</v>
      </c>
      <c r="N832" s="5">
        <v>50</v>
      </c>
      <c r="O832" s="5">
        <v>6.4399999999999977</v>
      </c>
      <c r="P832" s="5">
        <v>404.19075858660835</v>
      </c>
      <c r="Q832" s="5">
        <v>3.8806869539017881</v>
      </c>
    </row>
    <row r="833" spans="1:17" x14ac:dyDescent="0.2">
      <c r="A833" s="4" t="s">
        <v>99</v>
      </c>
      <c r="B833" s="4">
        <v>2014</v>
      </c>
      <c r="C833" s="4" t="s">
        <v>52</v>
      </c>
      <c r="D833" s="4">
        <v>4</v>
      </c>
      <c r="E833" s="4">
        <v>13</v>
      </c>
      <c r="F833" s="4">
        <v>2</v>
      </c>
      <c r="G833" s="6" t="str">
        <f t="shared" si="25"/>
        <v>132</v>
      </c>
      <c r="H833" s="5">
        <v>30</v>
      </c>
      <c r="I833" s="5">
        <v>170.44</v>
      </c>
      <c r="J833" s="5">
        <v>10697.247343711391</v>
      </c>
      <c r="K833" s="5">
        <v>70</v>
      </c>
      <c r="L833" s="5">
        <v>163.37</v>
      </c>
      <c r="M833" s="5">
        <v>10253.516184828268</v>
      </c>
      <c r="N833" s="5">
        <v>57.142857142857139</v>
      </c>
      <c r="O833" s="5">
        <v>7.0699999999999932</v>
      </c>
      <c r="P833" s="5">
        <v>443.7311588831235</v>
      </c>
      <c r="Q833" s="5">
        <v>4.3275999265471032</v>
      </c>
    </row>
    <row r="834" spans="1:17" x14ac:dyDescent="0.2">
      <c r="A834" s="4" t="s">
        <v>53</v>
      </c>
      <c r="B834" s="4">
        <v>2014</v>
      </c>
      <c r="C834" s="4" t="s">
        <v>52</v>
      </c>
      <c r="D834" s="4">
        <v>1</v>
      </c>
      <c r="E834" s="4">
        <v>14</v>
      </c>
      <c r="F834" s="4">
        <v>2</v>
      </c>
      <c r="G834" s="6" t="str">
        <f t="shared" ref="G834:G897" si="26">E834&amp;F834</f>
        <v>142</v>
      </c>
      <c r="H834" s="5">
        <v>2</v>
      </c>
      <c r="I834" s="5">
        <v>186.12591101999999</v>
      </c>
      <c r="J834" s="5">
        <v>11681.734963943662</v>
      </c>
      <c r="K834" s="5">
        <v>4</v>
      </c>
      <c r="L834" s="5">
        <v>218.05398609564699</v>
      </c>
      <c r="M834" s="5">
        <v>13685.622057893337</v>
      </c>
      <c r="N834" s="5">
        <v>50</v>
      </c>
      <c r="O834" s="5">
        <v>-31.928075075647001</v>
      </c>
      <c r="P834" s="5">
        <v>-2003.8870939496755</v>
      </c>
      <c r="Q834" s="5">
        <v>-14.642279945133449</v>
      </c>
    </row>
    <row r="835" spans="1:17" x14ac:dyDescent="0.2">
      <c r="A835" s="4" t="s">
        <v>53</v>
      </c>
      <c r="B835" s="4">
        <v>2014</v>
      </c>
      <c r="C835" s="4" t="s">
        <v>52</v>
      </c>
      <c r="D835" s="4">
        <v>2</v>
      </c>
      <c r="E835" s="4">
        <v>14</v>
      </c>
      <c r="F835" s="4">
        <v>2</v>
      </c>
      <c r="G835" s="6" t="str">
        <f t="shared" si="26"/>
        <v>142</v>
      </c>
      <c r="H835" s="5">
        <v>2</v>
      </c>
      <c r="I835" s="5">
        <v>166.27890932470601</v>
      </c>
      <c r="J835" s="5">
        <v>10436.086723122145</v>
      </c>
      <c r="K835" s="5">
        <v>4</v>
      </c>
      <c r="L835" s="5">
        <v>193.729942994824</v>
      </c>
      <c r="M835" s="5">
        <v>12158.983326089769</v>
      </c>
      <c r="N835" s="5">
        <v>50</v>
      </c>
      <c r="O835" s="5">
        <v>-27.451033670117994</v>
      </c>
      <c r="P835" s="5">
        <v>-1722.896602967623</v>
      </c>
      <c r="Q835" s="5">
        <v>-14.169742294742441</v>
      </c>
    </row>
    <row r="836" spans="1:17" x14ac:dyDescent="0.2">
      <c r="A836" s="4" t="s">
        <v>53</v>
      </c>
      <c r="B836" s="4">
        <v>2014</v>
      </c>
      <c r="C836" s="4" t="s">
        <v>52</v>
      </c>
      <c r="D836" s="4">
        <v>3</v>
      </c>
      <c r="E836" s="4">
        <v>14</v>
      </c>
      <c r="F836" s="4">
        <v>2</v>
      </c>
      <c r="G836" s="6" t="str">
        <f t="shared" si="26"/>
        <v>142</v>
      </c>
      <c r="H836" s="5">
        <v>5</v>
      </c>
      <c r="I836" s="5">
        <v>189.11099729117601</v>
      </c>
      <c r="J836" s="5">
        <v>11869.086560899112</v>
      </c>
      <c r="K836" s="5">
        <v>4</v>
      </c>
      <c r="L836" s="5">
        <v>192.13724364882401</v>
      </c>
      <c r="M836" s="5">
        <v>12059.02146943447</v>
      </c>
      <c r="N836" s="5">
        <v>-25</v>
      </c>
      <c r="O836" s="5">
        <v>-3.0262463576480059</v>
      </c>
      <c r="P836" s="5">
        <v>-189.93490853535877</v>
      </c>
      <c r="Q836" s="5">
        <v>-1.5750441195977578</v>
      </c>
    </row>
    <row r="837" spans="1:17" x14ac:dyDescent="0.2">
      <c r="A837" s="4" t="s">
        <v>53</v>
      </c>
      <c r="B837" s="4">
        <v>2014</v>
      </c>
      <c r="C837" s="4" t="s">
        <v>52</v>
      </c>
      <c r="D837" s="4">
        <v>4</v>
      </c>
      <c r="E837" s="4">
        <v>14</v>
      </c>
      <c r="F837" s="4">
        <v>2</v>
      </c>
      <c r="G837" s="6" t="str">
        <f t="shared" si="26"/>
        <v>142</v>
      </c>
      <c r="H837" s="5">
        <v>3</v>
      </c>
      <c r="I837" s="5">
        <v>186.37757554870601</v>
      </c>
      <c r="J837" s="5">
        <v>11697.530069031709</v>
      </c>
      <c r="K837" s="5">
        <v>4</v>
      </c>
      <c r="L837" s="5">
        <v>159.04257412235299</v>
      </c>
      <c r="M837" s="5">
        <v>9981.9159444224515</v>
      </c>
      <c r="N837" s="5">
        <v>25</v>
      </c>
      <c r="O837" s="5">
        <v>27.335001426353017</v>
      </c>
      <c r="P837" s="5">
        <v>1715.6141246092575</v>
      </c>
      <c r="Q837" s="5">
        <v>17.187222715173064</v>
      </c>
    </row>
    <row r="838" spans="1:17" x14ac:dyDescent="0.2">
      <c r="A838" s="4" t="s">
        <v>99</v>
      </c>
      <c r="B838" s="4">
        <v>2014</v>
      </c>
      <c r="C838" s="4" t="s">
        <v>52</v>
      </c>
      <c r="D838" s="4">
        <v>1</v>
      </c>
      <c r="E838" s="4">
        <v>14</v>
      </c>
      <c r="F838" s="4">
        <v>2</v>
      </c>
      <c r="G838" s="6" t="str">
        <f t="shared" si="26"/>
        <v>142</v>
      </c>
      <c r="H838" s="5">
        <v>35</v>
      </c>
      <c r="I838" s="5">
        <v>168.22</v>
      </c>
      <c r="J838" s="5">
        <v>10557.914504571287</v>
      </c>
      <c r="K838" s="5">
        <v>70</v>
      </c>
      <c r="L838" s="5">
        <v>162.56</v>
      </c>
      <c r="M838" s="5">
        <v>10202.678527304175</v>
      </c>
      <c r="N838" s="5">
        <v>50</v>
      </c>
      <c r="O838" s="5">
        <v>5.6599999999999966</v>
      </c>
      <c r="P838" s="5">
        <v>355.23597726711159</v>
      </c>
      <c r="Q838" s="5">
        <v>3.4817913385826786</v>
      </c>
    </row>
    <row r="839" spans="1:17" x14ac:dyDescent="0.2">
      <c r="A839" s="4" t="s">
        <v>99</v>
      </c>
      <c r="B839" s="4">
        <v>2014</v>
      </c>
      <c r="C839" s="4" t="s">
        <v>52</v>
      </c>
      <c r="D839" s="4">
        <v>2</v>
      </c>
      <c r="E839" s="4">
        <v>14</v>
      </c>
      <c r="F839" s="4">
        <v>2</v>
      </c>
      <c r="G839" s="6" t="str">
        <f t="shared" si="26"/>
        <v>142</v>
      </c>
      <c r="H839" s="5">
        <v>30</v>
      </c>
      <c r="I839" s="5">
        <v>165.93</v>
      </c>
      <c r="J839" s="5">
        <v>10414.18828762046</v>
      </c>
      <c r="K839" s="5">
        <v>70</v>
      </c>
      <c r="L839" s="5">
        <v>168.24</v>
      </c>
      <c r="M839" s="5">
        <v>10559.169755374352</v>
      </c>
      <c r="N839" s="5">
        <v>57.142857142857139</v>
      </c>
      <c r="O839" s="5">
        <v>-2.3100000000000023</v>
      </c>
      <c r="P839" s="5">
        <v>-144.9814677538925</v>
      </c>
      <c r="Q839" s="5">
        <v>-1.3730385164051424</v>
      </c>
    </row>
    <row r="840" spans="1:17" x14ac:dyDescent="0.2">
      <c r="A840" s="4" t="s">
        <v>99</v>
      </c>
      <c r="B840" s="4">
        <v>2014</v>
      </c>
      <c r="C840" s="4" t="s">
        <v>52</v>
      </c>
      <c r="D840" s="4">
        <v>3</v>
      </c>
      <c r="E840" s="4">
        <v>14</v>
      </c>
      <c r="F840" s="4">
        <v>2</v>
      </c>
      <c r="G840" s="6" t="str">
        <f t="shared" si="26"/>
        <v>142</v>
      </c>
      <c r="H840" s="5">
        <v>30</v>
      </c>
      <c r="I840" s="5">
        <v>175.5</v>
      </c>
      <c r="J840" s="5">
        <v>11014.825796886582</v>
      </c>
      <c r="K840" s="5">
        <v>70</v>
      </c>
      <c r="L840" s="5">
        <v>165.95</v>
      </c>
      <c r="M840" s="5">
        <v>10415.443538423522</v>
      </c>
      <c r="N840" s="5">
        <v>57.142857142857139</v>
      </c>
      <c r="O840" s="5">
        <v>9.5500000000000114</v>
      </c>
      <c r="P840" s="5">
        <v>599.38225846305977</v>
      </c>
      <c r="Q840" s="5">
        <v>5.7547454052425504</v>
      </c>
    </row>
    <row r="841" spans="1:17" x14ac:dyDescent="0.2">
      <c r="A841" s="4" t="s">
        <v>99</v>
      </c>
      <c r="B841" s="4">
        <v>2014</v>
      </c>
      <c r="C841" s="4" t="s">
        <v>52</v>
      </c>
      <c r="D841" s="4">
        <v>4</v>
      </c>
      <c r="E841" s="4">
        <v>14</v>
      </c>
      <c r="F841" s="4">
        <v>2</v>
      </c>
      <c r="G841" s="6" t="str">
        <f t="shared" si="26"/>
        <v>142</v>
      </c>
      <c r="H841" s="5">
        <v>25</v>
      </c>
      <c r="I841" s="5">
        <v>172.11</v>
      </c>
      <c r="J841" s="5">
        <v>10802.060785767235</v>
      </c>
      <c r="K841" s="5">
        <v>70</v>
      </c>
      <c r="L841" s="5">
        <v>163.37</v>
      </c>
      <c r="M841" s="5">
        <v>10253.516184828268</v>
      </c>
      <c r="N841" s="5">
        <v>64.285714285714292</v>
      </c>
      <c r="O841" s="5">
        <v>8.7400000000000091</v>
      </c>
      <c r="P841" s="5">
        <v>548.54460093896705</v>
      </c>
      <c r="Q841" s="5">
        <v>5.3498194282916067</v>
      </c>
    </row>
    <row r="842" spans="1:17" x14ac:dyDescent="0.2">
      <c r="A842" s="4" t="s">
        <v>99</v>
      </c>
      <c r="B842" s="4">
        <v>2014</v>
      </c>
      <c r="C842" s="4" t="s">
        <v>52</v>
      </c>
      <c r="D842" s="4">
        <v>1</v>
      </c>
      <c r="E842" s="4">
        <v>15</v>
      </c>
      <c r="F842" s="4">
        <v>3</v>
      </c>
      <c r="G842" s="6" t="str">
        <f t="shared" si="26"/>
        <v>153</v>
      </c>
      <c r="H842" s="5">
        <v>15</v>
      </c>
      <c r="I842" s="5">
        <v>180.29</v>
      </c>
      <c r="J842" s="5">
        <v>11315.458364220409</v>
      </c>
      <c r="K842" s="5">
        <v>70</v>
      </c>
      <c r="L842" s="5">
        <v>162.56</v>
      </c>
      <c r="M842" s="5">
        <v>10202.678527304175</v>
      </c>
      <c r="N842" s="5">
        <v>78.571428571428569</v>
      </c>
      <c r="O842" s="5">
        <v>17.72999999999999</v>
      </c>
      <c r="P842" s="5">
        <v>1112.7798369162338</v>
      </c>
      <c r="Q842" s="5">
        <v>10.906742125984248</v>
      </c>
    </row>
    <row r="843" spans="1:17" x14ac:dyDescent="0.2">
      <c r="A843" s="4" t="s">
        <v>99</v>
      </c>
      <c r="B843" s="4">
        <v>2014</v>
      </c>
      <c r="C843" s="4" t="s">
        <v>52</v>
      </c>
      <c r="D843" s="4">
        <v>2</v>
      </c>
      <c r="E843" s="4">
        <v>15</v>
      </c>
      <c r="F843" s="4">
        <v>3</v>
      </c>
      <c r="G843" s="6" t="str">
        <f t="shared" si="26"/>
        <v>153</v>
      </c>
      <c r="H843" s="5">
        <v>20</v>
      </c>
      <c r="I843" s="5">
        <v>184.2</v>
      </c>
      <c r="J843" s="5">
        <v>11560.859896219421</v>
      </c>
      <c r="K843" s="5">
        <v>70</v>
      </c>
      <c r="L843" s="5">
        <v>168.24</v>
      </c>
      <c r="M843" s="5">
        <v>10559.169755374352</v>
      </c>
      <c r="N843" s="5">
        <v>71.428571428571431</v>
      </c>
      <c r="O843" s="5">
        <v>15.95999999999998</v>
      </c>
      <c r="P843" s="5">
        <v>1001.6901408450685</v>
      </c>
      <c r="Q843" s="5">
        <v>9.4864479315263726</v>
      </c>
    </row>
    <row r="844" spans="1:17" x14ac:dyDescent="0.2">
      <c r="A844" s="4" t="s">
        <v>99</v>
      </c>
      <c r="B844" s="4">
        <v>2014</v>
      </c>
      <c r="C844" s="4" t="s">
        <v>52</v>
      </c>
      <c r="D844" s="4">
        <v>3</v>
      </c>
      <c r="E844" s="4">
        <v>15</v>
      </c>
      <c r="F844" s="4">
        <v>3</v>
      </c>
      <c r="G844" s="6" t="str">
        <f t="shared" si="26"/>
        <v>153</v>
      </c>
      <c r="H844" s="5">
        <v>20</v>
      </c>
      <c r="I844" s="5">
        <v>180.66</v>
      </c>
      <c r="J844" s="5">
        <v>11338.680504077094</v>
      </c>
      <c r="K844" s="5">
        <v>70</v>
      </c>
      <c r="L844" s="5">
        <v>165.95</v>
      </c>
      <c r="M844" s="5">
        <v>10415.443538423522</v>
      </c>
      <c r="N844" s="5">
        <v>71.428571428571431</v>
      </c>
      <c r="O844" s="5">
        <v>14.710000000000008</v>
      </c>
      <c r="P844" s="5">
        <v>923.23696565357204</v>
      </c>
      <c r="Q844" s="5">
        <v>8.8641156974992619</v>
      </c>
    </row>
    <row r="845" spans="1:17" x14ac:dyDescent="0.2">
      <c r="A845" s="4" t="s">
        <v>99</v>
      </c>
      <c r="B845" s="4">
        <v>2014</v>
      </c>
      <c r="C845" s="4" t="s">
        <v>52</v>
      </c>
      <c r="D845" s="4">
        <v>4</v>
      </c>
      <c r="E845" s="4">
        <v>15</v>
      </c>
      <c r="F845" s="4">
        <v>3</v>
      </c>
      <c r="G845" s="6" t="str">
        <f t="shared" si="26"/>
        <v>153</v>
      </c>
      <c r="H845" s="5">
        <v>20</v>
      </c>
      <c r="I845" s="5">
        <v>177.77</v>
      </c>
      <c r="J845" s="5">
        <v>11157.296763034346</v>
      </c>
      <c r="K845" s="5">
        <v>70</v>
      </c>
      <c r="L845" s="5">
        <v>163.37</v>
      </c>
      <c r="M845" s="5">
        <v>10253.516184828268</v>
      </c>
      <c r="N845" s="5">
        <v>71.428571428571431</v>
      </c>
      <c r="O845" s="5">
        <v>14.400000000000006</v>
      </c>
      <c r="P845" s="5">
        <v>903.78057820607864</v>
      </c>
      <c r="Q845" s="5">
        <v>8.8143477994735893</v>
      </c>
    </row>
    <row r="846" spans="1:17" x14ac:dyDescent="0.2">
      <c r="A846" s="4" t="s">
        <v>99</v>
      </c>
      <c r="B846" s="4">
        <v>2014</v>
      </c>
      <c r="C846" s="4" t="s">
        <v>52</v>
      </c>
      <c r="D846" s="4">
        <v>1</v>
      </c>
      <c r="E846" s="4">
        <v>16</v>
      </c>
      <c r="F846" s="4">
        <v>3</v>
      </c>
      <c r="G846" s="6" t="str">
        <f t="shared" si="26"/>
        <v>163</v>
      </c>
      <c r="H846" s="5">
        <v>20</v>
      </c>
      <c r="I846" s="5">
        <v>175.71</v>
      </c>
      <c r="J846" s="5">
        <v>11028.005930318755</v>
      </c>
      <c r="K846" s="5">
        <v>70</v>
      </c>
      <c r="L846" s="5">
        <v>162.56</v>
      </c>
      <c r="M846" s="5">
        <v>10202.678527304175</v>
      </c>
      <c r="N846" s="5">
        <v>71.428571428571431</v>
      </c>
      <c r="O846" s="5">
        <v>13.150000000000006</v>
      </c>
      <c r="P846" s="5">
        <v>825.32740301458034</v>
      </c>
      <c r="Q846" s="5">
        <v>8.0893208661417493</v>
      </c>
    </row>
    <row r="847" spans="1:17" x14ac:dyDescent="0.2">
      <c r="A847" s="4" t="s">
        <v>99</v>
      </c>
      <c r="B847" s="4">
        <v>2014</v>
      </c>
      <c r="C847" s="4" t="s">
        <v>52</v>
      </c>
      <c r="D847" s="4">
        <v>2</v>
      </c>
      <c r="E847" s="4">
        <v>16</v>
      </c>
      <c r="F847" s="4">
        <v>3</v>
      </c>
      <c r="G847" s="6" t="str">
        <f t="shared" si="26"/>
        <v>163</v>
      </c>
      <c r="H847" s="5">
        <v>20</v>
      </c>
      <c r="I847" s="5">
        <v>176.49</v>
      </c>
      <c r="J847" s="5">
        <v>11076.96071163825</v>
      </c>
      <c r="K847" s="5">
        <v>70</v>
      </c>
      <c r="L847" s="5">
        <v>168.24</v>
      </c>
      <c r="M847" s="5">
        <v>10559.169755374352</v>
      </c>
      <c r="N847" s="5">
        <v>71.428571428571431</v>
      </c>
      <c r="O847" s="5">
        <v>8.25</v>
      </c>
      <c r="P847" s="5">
        <v>517.7909562638979</v>
      </c>
      <c r="Q847" s="5">
        <v>4.9037089871611856</v>
      </c>
    </row>
    <row r="848" spans="1:17" x14ac:dyDescent="0.2">
      <c r="A848" s="4" t="s">
        <v>99</v>
      </c>
      <c r="B848" s="4">
        <v>2014</v>
      </c>
      <c r="C848" s="4" t="s">
        <v>52</v>
      </c>
      <c r="D848" s="4">
        <v>3</v>
      </c>
      <c r="E848" s="4">
        <v>16</v>
      </c>
      <c r="F848" s="4">
        <v>3</v>
      </c>
      <c r="G848" s="6" t="str">
        <f t="shared" si="26"/>
        <v>163</v>
      </c>
      <c r="H848" s="5">
        <v>20</v>
      </c>
      <c r="I848" s="5">
        <v>187.25</v>
      </c>
      <c r="J848" s="5">
        <v>11752.28564368668</v>
      </c>
      <c r="K848" s="5">
        <v>70</v>
      </c>
      <c r="L848" s="5">
        <v>165.95</v>
      </c>
      <c r="M848" s="5">
        <v>10415.443538423522</v>
      </c>
      <c r="N848" s="5">
        <v>71.428571428571431</v>
      </c>
      <c r="O848" s="5">
        <v>21.300000000000011</v>
      </c>
      <c r="P848" s="5">
        <v>1336.8421052631584</v>
      </c>
      <c r="Q848" s="5">
        <v>12.835191322687564</v>
      </c>
    </row>
    <row r="849" spans="1:17" x14ac:dyDescent="0.2">
      <c r="A849" s="4" t="s">
        <v>99</v>
      </c>
      <c r="B849" s="4">
        <v>2014</v>
      </c>
      <c r="C849" s="4" t="s">
        <v>52</v>
      </c>
      <c r="D849" s="4">
        <v>4</v>
      </c>
      <c r="E849" s="4">
        <v>16</v>
      </c>
      <c r="F849" s="4">
        <v>3</v>
      </c>
      <c r="G849" s="6" t="str">
        <f t="shared" si="26"/>
        <v>163</v>
      </c>
      <c r="H849" s="5">
        <v>20</v>
      </c>
      <c r="I849" s="5">
        <v>170.03</v>
      </c>
      <c r="J849" s="5">
        <v>10671.51470224858</v>
      </c>
      <c r="K849" s="5">
        <v>70</v>
      </c>
      <c r="L849" s="5">
        <v>163.37</v>
      </c>
      <c r="M849" s="5">
        <v>10253.516184828268</v>
      </c>
      <c r="N849" s="5">
        <v>71.428571428571431</v>
      </c>
      <c r="O849" s="5">
        <v>6.6599999999999966</v>
      </c>
      <c r="P849" s="5">
        <v>417.99851742031206</v>
      </c>
      <c r="Q849" s="5">
        <v>4.0766358572565418</v>
      </c>
    </row>
    <row r="850" spans="1:17" x14ac:dyDescent="0.2">
      <c r="A850" s="4" t="s">
        <v>99</v>
      </c>
      <c r="B850" s="4">
        <v>2014</v>
      </c>
      <c r="C850" s="4" t="s">
        <v>52</v>
      </c>
      <c r="D850" s="4">
        <v>1</v>
      </c>
      <c r="E850" s="4">
        <v>17</v>
      </c>
      <c r="F850" s="4">
        <v>3</v>
      </c>
      <c r="G850" s="6" t="str">
        <f t="shared" si="26"/>
        <v>173</v>
      </c>
      <c r="H850" s="5">
        <v>25</v>
      </c>
      <c r="I850" s="5">
        <v>176.77</v>
      </c>
      <c r="J850" s="5">
        <v>11094.534222881148</v>
      </c>
      <c r="K850" s="5">
        <v>70</v>
      </c>
      <c r="L850" s="5">
        <v>162.56</v>
      </c>
      <c r="M850" s="5">
        <v>10202.678527304175</v>
      </c>
      <c r="N850" s="5">
        <v>64.285714285714292</v>
      </c>
      <c r="O850" s="5">
        <v>14.210000000000008</v>
      </c>
      <c r="P850" s="5">
        <v>891.85569557697272</v>
      </c>
      <c r="Q850" s="5">
        <v>8.741387795275612</v>
      </c>
    </row>
    <row r="851" spans="1:17" x14ac:dyDescent="0.2">
      <c r="A851" s="4" t="s">
        <v>99</v>
      </c>
      <c r="B851" s="4">
        <v>2014</v>
      </c>
      <c r="C851" s="4" t="s">
        <v>52</v>
      </c>
      <c r="D851" s="4">
        <v>2</v>
      </c>
      <c r="E851" s="4">
        <v>17</v>
      </c>
      <c r="F851" s="4">
        <v>3</v>
      </c>
      <c r="G851" s="6" t="str">
        <f t="shared" si="26"/>
        <v>173</v>
      </c>
      <c r="H851" s="5">
        <v>25</v>
      </c>
      <c r="I851" s="5">
        <v>169.96</v>
      </c>
      <c r="J851" s="5">
        <v>10667.121324437856</v>
      </c>
      <c r="K851" s="5">
        <v>70</v>
      </c>
      <c r="L851" s="5">
        <v>168.24</v>
      </c>
      <c r="M851" s="5">
        <v>10559.169755374352</v>
      </c>
      <c r="N851" s="5">
        <v>64.285714285714292</v>
      </c>
      <c r="O851" s="5">
        <v>1.7199999999999989</v>
      </c>
      <c r="P851" s="5">
        <v>107.95156906350348</v>
      </c>
      <c r="Q851" s="5">
        <v>1.0223490252020888</v>
      </c>
    </row>
    <row r="852" spans="1:17" x14ac:dyDescent="0.2">
      <c r="A852" s="4" t="s">
        <v>99</v>
      </c>
      <c r="B852" s="4">
        <v>2014</v>
      </c>
      <c r="C852" s="4" t="s">
        <v>52</v>
      </c>
      <c r="D852" s="4">
        <v>3</v>
      </c>
      <c r="E852" s="4">
        <v>17</v>
      </c>
      <c r="F852" s="4">
        <v>3</v>
      </c>
      <c r="G852" s="6" t="str">
        <f t="shared" si="26"/>
        <v>173</v>
      </c>
      <c r="H852" s="5">
        <v>25</v>
      </c>
      <c r="I852" s="5">
        <v>172.5</v>
      </c>
      <c r="J852" s="5">
        <v>10826.538176426982</v>
      </c>
      <c r="K852" s="5">
        <v>70</v>
      </c>
      <c r="L852" s="5">
        <v>165.95</v>
      </c>
      <c r="M852" s="5">
        <v>10415.443538423522</v>
      </c>
      <c r="N852" s="5">
        <v>64.285714285714292</v>
      </c>
      <c r="O852" s="5">
        <v>6.5500000000000114</v>
      </c>
      <c r="P852" s="5">
        <v>411.0946380034602</v>
      </c>
      <c r="Q852" s="5">
        <v>3.9469719795119094</v>
      </c>
    </row>
    <row r="853" spans="1:17" x14ac:dyDescent="0.2">
      <c r="A853" s="4" t="s">
        <v>99</v>
      </c>
      <c r="B853" s="4">
        <v>2014</v>
      </c>
      <c r="C853" s="4" t="s">
        <v>52</v>
      </c>
      <c r="D853" s="4">
        <v>4</v>
      </c>
      <c r="E853" s="4">
        <v>17</v>
      </c>
      <c r="F853" s="4">
        <v>3</v>
      </c>
      <c r="G853" s="6" t="str">
        <f t="shared" si="26"/>
        <v>173</v>
      </c>
      <c r="H853" s="5">
        <v>25</v>
      </c>
      <c r="I853" s="5">
        <v>177.13</v>
      </c>
      <c r="J853" s="5">
        <v>11117.128737336297</v>
      </c>
      <c r="K853" s="5">
        <v>70</v>
      </c>
      <c r="L853" s="5">
        <v>163.37</v>
      </c>
      <c r="M853" s="5">
        <v>10253.516184828268</v>
      </c>
      <c r="N853" s="5">
        <v>64.285714285714292</v>
      </c>
      <c r="O853" s="5">
        <v>13.759999999999991</v>
      </c>
      <c r="P853" s="5">
        <v>863.61255250802969</v>
      </c>
      <c r="Q853" s="5">
        <v>8.4225990083858626</v>
      </c>
    </row>
    <row r="854" spans="1:17" x14ac:dyDescent="0.2">
      <c r="A854" s="4" t="s">
        <v>99</v>
      </c>
      <c r="B854" s="4">
        <v>2014</v>
      </c>
      <c r="C854" s="4" t="s">
        <v>52</v>
      </c>
      <c r="D854" s="4">
        <v>1</v>
      </c>
      <c r="E854" s="4">
        <v>18</v>
      </c>
      <c r="F854" s="4">
        <v>3</v>
      </c>
      <c r="G854" s="6" t="str">
        <f t="shared" si="26"/>
        <v>183</v>
      </c>
      <c r="H854" s="5">
        <v>20</v>
      </c>
      <c r="I854" s="5">
        <v>178.95</v>
      </c>
      <c r="J854" s="5">
        <v>11231.356560415121</v>
      </c>
      <c r="K854" s="5">
        <v>70</v>
      </c>
      <c r="L854" s="5">
        <v>162.56</v>
      </c>
      <c r="M854" s="5">
        <v>10202.678527304175</v>
      </c>
      <c r="N854" s="5">
        <v>71.428571428571431</v>
      </c>
      <c r="O854" s="5">
        <v>16.389999999999986</v>
      </c>
      <c r="P854" s="5">
        <v>1028.6780331109458</v>
      </c>
      <c r="Q854" s="5">
        <v>10.0824311023622</v>
      </c>
    </row>
    <row r="855" spans="1:17" x14ac:dyDescent="0.2">
      <c r="A855" s="4" t="s">
        <v>99</v>
      </c>
      <c r="B855" s="4">
        <v>2014</v>
      </c>
      <c r="C855" s="4" t="s">
        <v>52</v>
      </c>
      <c r="D855" s="4">
        <v>2</v>
      </c>
      <c r="E855" s="4">
        <v>18</v>
      </c>
      <c r="F855" s="4">
        <v>3</v>
      </c>
      <c r="G855" s="6" t="str">
        <f t="shared" si="26"/>
        <v>183</v>
      </c>
      <c r="H855" s="5">
        <v>25</v>
      </c>
      <c r="I855" s="5">
        <v>180.76</v>
      </c>
      <c r="J855" s="5">
        <v>11344.956758092414</v>
      </c>
      <c r="K855" s="5">
        <v>70</v>
      </c>
      <c r="L855" s="5">
        <v>168.24</v>
      </c>
      <c r="M855" s="5">
        <v>10559.169755374352</v>
      </c>
      <c r="N855" s="5">
        <v>64.285714285714292</v>
      </c>
      <c r="O855" s="5">
        <v>12.519999999999982</v>
      </c>
      <c r="P855" s="5">
        <v>785.78700271806156</v>
      </c>
      <c r="Q855" s="5">
        <v>7.4417498811221936</v>
      </c>
    </row>
    <row r="856" spans="1:17" x14ac:dyDescent="0.2">
      <c r="A856" s="4" t="s">
        <v>99</v>
      </c>
      <c r="B856" s="4">
        <v>2014</v>
      </c>
      <c r="C856" s="4" t="s">
        <v>52</v>
      </c>
      <c r="D856" s="4">
        <v>3</v>
      </c>
      <c r="E856" s="4">
        <v>18</v>
      </c>
      <c r="F856" s="4">
        <v>3</v>
      </c>
      <c r="G856" s="6" t="str">
        <f t="shared" si="26"/>
        <v>183</v>
      </c>
      <c r="H856" s="5">
        <v>30</v>
      </c>
      <c r="I856" s="5">
        <v>169.61</v>
      </c>
      <c r="J856" s="5">
        <v>10645.154435384236</v>
      </c>
      <c r="K856" s="5">
        <v>70</v>
      </c>
      <c r="L856" s="5">
        <v>165.95</v>
      </c>
      <c r="M856" s="5">
        <v>10415.443538423522</v>
      </c>
      <c r="N856" s="5">
        <v>57.142857142857139</v>
      </c>
      <c r="O856" s="5">
        <v>3.660000000000025</v>
      </c>
      <c r="P856" s="5">
        <v>229.71089696071431</v>
      </c>
      <c r="Q856" s="5">
        <v>2.2054835793914087</v>
      </c>
    </row>
    <row r="857" spans="1:17" x14ac:dyDescent="0.2">
      <c r="A857" s="4" t="s">
        <v>99</v>
      </c>
      <c r="B857" s="4">
        <v>2014</v>
      </c>
      <c r="C857" s="4" t="s">
        <v>52</v>
      </c>
      <c r="D857" s="4">
        <v>4</v>
      </c>
      <c r="E857" s="4">
        <v>18</v>
      </c>
      <c r="F857" s="4">
        <v>3</v>
      </c>
      <c r="G857" s="6" t="str">
        <f t="shared" si="26"/>
        <v>183</v>
      </c>
      <c r="H857" s="5">
        <v>25</v>
      </c>
      <c r="I857" s="5">
        <v>181.92</v>
      </c>
      <c r="J857" s="5">
        <v>11417.761304670124</v>
      </c>
      <c r="K857" s="5">
        <v>70</v>
      </c>
      <c r="L857" s="5">
        <v>163.37</v>
      </c>
      <c r="M857" s="5">
        <v>10253.516184828268</v>
      </c>
      <c r="N857" s="5">
        <v>64.285714285714292</v>
      </c>
      <c r="O857" s="5">
        <v>18.549999999999983</v>
      </c>
      <c r="P857" s="5">
        <v>1164.2451198418566</v>
      </c>
      <c r="Q857" s="5">
        <v>11.354593866682974</v>
      </c>
    </row>
    <row r="858" spans="1:17" x14ac:dyDescent="0.2">
      <c r="A858" s="4" t="s">
        <v>99</v>
      </c>
      <c r="B858" s="4">
        <v>2014</v>
      </c>
      <c r="C858" s="4" t="s">
        <v>52</v>
      </c>
      <c r="D858" s="4">
        <v>1</v>
      </c>
      <c r="E858" s="4">
        <v>19</v>
      </c>
      <c r="F858" s="4">
        <v>3</v>
      </c>
      <c r="G858" s="6" t="str">
        <f t="shared" si="26"/>
        <v>193</v>
      </c>
      <c r="H858" s="5">
        <v>30</v>
      </c>
      <c r="I858" s="5">
        <v>167.21</v>
      </c>
      <c r="J858" s="5">
        <v>10494.524339016556</v>
      </c>
      <c r="K858" s="5">
        <v>70</v>
      </c>
      <c r="L858" s="5">
        <v>162.56</v>
      </c>
      <c r="M858" s="5">
        <v>10202.678527304175</v>
      </c>
      <c r="N858" s="5">
        <v>57.142857142857139</v>
      </c>
      <c r="O858" s="5">
        <v>4.6500000000000057</v>
      </c>
      <c r="P858" s="5">
        <v>291.84581171238096</v>
      </c>
      <c r="Q858" s="5">
        <v>2.8604822834645813</v>
      </c>
    </row>
    <row r="859" spans="1:17" x14ac:dyDescent="0.2">
      <c r="A859" s="4" t="s">
        <v>99</v>
      </c>
      <c r="B859" s="4">
        <v>2014</v>
      </c>
      <c r="C859" s="4" t="s">
        <v>52</v>
      </c>
      <c r="D859" s="4">
        <v>2</v>
      </c>
      <c r="E859" s="4">
        <v>19</v>
      </c>
      <c r="F859" s="4">
        <v>3</v>
      </c>
      <c r="G859" s="6" t="str">
        <f t="shared" si="26"/>
        <v>193</v>
      </c>
      <c r="H859" s="5">
        <v>30</v>
      </c>
      <c r="I859" s="5">
        <v>168.28</v>
      </c>
      <c r="J859" s="5">
        <v>10561.680256980479</v>
      </c>
      <c r="K859" s="5">
        <v>70</v>
      </c>
      <c r="L859" s="5">
        <v>168.24</v>
      </c>
      <c r="M859" s="5">
        <v>10559.169755374352</v>
      </c>
      <c r="N859" s="5">
        <v>57.142857142857139</v>
      </c>
      <c r="O859" s="5">
        <v>3.9999999999992042E-2</v>
      </c>
      <c r="P859" s="5">
        <v>2.5105016061261267</v>
      </c>
      <c r="Q859" s="5">
        <v>2.3775558725612347E-2</v>
      </c>
    </row>
    <row r="860" spans="1:17" x14ac:dyDescent="0.2">
      <c r="A860" s="4" t="s">
        <v>99</v>
      </c>
      <c r="B860" s="4">
        <v>2014</v>
      </c>
      <c r="C860" s="4" t="s">
        <v>52</v>
      </c>
      <c r="D860" s="4">
        <v>3</v>
      </c>
      <c r="E860" s="4">
        <v>19</v>
      </c>
      <c r="F860" s="4">
        <v>3</v>
      </c>
      <c r="G860" s="6" t="str">
        <f t="shared" si="26"/>
        <v>193</v>
      </c>
      <c r="H860" s="5">
        <v>30</v>
      </c>
      <c r="I860" s="5">
        <v>172.33</v>
      </c>
      <c r="J860" s="5">
        <v>10815.86854460094</v>
      </c>
      <c r="K860" s="5">
        <v>70</v>
      </c>
      <c r="L860" s="5">
        <v>165.95</v>
      </c>
      <c r="M860" s="5">
        <v>10415.443538423522</v>
      </c>
      <c r="N860" s="5">
        <v>57.142857142857139</v>
      </c>
      <c r="O860" s="5">
        <v>6.3800000000000239</v>
      </c>
      <c r="P860" s="5">
        <v>400.42500617741825</v>
      </c>
      <c r="Q860" s="5">
        <v>3.8445314853871935</v>
      </c>
    </row>
    <row r="861" spans="1:17" x14ac:dyDescent="0.2">
      <c r="A861" s="4" t="s">
        <v>99</v>
      </c>
      <c r="B861" s="4">
        <v>2014</v>
      </c>
      <c r="C861" s="4" t="s">
        <v>52</v>
      </c>
      <c r="D861" s="4">
        <v>4</v>
      </c>
      <c r="E861" s="4">
        <v>19</v>
      </c>
      <c r="F861" s="4">
        <v>3</v>
      </c>
      <c r="G861" s="6" t="str">
        <f t="shared" si="26"/>
        <v>193</v>
      </c>
      <c r="H861" s="5">
        <v>30</v>
      </c>
      <c r="I861" s="5">
        <v>175.18</v>
      </c>
      <c r="J861" s="5">
        <v>10994.741784037558</v>
      </c>
      <c r="K861" s="5">
        <v>70</v>
      </c>
      <c r="L861" s="5">
        <v>163.37</v>
      </c>
      <c r="M861" s="5">
        <v>10253.516184828268</v>
      </c>
      <c r="N861" s="5">
        <v>57.142857142857139</v>
      </c>
      <c r="O861" s="5">
        <v>11.810000000000002</v>
      </c>
      <c r="P861" s="5">
        <v>741.22559920929052</v>
      </c>
      <c r="Q861" s="5">
        <v>7.2289894105404873</v>
      </c>
    </row>
    <row r="862" spans="1:17" x14ac:dyDescent="0.2">
      <c r="A862" s="4" t="s">
        <v>89</v>
      </c>
      <c r="B862" s="4">
        <v>2014</v>
      </c>
      <c r="C862" s="4" t="s">
        <v>88</v>
      </c>
      <c r="D862" s="4">
        <v>1</v>
      </c>
      <c r="E862" s="4">
        <v>1</v>
      </c>
      <c r="F862" s="4">
        <v>0</v>
      </c>
      <c r="G862" s="6" t="str">
        <f t="shared" si="26"/>
        <v>10</v>
      </c>
      <c r="H862" s="5">
        <v>1.4</v>
      </c>
      <c r="I862" s="5">
        <v>155</v>
      </c>
      <c r="J862" s="5">
        <v>9728.1937237459842</v>
      </c>
      <c r="K862" s="5">
        <v>1.4</v>
      </c>
      <c r="L862" s="5">
        <v>155</v>
      </c>
      <c r="M862" s="5">
        <v>9728.1937237459842</v>
      </c>
      <c r="N862" s="5">
        <v>0</v>
      </c>
      <c r="O862" s="5">
        <v>0</v>
      </c>
      <c r="P862" s="5">
        <v>0</v>
      </c>
      <c r="Q862" s="5">
        <v>0</v>
      </c>
    </row>
    <row r="863" spans="1:17" x14ac:dyDescent="0.2">
      <c r="A863" s="4" t="s">
        <v>89</v>
      </c>
      <c r="B863" s="4">
        <v>2014</v>
      </c>
      <c r="C863" s="4" t="s">
        <v>88</v>
      </c>
      <c r="D863" s="4">
        <v>2</v>
      </c>
      <c r="E863" s="4">
        <v>1</v>
      </c>
      <c r="F863" s="4">
        <v>0</v>
      </c>
      <c r="G863" s="6" t="str">
        <f t="shared" si="26"/>
        <v>10</v>
      </c>
      <c r="H863" s="5">
        <v>1</v>
      </c>
      <c r="I863" s="5">
        <v>159.6</v>
      </c>
      <c r="J863" s="5">
        <v>10016.901408450703</v>
      </c>
      <c r="K863" s="5">
        <v>1</v>
      </c>
      <c r="L863" s="5">
        <v>159.6</v>
      </c>
      <c r="M863" s="5">
        <v>10016.901408450703</v>
      </c>
      <c r="N863" s="5">
        <v>0</v>
      </c>
      <c r="O863" s="5">
        <v>0</v>
      </c>
      <c r="P863" s="5">
        <v>0</v>
      </c>
      <c r="Q863" s="5">
        <v>0</v>
      </c>
    </row>
    <row r="864" spans="1:17" x14ac:dyDescent="0.2">
      <c r="A864" s="4" t="s">
        <v>89</v>
      </c>
      <c r="B864" s="4">
        <v>2014</v>
      </c>
      <c r="C864" s="4" t="s">
        <v>88</v>
      </c>
      <c r="D864" s="4">
        <v>3</v>
      </c>
      <c r="E864" s="4">
        <v>1</v>
      </c>
      <c r="F864" s="4">
        <v>0</v>
      </c>
      <c r="G864" s="6" t="str">
        <f t="shared" si="26"/>
        <v>10</v>
      </c>
      <c r="H864" s="5">
        <v>1.3</v>
      </c>
      <c r="I864" s="5">
        <v>139.19999999999999</v>
      </c>
      <c r="J864" s="5">
        <v>8736.5455893254257</v>
      </c>
      <c r="K864" s="5">
        <v>1.3</v>
      </c>
      <c r="L864" s="5">
        <v>139.19999999999999</v>
      </c>
      <c r="M864" s="5">
        <v>8736.5455893254257</v>
      </c>
      <c r="N864" s="5">
        <v>0</v>
      </c>
      <c r="O864" s="5">
        <v>0</v>
      </c>
      <c r="P864" s="5">
        <v>0</v>
      </c>
      <c r="Q864" s="5">
        <v>0</v>
      </c>
    </row>
    <row r="865" spans="1:17" s="7" customFormat="1" x14ac:dyDescent="0.2">
      <c r="A865" s="4" t="s">
        <v>89</v>
      </c>
      <c r="B865" s="7">
        <v>2014</v>
      </c>
      <c r="C865" s="7" t="s">
        <v>88</v>
      </c>
      <c r="D865" s="7">
        <v>4</v>
      </c>
      <c r="E865" s="7">
        <v>1</v>
      </c>
      <c r="F865" s="7">
        <v>0</v>
      </c>
      <c r="G865" s="6" t="str">
        <f t="shared" si="26"/>
        <v>10</v>
      </c>
      <c r="H865" s="9">
        <v>1.3</v>
      </c>
      <c r="I865" s="9">
        <v>150</v>
      </c>
      <c r="J865" s="9">
        <v>9414.3810229799856</v>
      </c>
      <c r="K865" s="9">
        <v>1.3</v>
      </c>
      <c r="L865" s="9">
        <v>150</v>
      </c>
      <c r="M865" s="9">
        <v>9414.3810229799856</v>
      </c>
      <c r="N865" s="9">
        <v>0</v>
      </c>
      <c r="O865" s="9">
        <v>0</v>
      </c>
      <c r="P865" s="9">
        <v>0</v>
      </c>
      <c r="Q865" s="9">
        <v>0</v>
      </c>
    </row>
    <row r="866" spans="1:17" x14ac:dyDescent="0.2">
      <c r="A866" s="4" t="s">
        <v>89</v>
      </c>
      <c r="B866" s="4">
        <v>2014</v>
      </c>
      <c r="C866" s="4" t="s">
        <v>88</v>
      </c>
      <c r="D866" s="4">
        <v>1</v>
      </c>
      <c r="E866" s="4">
        <v>2</v>
      </c>
      <c r="F866" s="4">
        <v>1</v>
      </c>
      <c r="G866" s="6" t="str">
        <f t="shared" si="26"/>
        <v>21</v>
      </c>
      <c r="H866" s="5">
        <v>1.1000000000000001</v>
      </c>
      <c r="I866" s="5">
        <v>169</v>
      </c>
      <c r="J866" s="5">
        <v>10606.869285890783</v>
      </c>
      <c r="K866" s="5">
        <v>1.4</v>
      </c>
      <c r="L866" s="5">
        <v>155</v>
      </c>
      <c r="M866" s="5">
        <v>9728.1937237459842</v>
      </c>
      <c r="N866" s="5">
        <v>21.428571428571416</v>
      </c>
      <c r="O866" s="5">
        <v>14</v>
      </c>
      <c r="P866" s="5">
        <v>878.67556214479919</v>
      </c>
      <c r="Q866" s="5">
        <v>9.0322580645161352</v>
      </c>
    </row>
    <row r="867" spans="1:17" x14ac:dyDescent="0.2">
      <c r="A867" s="4" t="s">
        <v>89</v>
      </c>
      <c r="B867" s="4">
        <v>2014</v>
      </c>
      <c r="C867" s="4" t="s">
        <v>88</v>
      </c>
      <c r="D867" s="4">
        <v>2</v>
      </c>
      <c r="E867" s="4">
        <v>2</v>
      </c>
      <c r="F867" s="4">
        <v>1</v>
      </c>
      <c r="G867" s="6" t="str">
        <f t="shared" si="26"/>
        <v>21</v>
      </c>
      <c r="H867" s="5">
        <v>1.6</v>
      </c>
      <c r="I867" s="5">
        <v>133.5</v>
      </c>
      <c r="J867" s="5">
        <v>8378.7991104521861</v>
      </c>
      <c r="K867" s="5">
        <v>1</v>
      </c>
      <c r="L867" s="5">
        <v>159.6</v>
      </c>
      <c r="M867" s="5">
        <v>10016.901408450703</v>
      </c>
      <c r="N867" s="5">
        <v>-60.000000000000007</v>
      </c>
      <c r="O867" s="5">
        <v>-26.099999999999994</v>
      </c>
      <c r="P867" s="5">
        <v>-1638.1022979985173</v>
      </c>
      <c r="Q867" s="5">
        <v>-16.353383458646618</v>
      </c>
    </row>
    <row r="868" spans="1:17" x14ac:dyDescent="0.2">
      <c r="A868" s="4" t="s">
        <v>89</v>
      </c>
      <c r="B868" s="4">
        <v>2014</v>
      </c>
      <c r="C868" s="4" t="s">
        <v>88</v>
      </c>
      <c r="D868" s="4">
        <v>3</v>
      </c>
      <c r="E868" s="4">
        <v>2</v>
      </c>
      <c r="F868" s="4">
        <v>1</v>
      </c>
      <c r="G868" s="6" t="str">
        <f t="shared" si="26"/>
        <v>21</v>
      </c>
      <c r="H868" s="5">
        <v>0.8</v>
      </c>
      <c r="I868" s="5">
        <v>136.9</v>
      </c>
      <c r="J868" s="5">
        <v>8592.191746973067</v>
      </c>
      <c r="K868" s="5">
        <v>1.3</v>
      </c>
      <c r="L868" s="5">
        <v>139.19999999999999</v>
      </c>
      <c r="M868" s="5">
        <v>8736.5455893254257</v>
      </c>
      <c r="N868" s="5">
        <v>38.46153846153846</v>
      </c>
      <c r="O868" s="5">
        <v>-2.2999999999999829</v>
      </c>
      <c r="P868" s="5">
        <v>-144.3538423523587</v>
      </c>
      <c r="Q868" s="5">
        <v>-1.6522988505747005</v>
      </c>
    </row>
    <row r="869" spans="1:17" x14ac:dyDescent="0.2">
      <c r="A869" s="4" t="s">
        <v>89</v>
      </c>
      <c r="B869" s="4">
        <v>2014</v>
      </c>
      <c r="C869" s="4" t="s">
        <v>88</v>
      </c>
      <c r="D869" s="4">
        <v>4</v>
      </c>
      <c r="E869" s="4">
        <v>2</v>
      </c>
      <c r="F869" s="4">
        <v>1</v>
      </c>
      <c r="G869" s="6" t="str">
        <f t="shared" si="26"/>
        <v>21</v>
      </c>
      <c r="H869" s="5">
        <v>0.8</v>
      </c>
      <c r="I869" s="5">
        <v>167</v>
      </c>
      <c r="J869" s="5">
        <v>10481.344205584383</v>
      </c>
      <c r="K869" s="5">
        <v>1.3</v>
      </c>
      <c r="L869" s="5">
        <v>150</v>
      </c>
      <c r="M869" s="5">
        <v>9414.3810229799856</v>
      </c>
      <c r="N869" s="5">
        <v>38.46153846153846</v>
      </c>
      <c r="O869" s="5">
        <v>17</v>
      </c>
      <c r="P869" s="5">
        <v>1066.9631826043969</v>
      </c>
      <c r="Q869" s="5">
        <v>11.333333333333318</v>
      </c>
    </row>
    <row r="870" spans="1:17" x14ac:dyDescent="0.2">
      <c r="A870" s="4" t="s">
        <v>89</v>
      </c>
      <c r="B870" s="4">
        <v>2014</v>
      </c>
      <c r="C870" s="4" t="s">
        <v>88</v>
      </c>
      <c r="D870" s="4">
        <v>1</v>
      </c>
      <c r="E870" s="4">
        <v>4</v>
      </c>
      <c r="F870" s="4">
        <v>1</v>
      </c>
      <c r="G870" s="6" t="str">
        <f t="shared" si="26"/>
        <v>41</v>
      </c>
      <c r="H870" s="5">
        <v>0.9</v>
      </c>
      <c r="I870" s="5">
        <v>152.5</v>
      </c>
      <c r="J870" s="5">
        <v>9571.287373362984</v>
      </c>
      <c r="K870" s="5">
        <v>1.4</v>
      </c>
      <c r="L870" s="5">
        <v>155</v>
      </c>
      <c r="M870" s="5">
        <v>9728.1937237459842</v>
      </c>
      <c r="N870" s="5">
        <v>35.714285714285708</v>
      </c>
      <c r="O870" s="5">
        <v>-2.5</v>
      </c>
      <c r="P870" s="5">
        <v>-156.90635038300024</v>
      </c>
      <c r="Q870" s="5">
        <v>-1.6129032258064568</v>
      </c>
    </row>
    <row r="871" spans="1:17" x14ac:dyDescent="0.2">
      <c r="A871" s="4" t="s">
        <v>89</v>
      </c>
      <c r="B871" s="4">
        <v>2014</v>
      </c>
      <c r="C871" s="4" t="s">
        <v>88</v>
      </c>
      <c r="D871" s="4">
        <v>2</v>
      </c>
      <c r="E871" s="4">
        <v>4</v>
      </c>
      <c r="F871" s="4">
        <v>1</v>
      </c>
      <c r="G871" s="6" t="str">
        <f t="shared" si="26"/>
        <v>41</v>
      </c>
      <c r="H871" s="5">
        <v>1.2</v>
      </c>
      <c r="I871" s="5">
        <v>147.30000000000001</v>
      </c>
      <c r="J871" s="5">
        <v>9244.9221645663456</v>
      </c>
      <c r="K871" s="5">
        <v>1</v>
      </c>
      <c r="L871" s="5">
        <v>159.6</v>
      </c>
      <c r="M871" s="5">
        <v>10016.901408450703</v>
      </c>
      <c r="N871" s="5">
        <v>-19.999999999999996</v>
      </c>
      <c r="O871" s="5">
        <v>-12.299999999999983</v>
      </c>
      <c r="P871" s="5">
        <v>-771.97924388435786</v>
      </c>
      <c r="Q871" s="5">
        <v>-7.7067669172932245</v>
      </c>
    </row>
    <row r="872" spans="1:17" x14ac:dyDescent="0.2">
      <c r="A872" s="4" t="s">
        <v>89</v>
      </c>
      <c r="B872" s="4">
        <v>2014</v>
      </c>
      <c r="C872" s="4" t="s">
        <v>88</v>
      </c>
      <c r="D872" s="4">
        <v>3</v>
      </c>
      <c r="E872" s="4">
        <v>4</v>
      </c>
      <c r="F872" s="4">
        <v>1</v>
      </c>
      <c r="G872" s="6" t="str">
        <f t="shared" si="26"/>
        <v>41</v>
      </c>
      <c r="H872" s="5">
        <v>1.2</v>
      </c>
      <c r="I872" s="5">
        <v>148.6</v>
      </c>
      <c r="J872" s="5">
        <v>9326.5134667655057</v>
      </c>
      <c r="K872" s="5">
        <v>1.3</v>
      </c>
      <c r="L872" s="5">
        <v>139.19999999999999</v>
      </c>
      <c r="M872" s="5">
        <v>8736.5455893254257</v>
      </c>
      <c r="N872" s="5">
        <v>7.6923076923076987</v>
      </c>
      <c r="O872" s="5">
        <v>9.4000000000000057</v>
      </c>
      <c r="P872" s="5">
        <v>589.96787744007997</v>
      </c>
      <c r="Q872" s="5">
        <v>6.7528735632184018</v>
      </c>
    </row>
    <row r="873" spans="1:17" x14ac:dyDescent="0.2">
      <c r="A873" s="4" t="s">
        <v>89</v>
      </c>
      <c r="B873" s="4">
        <v>2014</v>
      </c>
      <c r="C873" s="4" t="s">
        <v>88</v>
      </c>
      <c r="D873" s="4">
        <v>4</v>
      </c>
      <c r="E873" s="4">
        <v>4</v>
      </c>
      <c r="F873" s="4">
        <v>1</v>
      </c>
      <c r="G873" s="6" t="str">
        <f t="shared" si="26"/>
        <v>41</v>
      </c>
      <c r="H873" s="5">
        <v>0.7</v>
      </c>
      <c r="I873" s="5">
        <v>161.80000000000001</v>
      </c>
      <c r="J873" s="5">
        <v>10154.978996787744</v>
      </c>
      <c r="K873" s="5">
        <v>1.3</v>
      </c>
      <c r="L873" s="5">
        <v>150</v>
      </c>
      <c r="M873" s="5">
        <v>9414.3810229799856</v>
      </c>
      <c r="N873" s="5">
        <v>46.153846153846153</v>
      </c>
      <c r="O873" s="5">
        <v>11.800000000000011</v>
      </c>
      <c r="P873" s="5">
        <v>740.59797380775854</v>
      </c>
      <c r="Q873" s="5">
        <v>7.8666666666666636</v>
      </c>
    </row>
    <row r="874" spans="1:17" x14ac:dyDescent="0.2">
      <c r="A874" s="4" t="s">
        <v>89</v>
      </c>
      <c r="B874" s="4">
        <v>2014</v>
      </c>
      <c r="C874" s="4" t="s">
        <v>88</v>
      </c>
      <c r="D874" s="4">
        <v>1</v>
      </c>
      <c r="E874" s="4">
        <v>6</v>
      </c>
      <c r="F874" s="4">
        <v>1</v>
      </c>
      <c r="G874" s="6" t="str">
        <f t="shared" si="26"/>
        <v>61</v>
      </c>
      <c r="H874" s="5">
        <v>0.8</v>
      </c>
      <c r="I874" s="5">
        <v>172.4</v>
      </c>
      <c r="J874" s="5">
        <v>10820.261922411662</v>
      </c>
      <c r="K874" s="5">
        <v>1.4</v>
      </c>
      <c r="L874" s="5">
        <v>155</v>
      </c>
      <c r="M874" s="5">
        <v>9728.1937237459842</v>
      </c>
      <c r="N874" s="5">
        <v>42.857142857142847</v>
      </c>
      <c r="O874" s="5">
        <v>17.400000000000006</v>
      </c>
      <c r="P874" s="5">
        <v>1092.0681986656782</v>
      </c>
      <c r="Q874" s="5">
        <v>11.225806451612904</v>
      </c>
    </row>
    <row r="875" spans="1:17" x14ac:dyDescent="0.2">
      <c r="A875" s="4" t="s">
        <v>89</v>
      </c>
      <c r="B875" s="4">
        <v>2014</v>
      </c>
      <c r="C875" s="4" t="s">
        <v>88</v>
      </c>
      <c r="D875" s="4">
        <v>2</v>
      </c>
      <c r="E875" s="4">
        <v>6</v>
      </c>
      <c r="F875" s="4">
        <v>1</v>
      </c>
      <c r="G875" s="6" t="str">
        <f t="shared" si="26"/>
        <v>61</v>
      </c>
      <c r="H875" s="5">
        <v>2.9</v>
      </c>
      <c r="I875" s="5">
        <v>150.69999999999999</v>
      </c>
      <c r="J875" s="5">
        <v>9458.3148010872246</v>
      </c>
      <c r="K875" s="5">
        <v>1</v>
      </c>
      <c r="L875" s="5">
        <v>159.6</v>
      </c>
      <c r="M875" s="5">
        <v>10016.901408450703</v>
      </c>
      <c r="N875" s="5">
        <v>-190</v>
      </c>
      <c r="O875" s="5">
        <v>-8.9000000000000057</v>
      </c>
      <c r="P875" s="5">
        <v>-558.58660736347883</v>
      </c>
      <c r="Q875" s="5">
        <v>-5.5764411027568901</v>
      </c>
    </row>
    <row r="876" spans="1:17" x14ac:dyDescent="0.2">
      <c r="A876" s="4" t="s">
        <v>89</v>
      </c>
      <c r="B876" s="4">
        <v>2014</v>
      </c>
      <c r="C876" s="4" t="s">
        <v>88</v>
      </c>
      <c r="D876" s="4">
        <v>3</v>
      </c>
      <c r="E876" s="4">
        <v>6</v>
      </c>
      <c r="F876" s="4">
        <v>1</v>
      </c>
      <c r="G876" s="6" t="str">
        <f t="shared" si="26"/>
        <v>61</v>
      </c>
      <c r="H876" s="5">
        <v>0.7</v>
      </c>
      <c r="I876" s="5">
        <v>134.5</v>
      </c>
      <c r="J876" s="5">
        <v>8441.5616506053866</v>
      </c>
      <c r="K876" s="5">
        <v>1.3</v>
      </c>
      <c r="L876" s="5">
        <v>139.19999999999999</v>
      </c>
      <c r="M876" s="5">
        <v>8736.5455893254257</v>
      </c>
      <c r="N876" s="5">
        <v>46.153846153846153</v>
      </c>
      <c r="O876" s="5">
        <v>-4.6999999999999886</v>
      </c>
      <c r="P876" s="5">
        <v>-294.98393872003908</v>
      </c>
      <c r="Q876" s="5">
        <v>-3.3764367816091907</v>
      </c>
    </row>
    <row r="877" spans="1:17" x14ac:dyDescent="0.2">
      <c r="A877" s="4" t="s">
        <v>89</v>
      </c>
      <c r="B877" s="4">
        <v>2014</v>
      </c>
      <c r="C877" s="4" t="s">
        <v>88</v>
      </c>
      <c r="D877" s="4">
        <v>4</v>
      </c>
      <c r="E877" s="4">
        <v>6</v>
      </c>
      <c r="F877" s="4">
        <v>1</v>
      </c>
      <c r="G877" s="6" t="str">
        <f t="shared" si="26"/>
        <v>61</v>
      </c>
      <c r="H877" s="5">
        <v>1.5</v>
      </c>
      <c r="I877" s="5">
        <v>197.7</v>
      </c>
      <c r="J877" s="5">
        <v>12408.154188287619</v>
      </c>
      <c r="K877" s="5">
        <v>1.3</v>
      </c>
      <c r="L877" s="5">
        <v>150</v>
      </c>
      <c r="M877" s="5">
        <v>9414.3810229799856</v>
      </c>
      <c r="N877" s="5">
        <v>-15.38461538461538</v>
      </c>
      <c r="O877" s="5">
        <v>47.699999999999989</v>
      </c>
      <c r="P877" s="5">
        <v>2993.7731653076335</v>
      </c>
      <c r="Q877" s="5">
        <v>31.799999999999979</v>
      </c>
    </row>
    <row r="878" spans="1:17" x14ac:dyDescent="0.2">
      <c r="A878" s="4" t="s">
        <v>89</v>
      </c>
      <c r="B878" s="4">
        <v>2014</v>
      </c>
      <c r="C878" s="4" t="s">
        <v>88</v>
      </c>
      <c r="D878" s="4">
        <v>1</v>
      </c>
      <c r="E878" s="4">
        <v>7</v>
      </c>
      <c r="F878" s="4">
        <v>2</v>
      </c>
      <c r="G878" s="6" t="str">
        <f t="shared" si="26"/>
        <v>72</v>
      </c>
      <c r="H878" s="5">
        <v>0.7</v>
      </c>
      <c r="I878" s="5">
        <v>166.5</v>
      </c>
      <c r="J878" s="5">
        <v>10449.962935507783</v>
      </c>
      <c r="K878" s="5">
        <v>1.4</v>
      </c>
      <c r="L878" s="5">
        <v>155</v>
      </c>
      <c r="M878" s="5">
        <v>9728.1937237459842</v>
      </c>
      <c r="N878" s="5">
        <v>50</v>
      </c>
      <c r="O878" s="5">
        <v>11.5</v>
      </c>
      <c r="P878" s="5">
        <v>721.76921176179894</v>
      </c>
      <c r="Q878" s="5">
        <v>7.4193548387096779</v>
      </c>
    </row>
    <row r="879" spans="1:17" x14ac:dyDescent="0.2">
      <c r="A879" s="4" t="s">
        <v>89</v>
      </c>
      <c r="B879" s="4">
        <v>2014</v>
      </c>
      <c r="C879" s="4" t="s">
        <v>88</v>
      </c>
      <c r="D879" s="4">
        <v>2</v>
      </c>
      <c r="E879" s="4">
        <v>7</v>
      </c>
      <c r="F879" s="4">
        <v>2</v>
      </c>
      <c r="G879" s="6" t="str">
        <f t="shared" si="26"/>
        <v>72</v>
      </c>
      <c r="H879" s="5">
        <v>0.5</v>
      </c>
      <c r="I879" s="5">
        <v>150</v>
      </c>
      <c r="J879" s="5">
        <v>9414.3810229799856</v>
      </c>
      <c r="K879" s="5">
        <v>1</v>
      </c>
      <c r="L879" s="5">
        <v>159.6</v>
      </c>
      <c r="M879" s="5">
        <v>10016.901408450703</v>
      </c>
      <c r="N879" s="5">
        <v>50</v>
      </c>
      <c r="O879" s="5">
        <v>-9.5999999999999943</v>
      </c>
      <c r="P879" s="5">
        <v>-602.52038547071788</v>
      </c>
      <c r="Q879" s="5">
        <v>-6.0150375939849514</v>
      </c>
    </row>
    <row r="880" spans="1:17" x14ac:dyDescent="0.2">
      <c r="A880" s="4" t="s">
        <v>89</v>
      </c>
      <c r="B880" s="4">
        <v>2014</v>
      </c>
      <c r="C880" s="4" t="s">
        <v>88</v>
      </c>
      <c r="D880" s="4">
        <v>3</v>
      </c>
      <c r="E880" s="4">
        <v>7</v>
      </c>
      <c r="F880" s="4">
        <v>2</v>
      </c>
      <c r="G880" s="6" t="str">
        <f t="shared" si="26"/>
        <v>72</v>
      </c>
      <c r="H880" s="5">
        <v>0.9</v>
      </c>
      <c r="I880" s="5">
        <v>130.5</v>
      </c>
      <c r="J880" s="5">
        <v>8190.5114899925866</v>
      </c>
      <c r="K880" s="5">
        <v>1.3</v>
      </c>
      <c r="L880" s="5">
        <v>139.19999999999999</v>
      </c>
      <c r="M880" s="5">
        <v>8736.5455893254257</v>
      </c>
      <c r="N880" s="5">
        <v>30.76923076923077</v>
      </c>
      <c r="O880" s="5">
        <v>-8.6999999999999886</v>
      </c>
      <c r="P880" s="5">
        <v>-546.03409933283911</v>
      </c>
      <c r="Q880" s="5">
        <v>-6.25</v>
      </c>
    </row>
    <row r="881" spans="1:17" x14ac:dyDescent="0.2">
      <c r="A881" s="4" t="s">
        <v>89</v>
      </c>
      <c r="B881" s="4">
        <v>2014</v>
      </c>
      <c r="C881" s="4" t="s">
        <v>88</v>
      </c>
      <c r="D881" s="4">
        <v>4</v>
      </c>
      <c r="E881" s="4">
        <v>7</v>
      </c>
      <c r="F881" s="4">
        <v>2</v>
      </c>
      <c r="G881" s="6" t="str">
        <f t="shared" si="26"/>
        <v>72</v>
      </c>
      <c r="H881" s="5">
        <v>1.2</v>
      </c>
      <c r="I881" s="5">
        <v>169.4</v>
      </c>
      <c r="J881" s="5">
        <v>10631.974301952063</v>
      </c>
      <c r="K881" s="5">
        <v>1.3</v>
      </c>
      <c r="L881" s="5">
        <v>150</v>
      </c>
      <c r="M881" s="5">
        <v>9414.3810229799856</v>
      </c>
      <c r="N881" s="5">
        <v>7.6923076923076987</v>
      </c>
      <c r="O881" s="5">
        <v>19.400000000000006</v>
      </c>
      <c r="P881" s="5">
        <v>1217.5932789720773</v>
      </c>
      <c r="Q881" s="5">
        <v>12.933333333333325</v>
      </c>
    </row>
    <row r="882" spans="1:17" x14ac:dyDescent="0.2">
      <c r="A882" s="4" t="s">
        <v>89</v>
      </c>
      <c r="B882" s="4">
        <v>2014</v>
      </c>
      <c r="C882" s="4" t="s">
        <v>88</v>
      </c>
      <c r="D882" s="4">
        <v>1</v>
      </c>
      <c r="E882" s="4">
        <v>8</v>
      </c>
      <c r="F882" s="4">
        <v>2</v>
      </c>
      <c r="G882" s="6" t="str">
        <f t="shared" si="26"/>
        <v>82</v>
      </c>
      <c r="H882" s="5">
        <v>0.6</v>
      </c>
      <c r="I882" s="5">
        <v>149.30000000000001</v>
      </c>
      <c r="J882" s="5">
        <v>9370.4472448727465</v>
      </c>
      <c r="K882" s="5">
        <v>1.4</v>
      </c>
      <c r="L882" s="5">
        <v>155</v>
      </c>
      <c r="M882" s="5">
        <v>9728.1937237459842</v>
      </c>
      <c r="N882" s="5">
        <v>57.142857142857139</v>
      </c>
      <c r="O882" s="5">
        <v>-5.6999999999999886</v>
      </c>
      <c r="P882" s="5">
        <v>-357.74647887323772</v>
      </c>
      <c r="Q882" s="5">
        <v>-3.6774193548386922</v>
      </c>
    </row>
    <row r="883" spans="1:17" x14ac:dyDescent="0.2">
      <c r="A883" s="4" t="s">
        <v>89</v>
      </c>
      <c r="B883" s="4">
        <v>2014</v>
      </c>
      <c r="C883" s="4" t="s">
        <v>88</v>
      </c>
      <c r="D883" s="4">
        <v>2</v>
      </c>
      <c r="E883" s="4">
        <v>8</v>
      </c>
      <c r="F883" s="4">
        <v>2</v>
      </c>
      <c r="G883" s="6" t="str">
        <f t="shared" si="26"/>
        <v>82</v>
      </c>
      <c r="H883" s="5">
        <v>2</v>
      </c>
      <c r="I883" s="5">
        <v>172.2</v>
      </c>
      <c r="J883" s="5">
        <v>10807.709414381023</v>
      </c>
      <c r="K883" s="5">
        <v>1</v>
      </c>
      <c r="L883" s="5">
        <v>159.6</v>
      </c>
      <c r="M883" s="5">
        <v>10016.901408450703</v>
      </c>
      <c r="N883" s="5">
        <v>-100</v>
      </c>
      <c r="O883" s="5">
        <v>12.599999999999994</v>
      </c>
      <c r="P883" s="5">
        <v>790.80800593031927</v>
      </c>
      <c r="Q883" s="5">
        <v>7.8947368421052682</v>
      </c>
    </row>
    <row r="884" spans="1:17" x14ac:dyDescent="0.2">
      <c r="A884" s="4" t="s">
        <v>89</v>
      </c>
      <c r="B884" s="4">
        <v>2014</v>
      </c>
      <c r="C884" s="4" t="s">
        <v>88</v>
      </c>
      <c r="D884" s="4">
        <v>3</v>
      </c>
      <c r="E884" s="4">
        <v>8</v>
      </c>
      <c r="F884" s="4">
        <v>2</v>
      </c>
      <c r="G884" s="6" t="str">
        <f t="shared" si="26"/>
        <v>82</v>
      </c>
      <c r="H884" s="5">
        <v>0.6</v>
      </c>
      <c r="I884" s="5">
        <v>155.80000000000001</v>
      </c>
      <c r="J884" s="5">
        <v>9778.403755868545</v>
      </c>
      <c r="K884" s="5">
        <v>1.3</v>
      </c>
      <c r="L884" s="5">
        <v>139.19999999999999</v>
      </c>
      <c r="M884" s="5">
        <v>8736.5455893254257</v>
      </c>
      <c r="N884" s="5">
        <v>53.846153846153854</v>
      </c>
      <c r="O884" s="5">
        <v>16.600000000000023</v>
      </c>
      <c r="P884" s="5">
        <v>1041.8581665431193</v>
      </c>
      <c r="Q884" s="5">
        <v>11.925287356321851</v>
      </c>
    </row>
    <row r="885" spans="1:17" x14ac:dyDescent="0.2">
      <c r="A885" s="4" t="s">
        <v>89</v>
      </c>
      <c r="B885" s="4">
        <v>2014</v>
      </c>
      <c r="C885" s="4" t="s">
        <v>88</v>
      </c>
      <c r="D885" s="4">
        <v>4</v>
      </c>
      <c r="E885" s="4">
        <v>8</v>
      </c>
      <c r="F885" s="4">
        <v>2</v>
      </c>
      <c r="G885" s="6" t="str">
        <f t="shared" si="26"/>
        <v>82</v>
      </c>
      <c r="H885" s="5">
        <v>0.5</v>
      </c>
      <c r="I885" s="5">
        <v>154.9</v>
      </c>
      <c r="J885" s="5">
        <v>9721.9174697306644</v>
      </c>
      <c r="K885" s="5">
        <v>1.3</v>
      </c>
      <c r="L885" s="5">
        <v>150</v>
      </c>
      <c r="M885" s="5">
        <v>9414.3810229799856</v>
      </c>
      <c r="N885" s="5">
        <v>61.53846153846154</v>
      </c>
      <c r="O885" s="5">
        <v>4.9000000000000057</v>
      </c>
      <c r="P885" s="5">
        <v>307.53644675067881</v>
      </c>
      <c r="Q885" s="5">
        <v>3.2666666666666586</v>
      </c>
    </row>
    <row r="886" spans="1:17" x14ac:dyDescent="0.2">
      <c r="A886" s="4" t="s">
        <v>89</v>
      </c>
      <c r="B886" s="4">
        <v>2014</v>
      </c>
      <c r="C886" s="4" t="s">
        <v>88</v>
      </c>
      <c r="D886" s="4">
        <v>1</v>
      </c>
      <c r="E886" s="4">
        <v>9</v>
      </c>
      <c r="F886" s="4">
        <v>2</v>
      </c>
      <c r="G886" s="6" t="str">
        <f t="shared" si="26"/>
        <v>92</v>
      </c>
      <c r="H886" s="5">
        <v>0.4</v>
      </c>
      <c r="I886" s="5">
        <v>159.30000000000001</v>
      </c>
      <c r="J886" s="5">
        <v>9998.0726464047457</v>
      </c>
      <c r="K886" s="5">
        <v>1.4</v>
      </c>
      <c r="L886" s="5">
        <v>155</v>
      </c>
      <c r="M886" s="5">
        <v>9728.1937237459842</v>
      </c>
      <c r="N886" s="5">
        <v>71.428571428571431</v>
      </c>
      <c r="O886" s="5">
        <v>4.3000000000000114</v>
      </c>
      <c r="P886" s="5">
        <v>269.87892265876144</v>
      </c>
      <c r="Q886" s="5">
        <v>2.7741935483871161</v>
      </c>
    </row>
    <row r="887" spans="1:17" x14ac:dyDescent="0.2">
      <c r="A887" s="4" t="s">
        <v>89</v>
      </c>
      <c r="B887" s="4">
        <v>2014</v>
      </c>
      <c r="C887" s="4" t="s">
        <v>88</v>
      </c>
      <c r="D887" s="4">
        <v>2</v>
      </c>
      <c r="E887" s="4">
        <v>9</v>
      </c>
      <c r="F887" s="4">
        <v>2</v>
      </c>
      <c r="G887" s="6" t="str">
        <f t="shared" si="26"/>
        <v>92</v>
      </c>
      <c r="H887" s="5">
        <v>0.4</v>
      </c>
      <c r="I887" s="5">
        <v>152</v>
      </c>
      <c r="J887" s="5">
        <v>9539.9061032863847</v>
      </c>
      <c r="K887" s="5">
        <v>1</v>
      </c>
      <c r="L887" s="5">
        <v>159.6</v>
      </c>
      <c r="M887" s="5">
        <v>10016.901408450703</v>
      </c>
      <c r="N887" s="5">
        <v>60</v>
      </c>
      <c r="O887" s="5">
        <v>-7.5999999999999943</v>
      </c>
      <c r="P887" s="5">
        <v>-476.99530516431878</v>
      </c>
      <c r="Q887" s="5">
        <v>-4.7619047619047574</v>
      </c>
    </row>
    <row r="888" spans="1:17" x14ac:dyDescent="0.2">
      <c r="A888" s="4" t="s">
        <v>89</v>
      </c>
      <c r="B888" s="4">
        <v>2014</v>
      </c>
      <c r="C888" s="4" t="s">
        <v>88</v>
      </c>
      <c r="D888" s="4">
        <v>3</v>
      </c>
      <c r="E888" s="4">
        <v>9</v>
      </c>
      <c r="F888" s="4">
        <v>2</v>
      </c>
      <c r="G888" s="6" t="str">
        <f t="shared" si="26"/>
        <v>92</v>
      </c>
      <c r="H888" s="5">
        <v>0.5</v>
      </c>
      <c r="I888" s="5">
        <v>138.6</v>
      </c>
      <c r="J888" s="5">
        <v>8698.8880652335065</v>
      </c>
      <c r="K888" s="5">
        <v>1.3</v>
      </c>
      <c r="L888" s="5">
        <v>139.19999999999999</v>
      </c>
      <c r="M888" s="5">
        <v>8736.5455893254257</v>
      </c>
      <c r="N888" s="5">
        <v>61.53846153846154</v>
      </c>
      <c r="O888" s="5">
        <v>-0.59999999999999432</v>
      </c>
      <c r="P888" s="5">
        <v>-37.657524091919186</v>
      </c>
      <c r="Q888" s="5">
        <v>-0.43103448275861211</v>
      </c>
    </row>
    <row r="889" spans="1:17" x14ac:dyDescent="0.2">
      <c r="A889" s="4" t="s">
        <v>89</v>
      </c>
      <c r="B889" s="4">
        <v>2014</v>
      </c>
      <c r="C889" s="4" t="s">
        <v>88</v>
      </c>
      <c r="D889" s="4">
        <v>4</v>
      </c>
      <c r="E889" s="4">
        <v>9</v>
      </c>
      <c r="F889" s="4">
        <v>2</v>
      </c>
      <c r="G889" s="6" t="str">
        <f t="shared" si="26"/>
        <v>92</v>
      </c>
      <c r="H889" s="5">
        <v>0.6</v>
      </c>
      <c r="I889" s="5">
        <v>174.8</v>
      </c>
      <c r="J889" s="5">
        <v>10970.892018779343</v>
      </c>
      <c r="K889" s="5">
        <v>1.3</v>
      </c>
      <c r="L889" s="5">
        <v>150</v>
      </c>
      <c r="M889" s="5">
        <v>9414.3810229799856</v>
      </c>
      <c r="N889" s="5">
        <v>53.846153846153854</v>
      </c>
      <c r="O889" s="5">
        <v>24.800000000000011</v>
      </c>
      <c r="P889" s="5">
        <v>1556.5109957993573</v>
      </c>
      <c r="Q889" s="5">
        <v>16.533333333333331</v>
      </c>
    </row>
    <row r="890" spans="1:17" x14ac:dyDescent="0.2">
      <c r="A890" s="4" t="s">
        <v>89</v>
      </c>
      <c r="B890" s="4">
        <v>2014</v>
      </c>
      <c r="C890" s="4" t="s">
        <v>88</v>
      </c>
      <c r="D890" s="4">
        <v>1</v>
      </c>
      <c r="E890" s="4">
        <v>10</v>
      </c>
      <c r="F890" s="4">
        <v>2</v>
      </c>
      <c r="G890" s="6" t="str">
        <f t="shared" si="26"/>
        <v>102</v>
      </c>
      <c r="H890" s="5">
        <v>0.9</v>
      </c>
      <c r="I890" s="5">
        <v>154.5</v>
      </c>
      <c r="J890" s="5">
        <v>9696.8124536693849</v>
      </c>
      <c r="K890" s="5">
        <v>1.4</v>
      </c>
      <c r="L890" s="5">
        <v>155</v>
      </c>
      <c r="M890" s="5">
        <v>9728.1937237459842</v>
      </c>
      <c r="N890" s="5">
        <v>35.714285714285708</v>
      </c>
      <c r="O890" s="5">
        <v>-0.5</v>
      </c>
      <c r="P890" s="5">
        <v>-31.381270076599321</v>
      </c>
      <c r="Q890" s="5">
        <v>-0.32258064516128387</v>
      </c>
    </row>
    <row r="891" spans="1:17" x14ac:dyDescent="0.2">
      <c r="A891" s="4" t="s">
        <v>89</v>
      </c>
      <c r="B891" s="4">
        <v>2014</v>
      </c>
      <c r="C891" s="4" t="s">
        <v>88</v>
      </c>
      <c r="D891" s="4">
        <v>2</v>
      </c>
      <c r="E891" s="4">
        <v>10</v>
      </c>
      <c r="F891" s="4">
        <v>2</v>
      </c>
      <c r="G891" s="6" t="str">
        <f t="shared" si="26"/>
        <v>102</v>
      </c>
      <c r="H891" s="5">
        <v>0.7</v>
      </c>
      <c r="I891" s="5">
        <v>135.69999999999999</v>
      </c>
      <c r="J891" s="5">
        <v>8516.876698789225</v>
      </c>
      <c r="K891" s="5">
        <v>1</v>
      </c>
      <c r="L891" s="5">
        <v>159.6</v>
      </c>
      <c r="M891" s="5">
        <v>10016.901408450703</v>
      </c>
      <c r="N891" s="5">
        <v>30.000000000000004</v>
      </c>
      <c r="O891" s="5">
        <v>-23.900000000000006</v>
      </c>
      <c r="P891" s="5">
        <v>-1500.0247096614785</v>
      </c>
      <c r="Q891" s="5">
        <v>-14.974937343358405</v>
      </c>
    </row>
    <row r="892" spans="1:17" x14ac:dyDescent="0.2">
      <c r="A892" s="4" t="s">
        <v>89</v>
      </c>
      <c r="B892" s="4">
        <v>2014</v>
      </c>
      <c r="C892" s="4" t="s">
        <v>88</v>
      </c>
      <c r="D892" s="4">
        <v>3</v>
      </c>
      <c r="E892" s="4">
        <v>10</v>
      </c>
      <c r="F892" s="4">
        <v>2</v>
      </c>
      <c r="G892" s="6" t="str">
        <f t="shared" si="26"/>
        <v>102</v>
      </c>
      <c r="H892" s="5">
        <v>0.5</v>
      </c>
      <c r="I892" s="5">
        <v>137.6</v>
      </c>
      <c r="J892" s="5">
        <v>8636.125525080306</v>
      </c>
      <c r="K892" s="5">
        <v>1.3</v>
      </c>
      <c r="L892" s="5">
        <v>139.19999999999999</v>
      </c>
      <c r="M892" s="5">
        <v>8736.5455893254257</v>
      </c>
      <c r="N892" s="5">
        <v>61.53846153846154</v>
      </c>
      <c r="O892" s="5">
        <v>-1.5999999999999943</v>
      </c>
      <c r="P892" s="5">
        <v>-100.42006424511965</v>
      </c>
      <c r="Q892" s="5">
        <v>-1.1494252873563198</v>
      </c>
    </row>
    <row r="893" spans="1:17" x14ac:dyDescent="0.2">
      <c r="A893" s="4" t="s">
        <v>89</v>
      </c>
      <c r="B893" s="4">
        <v>2014</v>
      </c>
      <c r="C893" s="4" t="s">
        <v>88</v>
      </c>
      <c r="D893" s="4">
        <v>4</v>
      </c>
      <c r="E893" s="4">
        <v>10</v>
      </c>
      <c r="F893" s="4">
        <v>2</v>
      </c>
      <c r="G893" s="6" t="str">
        <f t="shared" si="26"/>
        <v>102</v>
      </c>
      <c r="H893" s="5">
        <v>0.3</v>
      </c>
      <c r="I893" s="5">
        <v>170.1</v>
      </c>
      <c r="J893" s="5">
        <v>10675.908080059302</v>
      </c>
      <c r="K893" s="5">
        <v>1.3</v>
      </c>
      <c r="L893" s="5">
        <v>150</v>
      </c>
      <c r="M893" s="5">
        <v>9414.3810229799856</v>
      </c>
      <c r="N893" s="5">
        <v>76.92307692307692</v>
      </c>
      <c r="O893" s="5">
        <v>20.099999999999994</v>
      </c>
      <c r="P893" s="5">
        <v>1261.5270570793164</v>
      </c>
      <c r="Q893" s="5">
        <v>13.399999999999981</v>
      </c>
    </row>
    <row r="894" spans="1:17" x14ac:dyDescent="0.2">
      <c r="A894" s="4" t="s">
        <v>89</v>
      </c>
      <c r="B894" s="4">
        <v>2014</v>
      </c>
      <c r="C894" s="4" t="s">
        <v>88</v>
      </c>
      <c r="D894" s="4">
        <v>1</v>
      </c>
      <c r="E894" s="4">
        <v>11</v>
      </c>
      <c r="F894" s="4">
        <v>2</v>
      </c>
      <c r="G894" s="6" t="str">
        <f t="shared" si="26"/>
        <v>112</v>
      </c>
      <c r="H894" s="5">
        <v>0.7</v>
      </c>
      <c r="I894" s="5">
        <v>161.30000000000001</v>
      </c>
      <c r="J894" s="5">
        <v>10123.597726711145</v>
      </c>
      <c r="K894" s="5">
        <v>1.4</v>
      </c>
      <c r="L894" s="5">
        <v>155</v>
      </c>
      <c r="M894" s="5">
        <v>9728.1937237459842</v>
      </c>
      <c r="N894" s="5">
        <v>50</v>
      </c>
      <c r="O894" s="5">
        <v>6.3000000000000114</v>
      </c>
      <c r="P894" s="5">
        <v>395.40400296516054</v>
      </c>
      <c r="Q894" s="5">
        <v>4.0645161290322704</v>
      </c>
    </row>
    <row r="895" spans="1:17" x14ac:dyDescent="0.2">
      <c r="A895" s="4" t="s">
        <v>89</v>
      </c>
      <c r="B895" s="4">
        <v>2014</v>
      </c>
      <c r="C895" s="4" t="s">
        <v>88</v>
      </c>
      <c r="D895" s="4">
        <v>2</v>
      </c>
      <c r="E895" s="4">
        <v>11</v>
      </c>
      <c r="F895" s="4">
        <v>2</v>
      </c>
      <c r="G895" s="6" t="str">
        <f t="shared" si="26"/>
        <v>112</v>
      </c>
      <c r="H895" s="5">
        <v>0.7</v>
      </c>
      <c r="I895" s="5">
        <v>144.5</v>
      </c>
      <c r="J895" s="5">
        <v>9069.1870521373858</v>
      </c>
      <c r="K895" s="5">
        <v>1</v>
      </c>
      <c r="L895" s="5">
        <v>159.6</v>
      </c>
      <c r="M895" s="5">
        <v>10016.901408450703</v>
      </c>
      <c r="N895" s="5">
        <v>30.000000000000004</v>
      </c>
      <c r="O895" s="5">
        <v>-15.099999999999994</v>
      </c>
      <c r="P895" s="5">
        <v>-947.71435631331769</v>
      </c>
      <c r="Q895" s="5">
        <v>-9.4611528822055071</v>
      </c>
    </row>
    <row r="896" spans="1:17" x14ac:dyDescent="0.2">
      <c r="A896" s="4" t="s">
        <v>89</v>
      </c>
      <c r="B896" s="4">
        <v>2014</v>
      </c>
      <c r="C896" s="4" t="s">
        <v>88</v>
      </c>
      <c r="D896" s="4">
        <v>3</v>
      </c>
      <c r="E896" s="4">
        <v>11</v>
      </c>
      <c r="F896" s="4">
        <v>2</v>
      </c>
      <c r="G896" s="6" t="str">
        <f t="shared" si="26"/>
        <v>112</v>
      </c>
      <c r="H896" s="5">
        <v>0.3</v>
      </c>
      <c r="I896" s="5">
        <v>135.30000000000001</v>
      </c>
      <c r="J896" s="5">
        <v>8491.7716827279473</v>
      </c>
      <c r="K896" s="5">
        <v>1.3</v>
      </c>
      <c r="L896" s="5">
        <v>139.19999999999999</v>
      </c>
      <c r="M896" s="5">
        <v>8736.5455893254257</v>
      </c>
      <c r="N896" s="5">
        <v>76.92307692307692</v>
      </c>
      <c r="O896" s="5">
        <v>-3.8999999999999773</v>
      </c>
      <c r="P896" s="5">
        <v>-244.77390659747834</v>
      </c>
      <c r="Q896" s="5">
        <v>-2.80172413793102</v>
      </c>
    </row>
    <row r="897" spans="1:17" x14ac:dyDescent="0.2">
      <c r="A897" s="4" t="s">
        <v>89</v>
      </c>
      <c r="B897" s="4">
        <v>2014</v>
      </c>
      <c r="C897" s="4" t="s">
        <v>88</v>
      </c>
      <c r="D897" s="4">
        <v>4</v>
      </c>
      <c r="E897" s="4">
        <v>11</v>
      </c>
      <c r="F897" s="4">
        <v>2</v>
      </c>
      <c r="G897" s="6" t="str">
        <f t="shared" si="26"/>
        <v>112</v>
      </c>
      <c r="H897" s="5">
        <v>0.1</v>
      </c>
      <c r="I897" s="5">
        <v>170.4</v>
      </c>
      <c r="J897" s="5">
        <v>10694.736842105263</v>
      </c>
      <c r="K897" s="5">
        <v>1.3</v>
      </c>
      <c r="L897" s="5">
        <v>150</v>
      </c>
      <c r="M897" s="5">
        <v>9414.3810229799856</v>
      </c>
      <c r="N897" s="5">
        <v>92.307692307692307</v>
      </c>
      <c r="O897" s="5">
        <v>20.400000000000006</v>
      </c>
      <c r="P897" s="5">
        <v>1280.3558191252778</v>
      </c>
      <c r="Q897" s="5">
        <v>13.599999999999998</v>
      </c>
    </row>
    <row r="898" spans="1:17" x14ac:dyDescent="0.2">
      <c r="A898" s="4" t="s">
        <v>89</v>
      </c>
      <c r="B898" s="4">
        <v>2014</v>
      </c>
      <c r="C898" s="4" t="s">
        <v>88</v>
      </c>
      <c r="D898" s="4">
        <v>1</v>
      </c>
      <c r="E898" s="4">
        <v>15</v>
      </c>
      <c r="F898" s="4">
        <v>3</v>
      </c>
      <c r="G898" s="6" t="str">
        <f t="shared" ref="G898:G961" si="27">E898&amp;F898</f>
        <v>153</v>
      </c>
      <c r="H898" s="5">
        <v>0.9</v>
      </c>
      <c r="I898" s="5">
        <v>161.6</v>
      </c>
      <c r="J898" s="5">
        <v>10142.426488757104</v>
      </c>
      <c r="K898" s="5">
        <v>1.4</v>
      </c>
      <c r="L898" s="5">
        <v>155</v>
      </c>
      <c r="M898" s="5">
        <v>9728.1937237459842</v>
      </c>
      <c r="N898" s="5">
        <v>35.714285714285708</v>
      </c>
      <c r="O898" s="5">
        <v>6.5999999999999943</v>
      </c>
      <c r="P898" s="5">
        <v>414.23276501112014</v>
      </c>
      <c r="Q898" s="5">
        <v>4.2580645161290409</v>
      </c>
    </row>
    <row r="899" spans="1:17" x14ac:dyDescent="0.2">
      <c r="A899" s="4" t="s">
        <v>89</v>
      </c>
      <c r="B899" s="4">
        <v>2014</v>
      </c>
      <c r="C899" s="4" t="s">
        <v>88</v>
      </c>
      <c r="D899" s="4">
        <v>2</v>
      </c>
      <c r="E899" s="4">
        <v>15</v>
      </c>
      <c r="F899" s="4">
        <v>3</v>
      </c>
      <c r="G899" s="6" t="str">
        <f t="shared" si="27"/>
        <v>153</v>
      </c>
      <c r="H899" s="5">
        <v>0.4</v>
      </c>
      <c r="I899" s="5">
        <v>154.4</v>
      </c>
      <c r="J899" s="5">
        <v>9690.5361996540651</v>
      </c>
      <c r="K899" s="5">
        <v>1</v>
      </c>
      <c r="L899" s="5">
        <v>159.6</v>
      </c>
      <c r="M899" s="5">
        <v>10016.901408450703</v>
      </c>
      <c r="N899" s="5">
        <v>60</v>
      </c>
      <c r="O899" s="5">
        <v>-5.1999999999999886</v>
      </c>
      <c r="P899" s="5">
        <v>-326.3652087966384</v>
      </c>
      <c r="Q899" s="5">
        <v>-3.2581453634085107</v>
      </c>
    </row>
    <row r="900" spans="1:17" x14ac:dyDescent="0.2">
      <c r="A900" s="4" t="s">
        <v>89</v>
      </c>
      <c r="B900" s="4">
        <v>2014</v>
      </c>
      <c r="C900" s="4" t="s">
        <v>88</v>
      </c>
      <c r="D900" s="4">
        <v>3</v>
      </c>
      <c r="E900" s="4">
        <v>15</v>
      </c>
      <c r="F900" s="4">
        <v>3</v>
      </c>
      <c r="G900" s="6" t="str">
        <f t="shared" si="27"/>
        <v>153</v>
      </c>
      <c r="H900" s="5">
        <v>0.8</v>
      </c>
      <c r="I900" s="5">
        <v>149</v>
      </c>
      <c r="J900" s="5">
        <v>9351.6184828267851</v>
      </c>
      <c r="K900" s="5">
        <v>1.3</v>
      </c>
      <c r="L900" s="5">
        <v>139.19999999999999</v>
      </c>
      <c r="M900" s="5">
        <v>8736.5455893254257</v>
      </c>
      <c r="N900" s="5">
        <v>38.46153846153846</v>
      </c>
      <c r="O900" s="5">
        <v>9.8000000000000114</v>
      </c>
      <c r="P900" s="5">
        <v>615.07289350135943</v>
      </c>
      <c r="Q900" s="5">
        <v>7.0402298850574763</v>
      </c>
    </row>
    <row r="901" spans="1:17" x14ac:dyDescent="0.2">
      <c r="A901" s="4" t="s">
        <v>89</v>
      </c>
      <c r="B901" s="4">
        <v>2014</v>
      </c>
      <c r="C901" s="4" t="s">
        <v>88</v>
      </c>
      <c r="D901" s="4">
        <v>4</v>
      </c>
      <c r="E901" s="4">
        <v>15</v>
      </c>
      <c r="F901" s="4">
        <v>3</v>
      </c>
      <c r="G901" s="6" t="str">
        <f t="shared" si="27"/>
        <v>153</v>
      </c>
      <c r="H901" s="5">
        <v>0.6</v>
      </c>
      <c r="I901" s="5">
        <v>143.1</v>
      </c>
      <c r="J901" s="5">
        <v>8981.3194959229058</v>
      </c>
      <c r="K901" s="5">
        <v>1.3</v>
      </c>
      <c r="L901" s="5">
        <v>150</v>
      </c>
      <c r="M901" s="5">
        <v>9414.3810229799856</v>
      </c>
      <c r="N901" s="5">
        <v>53.846153846153854</v>
      </c>
      <c r="O901" s="5">
        <v>-6.9000000000000057</v>
      </c>
      <c r="P901" s="5">
        <v>-433.06152705707973</v>
      </c>
      <c r="Q901" s="5">
        <v>-4.6000000000000041</v>
      </c>
    </row>
    <row r="902" spans="1:17" x14ac:dyDescent="0.2">
      <c r="A902" s="4" t="s">
        <v>89</v>
      </c>
      <c r="B902" s="4">
        <v>2014</v>
      </c>
      <c r="C902" s="4" t="s">
        <v>88</v>
      </c>
      <c r="D902" s="4">
        <v>1</v>
      </c>
      <c r="E902" s="4">
        <v>17</v>
      </c>
      <c r="F902" s="4">
        <v>3</v>
      </c>
      <c r="G902" s="6" t="str">
        <f t="shared" si="27"/>
        <v>173</v>
      </c>
      <c r="H902" s="5">
        <v>0.4</v>
      </c>
      <c r="I902" s="5">
        <v>172.1</v>
      </c>
      <c r="J902" s="5">
        <v>10801.433160365703</v>
      </c>
      <c r="K902" s="5">
        <v>1.4</v>
      </c>
      <c r="L902" s="5">
        <v>155</v>
      </c>
      <c r="M902" s="5">
        <v>9728.1937237459842</v>
      </c>
      <c r="N902" s="5">
        <v>71.428571428571431</v>
      </c>
      <c r="O902" s="5">
        <v>17.099999999999994</v>
      </c>
      <c r="P902" s="5">
        <v>1073.2394366197186</v>
      </c>
      <c r="Q902" s="5">
        <v>11.032258064516133</v>
      </c>
    </row>
    <row r="903" spans="1:17" x14ac:dyDescent="0.2">
      <c r="A903" s="4" t="s">
        <v>89</v>
      </c>
      <c r="B903" s="4">
        <v>2014</v>
      </c>
      <c r="C903" s="4" t="s">
        <v>88</v>
      </c>
      <c r="D903" s="4">
        <v>2</v>
      </c>
      <c r="E903" s="4">
        <v>17</v>
      </c>
      <c r="F903" s="4">
        <v>3</v>
      </c>
      <c r="G903" s="6" t="str">
        <f t="shared" si="27"/>
        <v>173</v>
      </c>
      <c r="H903" s="5">
        <v>0.6</v>
      </c>
      <c r="I903" s="5">
        <v>193.2</v>
      </c>
      <c r="J903" s="5">
        <v>12125.72275759822</v>
      </c>
      <c r="K903" s="5">
        <v>1</v>
      </c>
      <c r="L903" s="5">
        <v>159.6</v>
      </c>
      <c r="M903" s="5">
        <v>10016.901408450703</v>
      </c>
      <c r="N903" s="5">
        <v>40</v>
      </c>
      <c r="O903" s="5">
        <v>33.599999999999994</v>
      </c>
      <c r="P903" s="5">
        <v>2108.8213491475162</v>
      </c>
      <c r="Q903" s="5">
        <v>21.052631578947363</v>
      </c>
    </row>
    <row r="904" spans="1:17" x14ac:dyDescent="0.2">
      <c r="A904" s="4" t="s">
        <v>89</v>
      </c>
      <c r="B904" s="4">
        <v>2014</v>
      </c>
      <c r="C904" s="4" t="s">
        <v>88</v>
      </c>
      <c r="D904" s="4">
        <v>3</v>
      </c>
      <c r="E904" s="4">
        <v>17</v>
      </c>
      <c r="F904" s="4">
        <v>3</v>
      </c>
      <c r="G904" s="6" t="str">
        <f t="shared" si="27"/>
        <v>173</v>
      </c>
      <c r="H904" s="5">
        <v>0.4</v>
      </c>
      <c r="I904" s="5">
        <v>143.9</v>
      </c>
      <c r="J904" s="5">
        <v>9031.5295280454666</v>
      </c>
      <c r="K904" s="5">
        <v>1.3</v>
      </c>
      <c r="L904" s="5">
        <v>139.19999999999999</v>
      </c>
      <c r="M904" s="5">
        <v>8736.5455893254257</v>
      </c>
      <c r="N904" s="5">
        <v>69.230769230769226</v>
      </c>
      <c r="O904" s="5">
        <v>4.7000000000000171</v>
      </c>
      <c r="P904" s="5">
        <v>294.9839387200409</v>
      </c>
      <c r="Q904" s="5">
        <v>3.3764367816092116</v>
      </c>
    </row>
    <row r="905" spans="1:17" x14ac:dyDescent="0.2">
      <c r="A905" s="4" t="s">
        <v>89</v>
      </c>
      <c r="B905" s="4">
        <v>2014</v>
      </c>
      <c r="C905" s="4" t="s">
        <v>88</v>
      </c>
      <c r="D905" s="4">
        <v>4</v>
      </c>
      <c r="E905" s="4">
        <v>17</v>
      </c>
      <c r="F905" s="4">
        <v>3</v>
      </c>
      <c r="G905" s="6" t="str">
        <f t="shared" si="27"/>
        <v>173</v>
      </c>
      <c r="H905" s="5">
        <v>0.2</v>
      </c>
      <c r="I905" s="5">
        <v>167.7</v>
      </c>
      <c r="J905" s="5">
        <v>10525.277983691623</v>
      </c>
      <c r="K905" s="5">
        <v>1.3</v>
      </c>
      <c r="L905" s="5">
        <v>150</v>
      </c>
      <c r="M905" s="5">
        <v>9414.3810229799856</v>
      </c>
      <c r="N905" s="5">
        <v>84.615384615384613</v>
      </c>
      <c r="O905" s="5">
        <v>17.699999999999989</v>
      </c>
      <c r="P905" s="5">
        <v>1110.8969607116378</v>
      </c>
      <c r="Q905" s="5">
        <v>11.799999999999995</v>
      </c>
    </row>
    <row r="906" spans="1:17" x14ac:dyDescent="0.2">
      <c r="A906" s="4" t="s">
        <v>89</v>
      </c>
      <c r="B906" s="4">
        <v>2014</v>
      </c>
      <c r="C906" s="4" t="s">
        <v>88</v>
      </c>
      <c r="D906" s="4">
        <v>1</v>
      </c>
      <c r="E906" s="4">
        <v>19</v>
      </c>
      <c r="F906" s="4">
        <v>3</v>
      </c>
      <c r="G906" s="6" t="str">
        <f t="shared" si="27"/>
        <v>193</v>
      </c>
      <c r="H906" s="5">
        <v>0.3</v>
      </c>
      <c r="I906" s="5">
        <v>184.1</v>
      </c>
      <c r="J906" s="5">
        <v>11554.583642204101</v>
      </c>
      <c r="K906" s="5">
        <v>1.4</v>
      </c>
      <c r="L906" s="5">
        <v>155</v>
      </c>
      <c r="M906" s="5">
        <v>9728.1937237459842</v>
      </c>
      <c r="N906" s="5">
        <v>78.571428571428569</v>
      </c>
      <c r="O906" s="5">
        <v>29.099999999999994</v>
      </c>
      <c r="P906" s="5">
        <v>1826.3899184581169</v>
      </c>
      <c r="Q906" s="5">
        <v>18.774193548387093</v>
      </c>
    </row>
    <row r="907" spans="1:17" x14ac:dyDescent="0.2">
      <c r="A907" s="4" t="s">
        <v>89</v>
      </c>
      <c r="B907" s="4">
        <v>2014</v>
      </c>
      <c r="C907" s="4" t="s">
        <v>88</v>
      </c>
      <c r="D907" s="4">
        <v>2</v>
      </c>
      <c r="E907" s="4">
        <v>19</v>
      </c>
      <c r="F907" s="4">
        <v>3</v>
      </c>
      <c r="G907" s="6" t="str">
        <f t="shared" si="27"/>
        <v>193</v>
      </c>
      <c r="H907" s="5">
        <v>0.4</v>
      </c>
      <c r="I907" s="5">
        <v>146.4</v>
      </c>
      <c r="J907" s="5">
        <v>9188.435878428465</v>
      </c>
      <c r="K907" s="5">
        <v>1</v>
      </c>
      <c r="L907" s="5">
        <v>159.6</v>
      </c>
      <c r="M907" s="5">
        <v>10016.901408450703</v>
      </c>
      <c r="N907" s="5">
        <v>60</v>
      </c>
      <c r="O907" s="5">
        <v>-13.199999999999989</v>
      </c>
      <c r="P907" s="5">
        <v>-828.46553002223845</v>
      </c>
      <c r="Q907" s="5">
        <v>-8.2706766917293209</v>
      </c>
    </row>
    <row r="908" spans="1:17" x14ac:dyDescent="0.2">
      <c r="A908" s="4" t="s">
        <v>89</v>
      </c>
      <c r="B908" s="4">
        <v>2014</v>
      </c>
      <c r="C908" s="4" t="s">
        <v>88</v>
      </c>
      <c r="D908" s="4">
        <v>3</v>
      </c>
      <c r="E908" s="4">
        <v>19</v>
      </c>
      <c r="F908" s="4">
        <v>3</v>
      </c>
      <c r="G908" s="6" t="str">
        <f t="shared" si="27"/>
        <v>193</v>
      </c>
      <c r="H908" s="5">
        <v>0.5</v>
      </c>
      <c r="I908" s="5">
        <v>130.4</v>
      </c>
      <c r="J908" s="5">
        <v>8184.2352359772676</v>
      </c>
      <c r="K908" s="5">
        <v>1.3</v>
      </c>
      <c r="L908" s="5">
        <v>139.19999999999999</v>
      </c>
      <c r="M908" s="5">
        <v>8736.5455893254257</v>
      </c>
      <c r="N908" s="5">
        <v>61.53846153846154</v>
      </c>
      <c r="O908" s="5">
        <v>-8.7999999999999829</v>
      </c>
      <c r="P908" s="5">
        <v>-552.31035334815806</v>
      </c>
      <c r="Q908" s="5">
        <v>-6.3218390804597586</v>
      </c>
    </row>
    <row r="909" spans="1:17" x14ac:dyDescent="0.2">
      <c r="A909" s="4" t="s">
        <v>89</v>
      </c>
      <c r="B909" s="4">
        <v>2014</v>
      </c>
      <c r="C909" s="4" t="s">
        <v>88</v>
      </c>
      <c r="D909" s="4">
        <v>4</v>
      </c>
      <c r="E909" s="4">
        <v>19</v>
      </c>
      <c r="F909" s="4">
        <v>3</v>
      </c>
      <c r="G909" s="6" t="str">
        <f t="shared" si="27"/>
        <v>193</v>
      </c>
      <c r="H909" s="5">
        <v>0.3</v>
      </c>
      <c r="I909" s="5">
        <v>153.9</v>
      </c>
      <c r="J909" s="5">
        <v>9659.1549295774657</v>
      </c>
      <c r="K909" s="5">
        <v>1.3</v>
      </c>
      <c r="L909" s="5">
        <v>150</v>
      </c>
      <c r="M909" s="5">
        <v>9414.3810229799856</v>
      </c>
      <c r="N909" s="5">
        <v>76.92307692307692</v>
      </c>
      <c r="O909" s="5">
        <v>3.9000000000000057</v>
      </c>
      <c r="P909" s="5">
        <v>244.77390659748016</v>
      </c>
      <c r="Q909" s="5">
        <v>2.6000000000000059</v>
      </c>
    </row>
    <row r="910" spans="1:17" x14ac:dyDescent="0.2">
      <c r="A910" s="23" t="s">
        <v>96</v>
      </c>
      <c r="B910" s="4">
        <v>2014</v>
      </c>
      <c r="C910" s="4" t="s">
        <v>98</v>
      </c>
      <c r="D910" s="4">
        <v>1</v>
      </c>
      <c r="E910" s="4">
        <v>1</v>
      </c>
      <c r="F910" s="4">
        <v>0</v>
      </c>
      <c r="G910" s="6" t="str">
        <f t="shared" si="27"/>
        <v>10</v>
      </c>
      <c r="H910" s="5">
        <v>3</v>
      </c>
      <c r="I910" s="5">
        <v>71.8</v>
      </c>
      <c r="J910" s="5">
        <v>4506.3503829997526</v>
      </c>
      <c r="K910" s="5">
        <v>3</v>
      </c>
      <c r="L910" s="5">
        <v>71.8</v>
      </c>
      <c r="M910" s="5">
        <v>4506.3503829997526</v>
      </c>
      <c r="N910" s="5">
        <v>0</v>
      </c>
      <c r="O910" s="5">
        <v>0</v>
      </c>
      <c r="P910" s="5">
        <v>0</v>
      </c>
      <c r="Q910" s="5">
        <v>0</v>
      </c>
    </row>
    <row r="911" spans="1:17" x14ac:dyDescent="0.2">
      <c r="A911" s="23" t="s">
        <v>96</v>
      </c>
      <c r="B911" s="4">
        <v>2014</v>
      </c>
      <c r="C911" s="4" t="s">
        <v>98</v>
      </c>
      <c r="D911" s="4">
        <v>2</v>
      </c>
      <c r="E911" s="4">
        <v>1</v>
      </c>
      <c r="F911" s="4">
        <v>0</v>
      </c>
      <c r="G911" s="6" t="str">
        <f t="shared" si="27"/>
        <v>10</v>
      </c>
      <c r="H911" s="5">
        <v>2</v>
      </c>
      <c r="I911" s="5">
        <v>136.19999999999999</v>
      </c>
      <c r="J911" s="5">
        <v>8548.2579688658261</v>
      </c>
      <c r="K911" s="5">
        <v>2</v>
      </c>
      <c r="L911" s="5">
        <v>136.19999999999999</v>
      </c>
      <c r="M911" s="5">
        <v>8548.2579688658261</v>
      </c>
      <c r="N911" s="5">
        <v>0</v>
      </c>
      <c r="O911" s="5">
        <v>0</v>
      </c>
      <c r="P911" s="5">
        <v>0</v>
      </c>
      <c r="Q911" s="5">
        <v>0</v>
      </c>
    </row>
    <row r="912" spans="1:17" x14ac:dyDescent="0.2">
      <c r="A912" s="23" t="s">
        <v>96</v>
      </c>
      <c r="B912" s="4">
        <v>2014</v>
      </c>
      <c r="C912" s="4" t="s">
        <v>98</v>
      </c>
      <c r="D912" s="4">
        <v>3</v>
      </c>
      <c r="E912" s="4">
        <v>1</v>
      </c>
      <c r="F912" s="4">
        <v>0</v>
      </c>
      <c r="G912" s="6" t="str">
        <f t="shared" si="27"/>
        <v>10</v>
      </c>
      <c r="H912" s="5">
        <v>2</v>
      </c>
      <c r="I912" s="5">
        <v>133.19999999999999</v>
      </c>
      <c r="J912" s="5">
        <v>8359.9703484062265</v>
      </c>
      <c r="K912" s="5">
        <v>2</v>
      </c>
      <c r="L912" s="5">
        <v>133.19999999999999</v>
      </c>
      <c r="M912" s="5">
        <v>8359.9703484062265</v>
      </c>
      <c r="N912" s="5">
        <v>0</v>
      </c>
      <c r="O912" s="5">
        <v>0</v>
      </c>
      <c r="P912" s="5">
        <v>0</v>
      </c>
      <c r="Q912" s="5">
        <v>0</v>
      </c>
    </row>
    <row r="913" spans="1:17" s="7" customFormat="1" x14ac:dyDescent="0.2">
      <c r="A913" s="23" t="s">
        <v>96</v>
      </c>
      <c r="B913" s="7">
        <v>2014</v>
      </c>
      <c r="C913" s="7" t="s">
        <v>98</v>
      </c>
      <c r="D913" s="7">
        <v>4</v>
      </c>
      <c r="E913" s="7">
        <v>1</v>
      </c>
      <c r="F913" s="7">
        <v>0</v>
      </c>
      <c r="G913" s="6" t="str">
        <f t="shared" si="27"/>
        <v>10</v>
      </c>
      <c r="H913" s="9">
        <v>2</v>
      </c>
      <c r="I913" s="9">
        <v>122.8</v>
      </c>
      <c r="J913" s="9">
        <v>7707.2399308129479</v>
      </c>
      <c r="K913" s="9">
        <v>2</v>
      </c>
      <c r="L913" s="9">
        <v>122.8</v>
      </c>
      <c r="M913" s="9">
        <v>7707.2399308129479</v>
      </c>
      <c r="N913" s="9">
        <v>0</v>
      </c>
      <c r="O913" s="9">
        <v>0</v>
      </c>
      <c r="P913" s="9">
        <v>0</v>
      </c>
      <c r="Q913" s="9">
        <v>0</v>
      </c>
    </row>
    <row r="914" spans="1:17" x14ac:dyDescent="0.2">
      <c r="A914" s="23" t="s">
        <v>95</v>
      </c>
      <c r="B914" s="4">
        <v>2014</v>
      </c>
      <c r="C914" s="4" t="s">
        <v>98</v>
      </c>
      <c r="D914" s="4">
        <v>1</v>
      </c>
      <c r="E914" s="4">
        <v>1</v>
      </c>
      <c r="F914" s="4">
        <v>0</v>
      </c>
      <c r="G914" s="6" t="str">
        <f t="shared" si="27"/>
        <v>10</v>
      </c>
      <c r="H914" s="5">
        <v>0</v>
      </c>
      <c r="I914" s="5">
        <v>143.4</v>
      </c>
      <c r="J914" s="5">
        <v>9000.1482579688654</v>
      </c>
      <c r="K914" s="5">
        <v>0</v>
      </c>
      <c r="L914" s="5">
        <v>143.4</v>
      </c>
      <c r="M914" s="5">
        <v>9000.1482579688654</v>
      </c>
      <c r="N914" s="5" t="s">
        <v>97</v>
      </c>
      <c r="O914" s="5">
        <v>0</v>
      </c>
      <c r="P914" s="5">
        <v>0</v>
      </c>
      <c r="Q914" s="5">
        <v>0</v>
      </c>
    </row>
    <row r="915" spans="1:17" x14ac:dyDescent="0.2">
      <c r="A915" s="23" t="s">
        <v>95</v>
      </c>
      <c r="B915" s="4">
        <v>2014</v>
      </c>
      <c r="C915" s="4" t="s">
        <v>98</v>
      </c>
      <c r="D915" s="4">
        <v>2</v>
      </c>
      <c r="E915" s="4">
        <v>1</v>
      </c>
      <c r="F915" s="4">
        <v>0</v>
      </c>
      <c r="G915" s="6" t="str">
        <f t="shared" si="27"/>
        <v>10</v>
      </c>
      <c r="H915" s="5">
        <v>2</v>
      </c>
      <c r="I915" s="5">
        <v>145.1</v>
      </c>
      <c r="J915" s="5">
        <v>9106.8445762293049</v>
      </c>
      <c r="K915" s="5">
        <v>2</v>
      </c>
      <c r="L915" s="5">
        <v>145.1</v>
      </c>
      <c r="M915" s="5">
        <v>9106.8445762293049</v>
      </c>
      <c r="N915" s="5">
        <v>0</v>
      </c>
      <c r="O915" s="5">
        <v>0</v>
      </c>
      <c r="P915" s="5">
        <v>0</v>
      </c>
      <c r="Q915" s="5">
        <v>0</v>
      </c>
    </row>
    <row r="916" spans="1:17" x14ac:dyDescent="0.2">
      <c r="A916" s="23" t="s">
        <v>95</v>
      </c>
      <c r="B916" s="4">
        <v>2014</v>
      </c>
      <c r="C916" s="4" t="s">
        <v>98</v>
      </c>
      <c r="D916" s="4">
        <v>3</v>
      </c>
      <c r="E916" s="4">
        <v>1</v>
      </c>
      <c r="F916" s="4">
        <v>0</v>
      </c>
      <c r="G916" s="6" t="str">
        <f t="shared" si="27"/>
        <v>10</v>
      </c>
      <c r="H916" s="5">
        <v>2</v>
      </c>
      <c r="I916" s="5">
        <v>84.1</v>
      </c>
      <c r="J916" s="5">
        <v>5278.3296268841113</v>
      </c>
      <c r="K916" s="5">
        <v>2</v>
      </c>
      <c r="L916" s="5">
        <v>84.1</v>
      </c>
      <c r="M916" s="5">
        <v>5278.3296268841113</v>
      </c>
      <c r="N916" s="5">
        <v>0</v>
      </c>
      <c r="O916" s="5">
        <v>0</v>
      </c>
      <c r="P916" s="5">
        <v>0</v>
      </c>
      <c r="Q916" s="5">
        <v>0</v>
      </c>
    </row>
    <row r="917" spans="1:17" x14ac:dyDescent="0.2">
      <c r="A917" s="23" t="s">
        <v>95</v>
      </c>
      <c r="B917" s="4">
        <v>2014</v>
      </c>
      <c r="C917" s="4" t="s">
        <v>98</v>
      </c>
      <c r="D917" s="4">
        <v>4</v>
      </c>
      <c r="E917" s="4">
        <v>1</v>
      </c>
      <c r="F917" s="4">
        <v>0</v>
      </c>
      <c r="G917" s="6" t="str">
        <f t="shared" si="27"/>
        <v>10</v>
      </c>
      <c r="H917" s="5">
        <v>3</v>
      </c>
      <c r="I917" s="5">
        <v>87.2</v>
      </c>
      <c r="J917" s="5">
        <v>5472.8935013590317</v>
      </c>
      <c r="K917" s="5">
        <v>3</v>
      </c>
      <c r="L917" s="5">
        <v>87.2</v>
      </c>
      <c r="M917" s="5">
        <v>5472.8935013590317</v>
      </c>
      <c r="N917" s="5">
        <v>0</v>
      </c>
      <c r="O917" s="5">
        <v>0</v>
      </c>
      <c r="P917" s="5">
        <v>0</v>
      </c>
      <c r="Q917" s="5">
        <v>0</v>
      </c>
    </row>
    <row r="918" spans="1:17" x14ac:dyDescent="0.2">
      <c r="A918" s="23" t="s">
        <v>96</v>
      </c>
      <c r="B918" s="4">
        <v>2014</v>
      </c>
      <c r="C918" s="4" t="s">
        <v>98</v>
      </c>
      <c r="D918" s="4">
        <v>1</v>
      </c>
      <c r="E918" s="4">
        <v>7</v>
      </c>
      <c r="F918" s="4">
        <v>2</v>
      </c>
      <c r="G918" s="6" t="str">
        <f t="shared" si="27"/>
        <v>72</v>
      </c>
      <c r="H918" s="5">
        <v>1</v>
      </c>
      <c r="I918" s="5">
        <v>161.1</v>
      </c>
      <c r="J918" s="5">
        <v>10111.045218680503</v>
      </c>
      <c r="K918" s="5">
        <v>3</v>
      </c>
      <c r="L918" s="5">
        <v>71.8</v>
      </c>
      <c r="M918" s="5">
        <v>4506.3503829997526</v>
      </c>
      <c r="N918" s="5">
        <v>66.666666666666657</v>
      </c>
      <c r="O918" s="5">
        <v>89.3</v>
      </c>
      <c r="P918" s="5">
        <v>5604.6948356807507</v>
      </c>
      <c r="Q918" s="5">
        <v>124.37325905292478</v>
      </c>
    </row>
    <row r="919" spans="1:17" x14ac:dyDescent="0.2">
      <c r="A919" s="23" t="s">
        <v>96</v>
      </c>
      <c r="B919" s="4">
        <v>2014</v>
      </c>
      <c r="C919" s="4" t="s">
        <v>98</v>
      </c>
      <c r="D919" s="4">
        <v>2</v>
      </c>
      <c r="E919" s="4">
        <v>7</v>
      </c>
      <c r="F919" s="4">
        <v>2</v>
      </c>
      <c r="G919" s="6" t="str">
        <f t="shared" si="27"/>
        <v>72</v>
      </c>
      <c r="H919" s="5">
        <v>2</v>
      </c>
      <c r="I919" s="5">
        <v>138.30000000000001</v>
      </c>
      <c r="J919" s="5">
        <v>8680.0593031875469</v>
      </c>
      <c r="K919" s="5">
        <v>2</v>
      </c>
      <c r="L919" s="5">
        <v>136.19999999999999</v>
      </c>
      <c r="M919" s="5">
        <v>8548.2579688658261</v>
      </c>
      <c r="N919" s="5">
        <v>0</v>
      </c>
      <c r="O919" s="5">
        <v>2.1000000000000227</v>
      </c>
      <c r="P919" s="5">
        <v>131.80133432172079</v>
      </c>
      <c r="Q919" s="5">
        <v>1.5418502202643287</v>
      </c>
    </row>
    <row r="920" spans="1:17" x14ac:dyDescent="0.2">
      <c r="A920" s="23" t="s">
        <v>96</v>
      </c>
      <c r="B920" s="4">
        <v>2014</v>
      </c>
      <c r="C920" s="4" t="s">
        <v>98</v>
      </c>
      <c r="D920" s="4">
        <v>3</v>
      </c>
      <c r="E920" s="4">
        <v>7</v>
      </c>
      <c r="F920" s="4">
        <v>2</v>
      </c>
      <c r="G920" s="6" t="str">
        <f t="shared" si="27"/>
        <v>72</v>
      </c>
      <c r="H920" s="5">
        <v>2</v>
      </c>
      <c r="I920" s="5">
        <v>110.9</v>
      </c>
      <c r="J920" s="5">
        <v>6960.3657029898695</v>
      </c>
      <c r="K920" s="5">
        <v>2</v>
      </c>
      <c r="L920" s="5">
        <v>133.19999999999999</v>
      </c>
      <c r="M920" s="5">
        <v>8359.9703484062265</v>
      </c>
      <c r="N920" s="5">
        <v>0</v>
      </c>
      <c r="O920" s="5">
        <v>-22.299999999999983</v>
      </c>
      <c r="P920" s="5">
        <v>-1399.604645416357</v>
      </c>
      <c r="Q920" s="5">
        <v>-16.741741741741734</v>
      </c>
    </row>
    <row r="921" spans="1:17" x14ac:dyDescent="0.2">
      <c r="A921" s="23" t="s">
        <v>96</v>
      </c>
      <c r="B921" s="4">
        <v>2014</v>
      </c>
      <c r="C921" s="4" t="s">
        <v>98</v>
      </c>
      <c r="D921" s="4">
        <v>4</v>
      </c>
      <c r="E921" s="4">
        <v>7</v>
      </c>
      <c r="F921" s="4">
        <v>2</v>
      </c>
      <c r="G921" s="6" t="str">
        <f t="shared" si="27"/>
        <v>72</v>
      </c>
      <c r="H921" s="5">
        <v>1</v>
      </c>
      <c r="I921" s="5">
        <v>131.30000000000001</v>
      </c>
      <c r="J921" s="5">
        <v>8240.7215221151473</v>
      </c>
      <c r="K921" s="5">
        <v>2</v>
      </c>
      <c r="L921" s="5">
        <v>122.8</v>
      </c>
      <c r="M921" s="5">
        <v>7707.2399308129479</v>
      </c>
      <c r="N921" s="5">
        <v>50</v>
      </c>
      <c r="O921" s="5">
        <v>8.5000000000000142</v>
      </c>
      <c r="P921" s="5">
        <v>533.48159130219938</v>
      </c>
      <c r="Q921" s="5">
        <v>6.9218241042345312</v>
      </c>
    </row>
    <row r="922" spans="1:17" x14ac:dyDescent="0.2">
      <c r="A922" s="23" t="s">
        <v>95</v>
      </c>
      <c r="B922" s="4">
        <v>2014</v>
      </c>
      <c r="C922" s="4" t="s">
        <v>98</v>
      </c>
      <c r="D922" s="4">
        <v>1</v>
      </c>
      <c r="E922" s="4">
        <v>7</v>
      </c>
      <c r="F922" s="4">
        <v>2</v>
      </c>
      <c r="G922" s="6" t="str">
        <f t="shared" si="27"/>
        <v>72</v>
      </c>
      <c r="H922" s="5">
        <v>0</v>
      </c>
      <c r="I922" s="5">
        <v>157</v>
      </c>
      <c r="J922" s="5">
        <v>9853.7188040523852</v>
      </c>
      <c r="K922" s="5">
        <v>0</v>
      </c>
      <c r="L922" s="5">
        <v>143.4</v>
      </c>
      <c r="M922" s="5">
        <v>9000.1482579688654</v>
      </c>
      <c r="N922" s="5" t="s">
        <v>97</v>
      </c>
      <c r="O922" s="5">
        <v>13.599999999999994</v>
      </c>
      <c r="P922" s="5">
        <v>853.57054608351973</v>
      </c>
      <c r="Q922" s="5">
        <v>9.4839609483961063</v>
      </c>
    </row>
    <row r="923" spans="1:17" x14ac:dyDescent="0.2">
      <c r="A923" s="23" t="s">
        <v>95</v>
      </c>
      <c r="B923" s="4">
        <v>2014</v>
      </c>
      <c r="C923" s="4" t="s">
        <v>98</v>
      </c>
      <c r="D923" s="4">
        <v>2</v>
      </c>
      <c r="E923" s="4">
        <v>7</v>
      </c>
      <c r="F923" s="4">
        <v>2</v>
      </c>
      <c r="G923" s="6" t="str">
        <f t="shared" si="27"/>
        <v>72</v>
      </c>
      <c r="H923" s="5">
        <v>2</v>
      </c>
      <c r="I923" s="5">
        <v>147.5</v>
      </c>
      <c r="J923" s="5">
        <v>9257.4746725969853</v>
      </c>
      <c r="K923" s="5">
        <v>2</v>
      </c>
      <c r="L923" s="5">
        <v>145.1</v>
      </c>
      <c r="M923" s="5">
        <v>9106.8445762293049</v>
      </c>
      <c r="N923" s="5">
        <v>0</v>
      </c>
      <c r="O923" s="5">
        <v>2.4000000000000057</v>
      </c>
      <c r="P923" s="5">
        <v>150.63009636768038</v>
      </c>
      <c r="Q923" s="5">
        <v>1.6540317022743005</v>
      </c>
    </row>
    <row r="924" spans="1:17" x14ac:dyDescent="0.2">
      <c r="A924" s="23" t="s">
        <v>95</v>
      </c>
      <c r="B924" s="4">
        <v>2014</v>
      </c>
      <c r="C924" s="4" t="s">
        <v>98</v>
      </c>
      <c r="D924" s="4">
        <v>3</v>
      </c>
      <c r="E924" s="4">
        <v>7</v>
      </c>
      <c r="F924" s="4">
        <v>2</v>
      </c>
      <c r="G924" s="6" t="str">
        <f t="shared" si="27"/>
        <v>72</v>
      </c>
      <c r="H924" s="5">
        <v>2</v>
      </c>
      <c r="I924" s="5">
        <v>133.4</v>
      </c>
      <c r="J924" s="5">
        <v>8372.5228564368663</v>
      </c>
      <c r="K924" s="5">
        <v>2</v>
      </c>
      <c r="L924" s="5">
        <v>84.1</v>
      </c>
      <c r="M924" s="5">
        <v>5278.3296268841113</v>
      </c>
      <c r="N924" s="5">
        <v>0</v>
      </c>
      <c r="O924" s="5">
        <v>49.300000000000011</v>
      </c>
      <c r="P924" s="5">
        <v>3094.1932295527549</v>
      </c>
      <c r="Q924" s="5">
        <v>58.620689655172406</v>
      </c>
    </row>
    <row r="925" spans="1:17" x14ac:dyDescent="0.2">
      <c r="A925" s="23" t="s">
        <v>95</v>
      </c>
      <c r="B925" s="4">
        <v>2014</v>
      </c>
      <c r="C925" s="4" t="s">
        <v>98</v>
      </c>
      <c r="D925" s="4">
        <v>4</v>
      </c>
      <c r="E925" s="4">
        <v>7</v>
      </c>
      <c r="F925" s="4">
        <v>2</v>
      </c>
      <c r="G925" s="6" t="str">
        <f t="shared" si="27"/>
        <v>72</v>
      </c>
      <c r="H925" s="5">
        <v>3</v>
      </c>
      <c r="I925" s="5">
        <v>123.9</v>
      </c>
      <c r="J925" s="5">
        <v>7776.2787249814683</v>
      </c>
      <c r="K925" s="5">
        <v>3</v>
      </c>
      <c r="L925" s="5">
        <v>87.2</v>
      </c>
      <c r="M925" s="5">
        <v>5472.8935013590317</v>
      </c>
      <c r="N925" s="5">
        <v>0</v>
      </c>
      <c r="O925" s="5">
        <v>36.700000000000003</v>
      </c>
      <c r="P925" s="5">
        <v>2303.3852236224366</v>
      </c>
      <c r="Q925" s="5">
        <v>42.087155963302756</v>
      </c>
    </row>
    <row r="926" spans="1:17" x14ac:dyDescent="0.2">
      <c r="A926" s="23" t="s">
        <v>96</v>
      </c>
      <c r="B926" s="4">
        <v>2014</v>
      </c>
      <c r="C926" s="4" t="s">
        <v>98</v>
      </c>
      <c r="D926" s="4">
        <v>1</v>
      </c>
      <c r="E926" s="4">
        <v>9</v>
      </c>
      <c r="F926" s="4">
        <v>2</v>
      </c>
      <c r="G926" s="6" t="str">
        <f t="shared" si="27"/>
        <v>92</v>
      </c>
      <c r="H926" s="5">
        <v>4</v>
      </c>
      <c r="I926" s="5">
        <v>145</v>
      </c>
      <c r="J926" s="5">
        <v>9100.5683222139851</v>
      </c>
      <c r="K926" s="5">
        <v>3</v>
      </c>
      <c r="L926" s="5">
        <v>71.8</v>
      </c>
      <c r="M926" s="5">
        <v>4506.3503829997526</v>
      </c>
      <c r="N926" s="5">
        <v>-33.333333333333329</v>
      </c>
      <c r="O926" s="5">
        <v>73.2</v>
      </c>
      <c r="P926" s="5">
        <v>4594.2179392142325</v>
      </c>
      <c r="Q926" s="5">
        <v>101.94986072423397</v>
      </c>
    </row>
    <row r="927" spans="1:17" x14ac:dyDescent="0.2">
      <c r="A927" s="23" t="s">
        <v>96</v>
      </c>
      <c r="B927" s="4">
        <v>2014</v>
      </c>
      <c r="C927" s="4" t="s">
        <v>98</v>
      </c>
      <c r="D927" s="4">
        <v>2</v>
      </c>
      <c r="E927" s="4">
        <v>9</v>
      </c>
      <c r="F927" s="4">
        <v>2</v>
      </c>
      <c r="G927" s="6" t="str">
        <f t="shared" si="27"/>
        <v>92</v>
      </c>
      <c r="H927" s="5">
        <v>4</v>
      </c>
      <c r="I927" s="5">
        <v>129.6</v>
      </c>
      <c r="J927" s="5">
        <v>8134.0252038547069</v>
      </c>
      <c r="K927" s="5">
        <v>2</v>
      </c>
      <c r="L927" s="5">
        <v>136.19999999999999</v>
      </c>
      <c r="M927" s="5">
        <v>8548.2579688658261</v>
      </c>
      <c r="N927" s="5">
        <v>-100</v>
      </c>
      <c r="O927" s="5">
        <v>-6.5999999999999943</v>
      </c>
      <c r="P927" s="5">
        <v>-414.23276501111923</v>
      </c>
      <c r="Q927" s="5">
        <v>-4.8458149779735669</v>
      </c>
    </row>
    <row r="928" spans="1:17" x14ac:dyDescent="0.2">
      <c r="A928" s="23" t="s">
        <v>96</v>
      </c>
      <c r="B928" s="4">
        <v>2014</v>
      </c>
      <c r="C928" s="4" t="s">
        <v>98</v>
      </c>
      <c r="D928" s="4">
        <v>3</v>
      </c>
      <c r="E928" s="4">
        <v>9</v>
      </c>
      <c r="F928" s="4">
        <v>2</v>
      </c>
      <c r="G928" s="6" t="str">
        <f t="shared" si="27"/>
        <v>92</v>
      </c>
      <c r="H928" s="5">
        <v>2</v>
      </c>
      <c r="I928" s="5">
        <v>168.2</v>
      </c>
      <c r="J928" s="5">
        <v>10556.659253768223</v>
      </c>
      <c r="K928" s="5">
        <v>2</v>
      </c>
      <c r="L928" s="5">
        <v>133.19999999999999</v>
      </c>
      <c r="M928" s="5">
        <v>8359.9703484062265</v>
      </c>
      <c r="N928" s="5">
        <v>0</v>
      </c>
      <c r="O928" s="5">
        <v>35</v>
      </c>
      <c r="P928" s="5">
        <v>2196.6889053619961</v>
      </c>
      <c r="Q928" s="5">
        <v>26.276276276276274</v>
      </c>
    </row>
    <row r="929" spans="1:17" x14ac:dyDescent="0.2">
      <c r="A929" s="23" t="s">
        <v>96</v>
      </c>
      <c r="B929" s="4">
        <v>2014</v>
      </c>
      <c r="C929" s="4" t="s">
        <v>98</v>
      </c>
      <c r="D929" s="4">
        <v>4</v>
      </c>
      <c r="E929" s="4">
        <v>9</v>
      </c>
      <c r="F929" s="4">
        <v>2</v>
      </c>
      <c r="G929" s="6" t="str">
        <f t="shared" si="27"/>
        <v>92</v>
      </c>
      <c r="H929" s="5">
        <v>1</v>
      </c>
      <c r="I929" s="5">
        <v>124.3</v>
      </c>
      <c r="J929" s="5">
        <v>7801.3837410427477</v>
      </c>
      <c r="K929" s="5">
        <v>2</v>
      </c>
      <c r="L929" s="5">
        <v>122.8</v>
      </c>
      <c r="M929" s="5">
        <v>7707.2399308129479</v>
      </c>
      <c r="N929" s="5">
        <v>50</v>
      </c>
      <c r="O929" s="5">
        <v>1.5</v>
      </c>
      <c r="P929" s="5">
        <v>94.143810229799783</v>
      </c>
      <c r="Q929" s="5">
        <v>1.2214983713355041</v>
      </c>
    </row>
    <row r="930" spans="1:17" x14ac:dyDescent="0.2">
      <c r="A930" s="23" t="s">
        <v>95</v>
      </c>
      <c r="B930" s="4">
        <v>2014</v>
      </c>
      <c r="C930" s="4" t="s">
        <v>98</v>
      </c>
      <c r="D930" s="4">
        <v>1</v>
      </c>
      <c r="E930" s="4">
        <v>9</v>
      </c>
      <c r="F930" s="4">
        <v>2</v>
      </c>
      <c r="G930" s="6" t="str">
        <f t="shared" si="27"/>
        <v>92</v>
      </c>
      <c r="H930" s="5">
        <v>0</v>
      </c>
      <c r="I930" s="5">
        <v>162.5</v>
      </c>
      <c r="J930" s="5">
        <v>10198.912774894983</v>
      </c>
      <c r="K930" s="5">
        <v>0</v>
      </c>
      <c r="L930" s="5">
        <v>143.4</v>
      </c>
      <c r="M930" s="5">
        <v>9000.1482579688654</v>
      </c>
      <c r="N930" s="5" t="s">
        <v>97</v>
      </c>
      <c r="O930" s="5">
        <v>19.099999999999994</v>
      </c>
      <c r="P930" s="5">
        <v>1198.7645169261177</v>
      </c>
      <c r="Q930" s="5">
        <v>13.319386331938629</v>
      </c>
    </row>
    <row r="931" spans="1:17" x14ac:dyDescent="0.2">
      <c r="A931" s="23" t="s">
        <v>95</v>
      </c>
      <c r="B931" s="4">
        <v>2014</v>
      </c>
      <c r="C931" s="4" t="s">
        <v>98</v>
      </c>
      <c r="D931" s="4">
        <v>2</v>
      </c>
      <c r="E931" s="4">
        <v>9</v>
      </c>
      <c r="F931" s="4">
        <v>2</v>
      </c>
      <c r="G931" s="6" t="str">
        <f t="shared" si="27"/>
        <v>92</v>
      </c>
      <c r="H931" s="5">
        <v>2</v>
      </c>
      <c r="I931" s="5">
        <v>151</v>
      </c>
      <c r="J931" s="5">
        <v>9477.1435631331842</v>
      </c>
      <c r="K931" s="5">
        <v>2</v>
      </c>
      <c r="L931" s="5">
        <v>145.1</v>
      </c>
      <c r="M931" s="5">
        <v>9106.8445762293049</v>
      </c>
      <c r="N931" s="5">
        <v>0</v>
      </c>
      <c r="O931" s="5">
        <v>5.9000000000000057</v>
      </c>
      <c r="P931" s="5">
        <v>370.29898690387927</v>
      </c>
      <c r="Q931" s="5">
        <v>4.06616126809097</v>
      </c>
    </row>
    <row r="932" spans="1:17" x14ac:dyDescent="0.2">
      <c r="A932" s="23" t="s">
        <v>95</v>
      </c>
      <c r="B932" s="4">
        <v>2014</v>
      </c>
      <c r="C932" s="4" t="s">
        <v>98</v>
      </c>
      <c r="D932" s="4">
        <v>3</v>
      </c>
      <c r="E932" s="4">
        <v>9</v>
      </c>
      <c r="F932" s="4">
        <v>2</v>
      </c>
      <c r="G932" s="6" t="str">
        <f t="shared" si="27"/>
        <v>92</v>
      </c>
      <c r="H932" s="5">
        <v>2</v>
      </c>
      <c r="I932" s="5">
        <v>123.3</v>
      </c>
      <c r="J932" s="5">
        <v>7738.6212008895473</v>
      </c>
      <c r="K932" s="5">
        <v>2</v>
      </c>
      <c r="L932" s="5">
        <v>84.1</v>
      </c>
      <c r="M932" s="5">
        <v>5278.3296268841113</v>
      </c>
      <c r="N932" s="5">
        <v>0</v>
      </c>
      <c r="O932" s="5">
        <v>39.200000000000003</v>
      </c>
      <c r="P932" s="5">
        <v>2460.2915740054359</v>
      </c>
      <c r="Q932" s="5">
        <v>46.611177170035674</v>
      </c>
    </row>
    <row r="933" spans="1:17" x14ac:dyDescent="0.2">
      <c r="A933" s="23" t="s">
        <v>95</v>
      </c>
      <c r="B933" s="4">
        <v>2014</v>
      </c>
      <c r="C933" s="4" t="s">
        <v>98</v>
      </c>
      <c r="D933" s="4">
        <v>4</v>
      </c>
      <c r="E933" s="4">
        <v>9</v>
      </c>
      <c r="F933" s="4">
        <v>2</v>
      </c>
      <c r="G933" s="6" t="str">
        <f t="shared" si="27"/>
        <v>92</v>
      </c>
      <c r="H933" s="5">
        <v>3</v>
      </c>
      <c r="I933" s="5">
        <v>78.3</v>
      </c>
      <c r="J933" s="5">
        <v>4914.3068939955519</v>
      </c>
      <c r="K933" s="5">
        <v>3</v>
      </c>
      <c r="L933" s="5">
        <v>87.2</v>
      </c>
      <c r="M933" s="5">
        <v>5472.8935013590317</v>
      </c>
      <c r="N933" s="5">
        <v>0</v>
      </c>
      <c r="O933" s="5">
        <v>-8.9000000000000057</v>
      </c>
      <c r="P933" s="5">
        <v>-558.58660736347974</v>
      </c>
      <c r="Q933" s="5">
        <v>-10.206422018348634</v>
      </c>
    </row>
    <row r="934" spans="1:17" x14ac:dyDescent="0.2">
      <c r="A934" s="4" t="s">
        <v>55</v>
      </c>
      <c r="B934" s="4">
        <v>2014</v>
      </c>
      <c r="C934" s="4" t="s">
        <v>54</v>
      </c>
      <c r="D934" s="4">
        <v>1</v>
      </c>
      <c r="E934" s="4">
        <v>1</v>
      </c>
      <c r="F934" s="4">
        <v>0</v>
      </c>
      <c r="G934" s="6" t="str">
        <f t="shared" si="27"/>
        <v>10</v>
      </c>
      <c r="H934" s="5">
        <v>1.25</v>
      </c>
      <c r="I934" s="5">
        <v>192.30340777683855</v>
      </c>
      <c r="J934" s="5">
        <v>12069.450352191005</v>
      </c>
      <c r="K934" s="5">
        <v>1.25</v>
      </c>
      <c r="L934" s="5">
        <v>192.30340777683855</v>
      </c>
      <c r="M934" s="5">
        <v>12069.450352191005</v>
      </c>
      <c r="N934" s="5">
        <v>0</v>
      </c>
      <c r="O934" s="5">
        <v>0</v>
      </c>
      <c r="P934" s="5">
        <v>0</v>
      </c>
      <c r="Q934" s="5">
        <v>0</v>
      </c>
    </row>
    <row r="935" spans="1:17" x14ac:dyDescent="0.2">
      <c r="A935" s="4" t="s">
        <v>55</v>
      </c>
      <c r="B935" s="4">
        <v>2014</v>
      </c>
      <c r="C935" s="4" t="s">
        <v>54</v>
      </c>
      <c r="D935" s="4">
        <v>2</v>
      </c>
      <c r="E935" s="4">
        <v>1</v>
      </c>
      <c r="F935" s="4">
        <v>0</v>
      </c>
      <c r="G935" s="6" t="str">
        <f t="shared" si="27"/>
        <v>10</v>
      </c>
      <c r="H935" s="5">
        <v>1</v>
      </c>
      <c r="I935" s="5">
        <v>198.56594023668637</v>
      </c>
      <c r="J935" s="5">
        <v>12462.502797162921</v>
      </c>
      <c r="K935" s="5">
        <v>1</v>
      </c>
      <c r="L935" s="5">
        <v>198.56594023668637</v>
      </c>
      <c r="M935" s="5">
        <v>12462.502797162921</v>
      </c>
      <c r="N935" s="5">
        <v>0</v>
      </c>
      <c r="O935" s="5">
        <v>0</v>
      </c>
      <c r="P935" s="5">
        <v>0</v>
      </c>
      <c r="Q935" s="5">
        <v>0</v>
      </c>
    </row>
    <row r="936" spans="1:17" x14ac:dyDescent="0.2">
      <c r="A936" s="4" t="s">
        <v>55</v>
      </c>
      <c r="B936" s="4">
        <v>2014</v>
      </c>
      <c r="C936" s="4" t="s">
        <v>54</v>
      </c>
      <c r="D936" s="4">
        <v>3</v>
      </c>
      <c r="E936" s="4">
        <v>1</v>
      </c>
      <c r="F936" s="4">
        <v>0</v>
      </c>
      <c r="G936" s="6" t="str">
        <f t="shared" si="27"/>
        <v>10</v>
      </c>
      <c r="H936" s="5">
        <v>1</v>
      </c>
      <c r="I936" s="5">
        <v>209.85978157227387</v>
      </c>
      <c r="J936" s="5">
        <v>13171.332967471599</v>
      </c>
      <c r="K936" s="5">
        <v>1</v>
      </c>
      <c r="L936" s="5">
        <v>209.85978157227387</v>
      </c>
      <c r="M936" s="5">
        <v>13171.332967471599</v>
      </c>
      <c r="N936" s="5">
        <v>0</v>
      </c>
      <c r="O936" s="5">
        <v>0</v>
      </c>
      <c r="P936" s="5">
        <v>0</v>
      </c>
      <c r="Q936" s="5">
        <v>0</v>
      </c>
    </row>
    <row r="937" spans="1:17" x14ac:dyDescent="0.2">
      <c r="A937" s="4" t="s">
        <v>55</v>
      </c>
      <c r="B937" s="4">
        <v>2014</v>
      </c>
      <c r="C937" s="4" t="s">
        <v>54</v>
      </c>
      <c r="D937" s="4">
        <v>4</v>
      </c>
      <c r="E937" s="4">
        <v>1</v>
      </c>
      <c r="F937" s="4">
        <v>0</v>
      </c>
      <c r="G937" s="6" t="str">
        <f t="shared" si="27"/>
        <v>10</v>
      </c>
      <c r="H937" s="5">
        <v>1</v>
      </c>
      <c r="I937" s="5">
        <v>196.11288258664413</v>
      </c>
      <c r="J937" s="5">
        <v>12308.54266790403</v>
      </c>
      <c r="K937" s="5">
        <v>1</v>
      </c>
      <c r="L937" s="5">
        <v>196.11288258664413</v>
      </c>
      <c r="M937" s="5">
        <v>12308.54266790403</v>
      </c>
      <c r="N937" s="5">
        <v>0</v>
      </c>
      <c r="O937" s="5">
        <v>0</v>
      </c>
      <c r="P937" s="5">
        <v>0</v>
      </c>
      <c r="Q937" s="5">
        <v>0</v>
      </c>
    </row>
    <row r="938" spans="1:17" x14ac:dyDescent="0.2">
      <c r="A938" s="4" t="s">
        <v>55</v>
      </c>
      <c r="B938" s="4">
        <v>2014</v>
      </c>
      <c r="C938" s="4" t="s">
        <v>54</v>
      </c>
      <c r="D938" s="4">
        <v>1</v>
      </c>
      <c r="E938" s="4">
        <v>2</v>
      </c>
      <c r="F938" s="4">
        <v>1</v>
      </c>
      <c r="G938" s="6" t="str">
        <f t="shared" si="27"/>
        <v>21</v>
      </c>
      <c r="H938" s="5">
        <v>1.25</v>
      </c>
      <c r="I938" s="5">
        <v>208.01575384615381</v>
      </c>
      <c r="J938" s="5">
        <v>13055.597103267375</v>
      </c>
      <c r="K938" s="5">
        <v>1.25</v>
      </c>
      <c r="L938" s="5">
        <v>192.30340777683855</v>
      </c>
      <c r="M938" s="5">
        <v>12069.450352191005</v>
      </c>
      <c r="N938" s="5">
        <v>0</v>
      </c>
      <c r="O938" s="5">
        <v>15.712346069315259</v>
      </c>
      <c r="P938" s="5">
        <v>986.14675107637049</v>
      </c>
      <c r="Q938" s="5">
        <v>8.1706019934648655</v>
      </c>
    </row>
    <row r="939" spans="1:17" x14ac:dyDescent="0.2">
      <c r="A939" s="4" t="s">
        <v>55</v>
      </c>
      <c r="B939" s="4">
        <v>2014</v>
      </c>
      <c r="C939" s="4" t="s">
        <v>54</v>
      </c>
      <c r="D939" s="4">
        <v>2</v>
      </c>
      <c r="E939" s="4">
        <v>2</v>
      </c>
      <c r="F939" s="4">
        <v>1</v>
      </c>
      <c r="G939" s="6" t="str">
        <f t="shared" si="27"/>
        <v>21</v>
      </c>
      <c r="H939" s="5">
        <v>3</v>
      </c>
      <c r="I939" s="5">
        <v>214.94153609467457</v>
      </c>
      <c r="J939" s="5">
        <v>13490.276789732479</v>
      </c>
      <c r="K939" s="5">
        <v>1</v>
      </c>
      <c r="L939" s="5">
        <v>198.56594023668637</v>
      </c>
      <c r="M939" s="5">
        <v>12462.502797162921</v>
      </c>
      <c r="N939" s="5">
        <v>-200</v>
      </c>
      <c r="O939" s="5">
        <v>16.375595857988202</v>
      </c>
      <c r="P939" s="5">
        <v>1027.7739925695587</v>
      </c>
      <c r="Q939" s="5">
        <v>8.2469308877790635</v>
      </c>
    </row>
    <row r="940" spans="1:17" x14ac:dyDescent="0.2">
      <c r="A940" s="4" t="s">
        <v>55</v>
      </c>
      <c r="B940" s="4">
        <v>2014</v>
      </c>
      <c r="C940" s="4" t="s">
        <v>54</v>
      </c>
      <c r="D940" s="4">
        <v>3</v>
      </c>
      <c r="E940" s="4">
        <v>2</v>
      </c>
      <c r="F940" s="4">
        <v>1</v>
      </c>
      <c r="G940" s="6" t="str">
        <f t="shared" si="27"/>
        <v>21</v>
      </c>
      <c r="H940" s="5">
        <v>0.5</v>
      </c>
      <c r="I940" s="5">
        <v>178.00979949281486</v>
      </c>
      <c r="J940" s="5">
        <v>11172.347188330856</v>
      </c>
      <c r="K940" s="5">
        <v>1</v>
      </c>
      <c r="L940" s="5">
        <v>209.85978157227387</v>
      </c>
      <c r="M940" s="5">
        <v>13171.332967471599</v>
      </c>
      <c r="N940" s="5">
        <v>50</v>
      </c>
      <c r="O940" s="5">
        <v>-31.849982079459011</v>
      </c>
      <c r="P940" s="5">
        <v>-1998.985779140743</v>
      </c>
      <c r="Q940" s="5">
        <v>-15.176791780129701</v>
      </c>
    </row>
    <row r="941" spans="1:17" x14ac:dyDescent="0.2">
      <c r="A941" s="4" t="s">
        <v>55</v>
      </c>
      <c r="B941" s="4">
        <v>2014</v>
      </c>
      <c r="C941" s="4" t="s">
        <v>54</v>
      </c>
      <c r="D941" s="4">
        <v>4</v>
      </c>
      <c r="E941" s="4">
        <v>2</v>
      </c>
      <c r="F941" s="4">
        <v>1</v>
      </c>
      <c r="G941" s="6" t="str">
        <f t="shared" si="27"/>
        <v>21</v>
      </c>
      <c r="H941" s="5">
        <v>0.2</v>
      </c>
      <c r="I941" s="5">
        <v>195.15763719357568</v>
      </c>
      <c r="J941" s="5">
        <v>12248.589040565412</v>
      </c>
      <c r="K941" s="5">
        <v>1</v>
      </c>
      <c r="L941" s="5">
        <v>196.11288258664413</v>
      </c>
      <c r="M941" s="5">
        <v>12308.54266790403</v>
      </c>
      <c r="N941" s="5">
        <v>80</v>
      </c>
      <c r="O941" s="5">
        <v>-0.95524539306845213</v>
      </c>
      <c r="P941" s="5">
        <v>-59.953627338618389</v>
      </c>
      <c r="Q941" s="5">
        <v>-0.48708956824721827</v>
      </c>
    </row>
    <row r="942" spans="1:17" x14ac:dyDescent="0.2">
      <c r="A942" s="4" t="s">
        <v>55</v>
      </c>
      <c r="B942" s="4">
        <v>2014</v>
      </c>
      <c r="C942" s="4" t="s">
        <v>54</v>
      </c>
      <c r="D942" s="4">
        <v>1</v>
      </c>
      <c r="E942" s="4">
        <v>3</v>
      </c>
      <c r="F942" s="4">
        <v>1</v>
      </c>
      <c r="G942" s="6" t="str">
        <f t="shared" si="27"/>
        <v>31</v>
      </c>
      <c r="H942" s="5">
        <v>7.5</v>
      </c>
      <c r="I942" s="5">
        <v>178.44153322062553</v>
      </c>
      <c r="J942" s="5">
        <v>11199.443893758063</v>
      </c>
      <c r="K942" s="5">
        <v>1.25</v>
      </c>
      <c r="L942" s="5">
        <v>192.30340777683855</v>
      </c>
      <c r="M942" s="5">
        <v>12069.450352191005</v>
      </c>
      <c r="N942" s="5">
        <v>-500</v>
      </c>
      <c r="O942" s="5">
        <v>-13.861874556213024</v>
      </c>
      <c r="P942" s="5">
        <v>-870.00645843294114</v>
      </c>
      <c r="Q942" s="5">
        <v>-7.2083353677742767</v>
      </c>
    </row>
    <row r="943" spans="1:17" x14ac:dyDescent="0.2">
      <c r="A943" s="4" t="s">
        <v>55</v>
      </c>
      <c r="B943" s="4">
        <v>2014</v>
      </c>
      <c r="C943" s="4" t="s">
        <v>54</v>
      </c>
      <c r="D943" s="4">
        <v>2</v>
      </c>
      <c r="E943" s="4">
        <v>3</v>
      </c>
      <c r="F943" s="4">
        <v>1</v>
      </c>
      <c r="G943" s="6" t="str">
        <f t="shared" si="27"/>
        <v>31</v>
      </c>
      <c r="H943" s="5">
        <v>3.2</v>
      </c>
      <c r="I943" s="5">
        <v>189.81721065088757</v>
      </c>
      <c r="J943" s="5">
        <v>11913.410305244735</v>
      </c>
      <c r="K943" s="5">
        <v>1</v>
      </c>
      <c r="L943" s="5">
        <v>198.56594023668637</v>
      </c>
      <c r="M943" s="5">
        <v>12462.502797162921</v>
      </c>
      <c r="N943" s="5">
        <v>-220.00000000000003</v>
      </c>
      <c r="O943" s="5">
        <v>-8.7487295857987988</v>
      </c>
      <c r="P943" s="5">
        <v>-549.09249191818526</v>
      </c>
      <c r="Q943" s="5">
        <v>-4.4059568198707701</v>
      </c>
    </row>
    <row r="944" spans="1:17" x14ac:dyDescent="0.2">
      <c r="A944" s="4" t="s">
        <v>55</v>
      </c>
      <c r="B944" s="4">
        <v>2014</v>
      </c>
      <c r="C944" s="4" t="s">
        <v>54</v>
      </c>
      <c r="D944" s="4">
        <v>3</v>
      </c>
      <c r="E944" s="4">
        <v>3</v>
      </c>
      <c r="F944" s="4">
        <v>1</v>
      </c>
      <c r="G944" s="6" t="str">
        <f t="shared" si="27"/>
        <v>31</v>
      </c>
      <c r="H944" s="5">
        <v>3.2</v>
      </c>
      <c r="I944" s="5">
        <v>199.51787168216401</v>
      </c>
      <c r="J944" s="5">
        <v>12522.248432732804</v>
      </c>
      <c r="K944" s="5">
        <v>1</v>
      </c>
      <c r="L944" s="5">
        <v>209.85978157227387</v>
      </c>
      <c r="M944" s="5">
        <v>13171.332967471599</v>
      </c>
      <c r="N944" s="5">
        <v>-220.00000000000003</v>
      </c>
      <c r="O944" s="5">
        <v>-10.341909890109861</v>
      </c>
      <c r="P944" s="5">
        <v>-649.0845347387949</v>
      </c>
      <c r="Q944" s="5">
        <v>-4.9280094607113609</v>
      </c>
    </row>
    <row r="945" spans="1:17" x14ac:dyDescent="0.2">
      <c r="A945" s="4" t="s">
        <v>55</v>
      </c>
      <c r="B945" s="4">
        <v>2014</v>
      </c>
      <c r="C945" s="4" t="s">
        <v>54</v>
      </c>
      <c r="D945" s="4">
        <v>4</v>
      </c>
      <c r="E945" s="4">
        <v>3</v>
      </c>
      <c r="F945" s="4">
        <v>1</v>
      </c>
      <c r="G945" s="6" t="str">
        <f t="shared" si="27"/>
        <v>31</v>
      </c>
      <c r="H945" s="5">
        <v>3</v>
      </c>
      <c r="I945" s="5">
        <v>197.66592730346579</v>
      </c>
      <c r="J945" s="5">
        <v>12406.015699303265</v>
      </c>
      <c r="K945" s="5">
        <v>1</v>
      </c>
      <c r="L945" s="5">
        <v>196.11288258664413</v>
      </c>
      <c r="M945" s="5">
        <v>12308.54266790403</v>
      </c>
      <c r="N945" s="5">
        <v>-200</v>
      </c>
      <c r="O945" s="5">
        <v>1.5530447168216597</v>
      </c>
      <c r="P945" s="5">
        <v>97.473031399234969</v>
      </c>
      <c r="Q945" s="5">
        <v>0.79191366540416963</v>
      </c>
    </row>
    <row r="946" spans="1:17" x14ac:dyDescent="0.2">
      <c r="A946" s="4" t="s">
        <v>55</v>
      </c>
      <c r="B946" s="4">
        <v>2014</v>
      </c>
      <c r="C946" s="4" t="s">
        <v>54</v>
      </c>
      <c r="D946" s="4">
        <v>1</v>
      </c>
      <c r="E946" s="4">
        <v>4</v>
      </c>
      <c r="F946" s="4">
        <v>1</v>
      </c>
      <c r="G946" s="6" t="str">
        <f t="shared" si="27"/>
        <v>41</v>
      </c>
      <c r="H946" s="5">
        <v>2</v>
      </c>
      <c r="I946" s="5">
        <v>239.94674353338971</v>
      </c>
      <c r="J946" s="5">
        <v>15059.667125643929</v>
      </c>
      <c r="K946" s="5">
        <v>1.25</v>
      </c>
      <c r="L946" s="5">
        <v>192.30340777683855</v>
      </c>
      <c r="M946" s="5">
        <v>12069.450352191005</v>
      </c>
      <c r="N946" s="5">
        <v>-60</v>
      </c>
      <c r="O946" s="5">
        <v>47.643335756551153</v>
      </c>
      <c r="P946" s="5">
        <v>2990.2167734529248</v>
      </c>
      <c r="Q946" s="5">
        <v>24.77508657144525</v>
      </c>
    </row>
    <row r="947" spans="1:17" x14ac:dyDescent="0.2">
      <c r="A947" s="4" t="s">
        <v>55</v>
      </c>
      <c r="B947" s="4">
        <v>2014</v>
      </c>
      <c r="C947" s="4" t="s">
        <v>54</v>
      </c>
      <c r="D947" s="4">
        <v>2</v>
      </c>
      <c r="E947" s="4">
        <v>4</v>
      </c>
      <c r="F947" s="4">
        <v>1</v>
      </c>
      <c r="G947" s="6" t="str">
        <f t="shared" si="27"/>
        <v>41</v>
      </c>
      <c r="H947" s="5">
        <v>3.2</v>
      </c>
      <c r="I947" s="5">
        <v>202.84074852071009</v>
      </c>
      <c r="J947" s="5">
        <v>12730.80062373619</v>
      </c>
      <c r="K947" s="5">
        <v>1</v>
      </c>
      <c r="L947" s="5">
        <v>198.56594023668637</v>
      </c>
      <c r="M947" s="5">
        <v>12462.502797162921</v>
      </c>
      <c r="N947" s="5">
        <v>-220.00000000000003</v>
      </c>
      <c r="O947" s="5">
        <v>4.2748082840237203</v>
      </c>
      <c r="P947" s="5">
        <v>268.29782657326905</v>
      </c>
      <c r="Q947" s="5">
        <v>2.1528406527968591</v>
      </c>
    </row>
    <row r="948" spans="1:17" x14ac:dyDescent="0.2">
      <c r="A948" s="4" t="s">
        <v>55</v>
      </c>
      <c r="B948" s="4">
        <v>2014</v>
      </c>
      <c r="C948" s="4" t="s">
        <v>54</v>
      </c>
      <c r="D948" s="4">
        <v>3</v>
      </c>
      <c r="E948" s="4">
        <v>4</v>
      </c>
      <c r="F948" s="4">
        <v>1</v>
      </c>
      <c r="G948" s="6" t="str">
        <f t="shared" si="27"/>
        <v>41</v>
      </c>
      <c r="H948" s="5">
        <v>0.2</v>
      </c>
      <c r="I948" s="5">
        <v>199.08043060016908</v>
      </c>
      <c r="J948" s="5">
        <v>12494.793519259438</v>
      </c>
      <c r="K948" s="5">
        <v>1</v>
      </c>
      <c r="L948" s="5">
        <v>209.85978157227387</v>
      </c>
      <c r="M948" s="5">
        <v>13171.332967471599</v>
      </c>
      <c r="N948" s="5">
        <v>80</v>
      </c>
      <c r="O948" s="5">
        <v>-10.779350972104794</v>
      </c>
      <c r="P948" s="5">
        <v>-676.53944821216101</v>
      </c>
      <c r="Q948" s="5">
        <v>-5.1364539176328421</v>
      </c>
    </row>
    <row r="949" spans="1:17" x14ac:dyDescent="0.2">
      <c r="A949" s="4" t="s">
        <v>55</v>
      </c>
      <c r="B949" s="4">
        <v>2014</v>
      </c>
      <c r="C949" s="4" t="s">
        <v>54</v>
      </c>
      <c r="D949" s="4">
        <v>4</v>
      </c>
      <c r="E949" s="4">
        <v>4</v>
      </c>
      <c r="F949" s="4">
        <v>1</v>
      </c>
      <c r="G949" s="6" t="str">
        <f t="shared" si="27"/>
        <v>41</v>
      </c>
      <c r="H949" s="5">
        <v>0</v>
      </c>
      <c r="I949" s="5">
        <v>165.33652747252748</v>
      </c>
      <c r="J949" s="5">
        <v>10376.940444285145</v>
      </c>
      <c r="K949" s="5">
        <v>1</v>
      </c>
      <c r="L949" s="5">
        <v>196.11288258664413</v>
      </c>
      <c r="M949" s="5">
        <v>12308.54266790403</v>
      </c>
      <c r="N949" s="5">
        <v>100</v>
      </c>
      <c r="O949" s="5">
        <v>-30.776355114116654</v>
      </c>
      <c r="P949" s="5">
        <v>-1931.6022236188855</v>
      </c>
      <c r="Q949" s="5">
        <v>-15.69318379710187</v>
      </c>
    </row>
    <row r="950" spans="1:17" x14ac:dyDescent="0.2">
      <c r="A950" s="4" t="s">
        <v>55</v>
      </c>
      <c r="B950" s="4">
        <v>2014</v>
      </c>
      <c r="C950" s="4" t="s">
        <v>54</v>
      </c>
      <c r="D950" s="4">
        <v>1</v>
      </c>
      <c r="E950" s="4">
        <v>5</v>
      </c>
      <c r="F950" s="4">
        <v>1</v>
      </c>
      <c r="G950" s="6" t="str">
        <f t="shared" si="27"/>
        <v>51</v>
      </c>
      <c r="H950" s="5">
        <v>1.6</v>
      </c>
      <c r="I950" s="5">
        <v>204.75519763313611</v>
      </c>
      <c r="J950" s="5">
        <v>12850.956313026087</v>
      </c>
      <c r="K950" s="5">
        <v>1.25</v>
      </c>
      <c r="L950" s="5">
        <v>192.30340777683855</v>
      </c>
      <c r="M950" s="5">
        <v>12069.450352191005</v>
      </c>
      <c r="N950" s="5">
        <v>-28.000000000000007</v>
      </c>
      <c r="O950" s="5">
        <v>12.451789856297552</v>
      </c>
      <c r="P950" s="5">
        <v>781.50596083508208</v>
      </c>
      <c r="Q950" s="5">
        <v>6.4750749870992497</v>
      </c>
    </row>
    <row r="951" spans="1:17" x14ac:dyDescent="0.2">
      <c r="A951" s="4" t="s">
        <v>55</v>
      </c>
      <c r="B951" s="4">
        <v>2014</v>
      </c>
      <c r="C951" s="4" t="s">
        <v>54</v>
      </c>
      <c r="D951" s="4">
        <v>2</v>
      </c>
      <c r="E951" s="4">
        <v>5</v>
      </c>
      <c r="F951" s="4">
        <v>1</v>
      </c>
      <c r="G951" s="6" t="str">
        <f t="shared" si="27"/>
        <v>51</v>
      </c>
      <c r="H951" s="5">
        <v>1.7</v>
      </c>
      <c r="I951" s="5">
        <v>177.53332747252747</v>
      </c>
      <c r="J951" s="5">
        <v>11142.442594025693</v>
      </c>
      <c r="K951" s="5">
        <v>1</v>
      </c>
      <c r="L951" s="5">
        <v>198.56594023668637</v>
      </c>
      <c r="M951" s="5">
        <v>12462.502797162921</v>
      </c>
      <c r="N951" s="5">
        <v>-70</v>
      </c>
      <c r="O951" s="5">
        <v>-21.032612764158898</v>
      </c>
      <c r="P951" s="5">
        <v>-1320.0602031372273</v>
      </c>
      <c r="Q951" s="5">
        <v>-10.592256022905271</v>
      </c>
    </row>
    <row r="952" spans="1:17" x14ac:dyDescent="0.2">
      <c r="A952" s="4" t="s">
        <v>55</v>
      </c>
      <c r="B952" s="4">
        <v>2014</v>
      </c>
      <c r="C952" s="4" t="s">
        <v>54</v>
      </c>
      <c r="D952" s="4">
        <v>3</v>
      </c>
      <c r="E952" s="4">
        <v>5</v>
      </c>
      <c r="F952" s="4">
        <v>1</v>
      </c>
      <c r="G952" s="6" t="str">
        <f t="shared" si="27"/>
        <v>51</v>
      </c>
      <c r="H952" s="5">
        <v>0.5</v>
      </c>
      <c r="I952" s="5">
        <v>205.61553524936602</v>
      </c>
      <c r="J952" s="5">
        <v>12904.953287210024</v>
      </c>
      <c r="K952" s="5">
        <v>1</v>
      </c>
      <c r="L952" s="5">
        <v>209.85978157227387</v>
      </c>
      <c r="M952" s="5">
        <v>13171.332967471599</v>
      </c>
      <c r="N952" s="5">
        <v>50</v>
      </c>
      <c r="O952" s="5">
        <v>-4.2442463229078555</v>
      </c>
      <c r="P952" s="5">
        <v>-266.37968026157432</v>
      </c>
      <c r="Q952" s="5">
        <v>-2.0224200611998437</v>
      </c>
    </row>
    <row r="953" spans="1:17" x14ac:dyDescent="0.2">
      <c r="A953" s="4" t="s">
        <v>55</v>
      </c>
      <c r="B953" s="4">
        <v>2014</v>
      </c>
      <c r="C953" s="4" t="s">
        <v>54</v>
      </c>
      <c r="D953" s="4">
        <v>4</v>
      </c>
      <c r="E953" s="4">
        <v>5</v>
      </c>
      <c r="F953" s="4">
        <v>1</v>
      </c>
      <c r="G953" s="6" t="str">
        <f t="shared" si="27"/>
        <v>51</v>
      </c>
      <c r="H953" s="5">
        <v>2.5</v>
      </c>
      <c r="I953" s="5">
        <v>177.71964497041421</v>
      </c>
      <c r="J953" s="5">
        <v>11154.136353468053</v>
      </c>
      <c r="K953" s="5">
        <v>1</v>
      </c>
      <c r="L953" s="5">
        <v>196.11288258664413</v>
      </c>
      <c r="M953" s="5">
        <v>12308.54266790403</v>
      </c>
      <c r="N953" s="5">
        <v>-150</v>
      </c>
      <c r="O953" s="5">
        <v>-18.393237616229925</v>
      </c>
      <c r="P953" s="5">
        <v>-1154.406314435977</v>
      </c>
      <c r="Q953" s="5">
        <v>-9.3789032997889095</v>
      </c>
    </row>
    <row r="954" spans="1:17" x14ac:dyDescent="0.2">
      <c r="A954" s="4" t="s">
        <v>55</v>
      </c>
      <c r="B954" s="4">
        <v>2014</v>
      </c>
      <c r="C954" s="4" t="s">
        <v>54</v>
      </c>
      <c r="D954" s="4">
        <v>1</v>
      </c>
      <c r="E954" s="4">
        <v>6</v>
      </c>
      <c r="F954" s="4">
        <v>1</v>
      </c>
      <c r="G954" s="6" t="str">
        <f t="shared" si="27"/>
        <v>61</v>
      </c>
      <c r="H954" s="5">
        <v>0.5</v>
      </c>
      <c r="I954" s="5">
        <v>216.04342366863904</v>
      </c>
      <c r="J954" s="5">
        <v>13559.434052837736</v>
      </c>
      <c r="K954" s="5">
        <v>1.25</v>
      </c>
      <c r="L954" s="5">
        <v>192.30340777683855</v>
      </c>
      <c r="M954" s="5">
        <v>12069.450352191005</v>
      </c>
      <c r="N954" s="5">
        <v>60</v>
      </c>
      <c r="O954" s="5">
        <v>23.740015891800482</v>
      </c>
      <c r="P954" s="5">
        <v>1489.9837006467314</v>
      </c>
      <c r="Q954" s="5">
        <v>12.345083306765915</v>
      </c>
    </row>
    <row r="955" spans="1:17" x14ac:dyDescent="0.2">
      <c r="A955" s="4" t="s">
        <v>55</v>
      </c>
      <c r="B955" s="4">
        <v>2014</v>
      </c>
      <c r="C955" s="4" t="s">
        <v>54</v>
      </c>
      <c r="D955" s="4">
        <v>2</v>
      </c>
      <c r="E955" s="4">
        <v>6</v>
      </c>
      <c r="F955" s="4">
        <v>1</v>
      </c>
      <c r="G955" s="6" t="str">
        <f t="shared" si="27"/>
        <v>61</v>
      </c>
      <c r="H955" s="5">
        <v>2</v>
      </c>
      <c r="I955" s="5">
        <v>184.06659103972953</v>
      </c>
      <c r="J955" s="5">
        <v>11552.486810993649</v>
      </c>
      <c r="K955" s="5">
        <v>1</v>
      </c>
      <c r="L955" s="5">
        <v>198.56594023668637</v>
      </c>
      <c r="M955" s="5">
        <v>12462.502797162921</v>
      </c>
      <c r="N955" s="5">
        <v>-100</v>
      </c>
      <c r="O955" s="5">
        <v>-14.499349196956842</v>
      </c>
      <c r="P955" s="5">
        <v>-910.01598616927186</v>
      </c>
      <c r="Q955" s="5">
        <v>-7.3020323524134847</v>
      </c>
    </row>
    <row r="956" spans="1:17" x14ac:dyDescent="0.2">
      <c r="A956" s="4" t="s">
        <v>55</v>
      </c>
      <c r="B956" s="4">
        <v>2014</v>
      </c>
      <c r="C956" s="4" t="s">
        <v>54</v>
      </c>
      <c r="D956" s="4">
        <v>3</v>
      </c>
      <c r="E956" s="4">
        <v>6</v>
      </c>
      <c r="F956" s="4">
        <v>1</v>
      </c>
      <c r="G956" s="6" t="str">
        <f t="shared" si="27"/>
        <v>61</v>
      </c>
      <c r="H956" s="5">
        <v>0.7</v>
      </c>
      <c r="I956" s="5">
        <v>158.51780414201181</v>
      </c>
      <c r="J956" s="5">
        <v>9948.9800474600943</v>
      </c>
      <c r="K956" s="5">
        <v>1</v>
      </c>
      <c r="L956" s="5">
        <v>209.85978157227387</v>
      </c>
      <c r="M956" s="5">
        <v>13171.332967471599</v>
      </c>
      <c r="N956" s="5">
        <v>30.000000000000004</v>
      </c>
      <c r="O956" s="5">
        <v>-51.341977430262062</v>
      </c>
      <c r="P956" s="5">
        <v>-3222.3529200115045</v>
      </c>
      <c r="Q956" s="5">
        <v>-24.464896058504813</v>
      </c>
    </row>
    <row r="957" spans="1:17" x14ac:dyDescent="0.2">
      <c r="A957" s="4" t="s">
        <v>55</v>
      </c>
      <c r="B957" s="4">
        <v>2014</v>
      </c>
      <c r="C957" s="4" t="s">
        <v>54</v>
      </c>
      <c r="D957" s="4">
        <v>4</v>
      </c>
      <c r="E957" s="4">
        <v>6</v>
      </c>
      <c r="F957" s="4">
        <v>1</v>
      </c>
      <c r="G957" s="6" t="str">
        <f t="shared" si="27"/>
        <v>61</v>
      </c>
      <c r="H957" s="5">
        <v>0</v>
      </c>
      <c r="I957" s="5">
        <v>201.70839103972952</v>
      </c>
      <c r="J957" s="5">
        <v>12659.730991868371</v>
      </c>
      <c r="K957" s="5">
        <v>1</v>
      </c>
      <c r="L957" s="5">
        <v>196.11288258664413</v>
      </c>
      <c r="M957" s="5">
        <v>12308.54266790403</v>
      </c>
      <c r="N957" s="5">
        <v>100</v>
      </c>
      <c r="O957" s="5">
        <v>5.5955084530853867</v>
      </c>
      <c r="P957" s="5">
        <v>351.18832396434118</v>
      </c>
      <c r="Q957" s="5">
        <v>2.8532079990274233</v>
      </c>
    </row>
    <row r="958" spans="1:17" x14ac:dyDescent="0.2">
      <c r="A958" s="4" t="s">
        <v>55</v>
      </c>
      <c r="B958" s="4">
        <v>2014</v>
      </c>
      <c r="C958" s="4" t="s">
        <v>54</v>
      </c>
      <c r="D958" s="4">
        <v>1</v>
      </c>
      <c r="E958" s="4">
        <v>7</v>
      </c>
      <c r="F958" s="4">
        <v>2</v>
      </c>
      <c r="G958" s="6" t="str">
        <f t="shared" si="27"/>
        <v>72</v>
      </c>
      <c r="H958" s="5">
        <v>0</v>
      </c>
      <c r="I958" s="5">
        <v>165.9026601859679</v>
      </c>
      <c r="J958" s="5">
        <v>10412.472371444488</v>
      </c>
      <c r="K958" s="5">
        <v>1.25</v>
      </c>
      <c r="L958" s="5">
        <v>192.30340777683855</v>
      </c>
      <c r="M958" s="5">
        <v>12069.450352191005</v>
      </c>
      <c r="N958" s="5">
        <v>100</v>
      </c>
      <c r="O958" s="5">
        <v>-26.400747590870651</v>
      </c>
      <c r="P958" s="5">
        <v>-1656.9779807465166</v>
      </c>
      <c r="Q958" s="5">
        <v>-13.728694616534218</v>
      </c>
    </row>
    <row r="959" spans="1:17" x14ac:dyDescent="0.2">
      <c r="A959" s="4" t="s">
        <v>55</v>
      </c>
      <c r="B959" s="4">
        <v>2014</v>
      </c>
      <c r="C959" s="4" t="s">
        <v>54</v>
      </c>
      <c r="D959" s="4">
        <v>2</v>
      </c>
      <c r="E959" s="4">
        <v>7</v>
      </c>
      <c r="F959" s="4">
        <v>2</v>
      </c>
      <c r="G959" s="6" t="str">
        <f t="shared" si="27"/>
        <v>72</v>
      </c>
      <c r="H959" s="5">
        <v>0.5</v>
      </c>
      <c r="I959" s="5">
        <v>181.89245731191886</v>
      </c>
      <c r="J959" s="5">
        <v>11416.032655603507</v>
      </c>
      <c r="K959" s="5">
        <v>1</v>
      </c>
      <c r="L959" s="5">
        <v>198.56594023668637</v>
      </c>
      <c r="M959" s="5">
        <v>12462.502797162921</v>
      </c>
      <c r="N959" s="5">
        <v>50</v>
      </c>
      <c r="O959" s="5">
        <v>-16.673482924767512</v>
      </c>
      <c r="P959" s="5">
        <v>-1046.4701415594136</v>
      </c>
      <c r="Q959" s="5">
        <v>-8.3969501037756373</v>
      </c>
    </row>
    <row r="960" spans="1:17" x14ac:dyDescent="0.2">
      <c r="A960" s="4" t="s">
        <v>55</v>
      </c>
      <c r="B960" s="4">
        <v>2014</v>
      </c>
      <c r="C960" s="4" t="s">
        <v>54</v>
      </c>
      <c r="D960" s="4">
        <v>3</v>
      </c>
      <c r="E960" s="4">
        <v>7</v>
      </c>
      <c r="F960" s="4">
        <v>2</v>
      </c>
      <c r="G960" s="6" t="str">
        <f t="shared" si="27"/>
        <v>72</v>
      </c>
      <c r="H960" s="5">
        <v>0.5</v>
      </c>
      <c r="I960" s="5">
        <v>196.35470870667794</v>
      </c>
      <c r="J960" s="5">
        <v>12323.720289472743</v>
      </c>
      <c r="K960" s="5">
        <v>1</v>
      </c>
      <c r="L960" s="5">
        <v>209.85978157227387</v>
      </c>
      <c r="M960" s="5">
        <v>13171.332967471599</v>
      </c>
      <c r="N960" s="5">
        <v>50</v>
      </c>
      <c r="O960" s="5">
        <v>-13.505072865595935</v>
      </c>
      <c r="P960" s="5">
        <v>-847.61267799885536</v>
      </c>
      <c r="Q960" s="5">
        <v>-6.4352839617079782</v>
      </c>
    </row>
    <row r="961" spans="1:17" x14ac:dyDescent="0.2">
      <c r="A961" s="4" t="s">
        <v>55</v>
      </c>
      <c r="B961" s="4">
        <v>2014</v>
      </c>
      <c r="C961" s="4" t="s">
        <v>54</v>
      </c>
      <c r="D961" s="4">
        <v>4</v>
      </c>
      <c r="E961" s="4">
        <v>7</v>
      </c>
      <c r="F961" s="4">
        <v>2</v>
      </c>
      <c r="G961" s="6" t="str">
        <f t="shared" si="27"/>
        <v>72</v>
      </c>
      <c r="H961" s="5">
        <v>4.4000000000000004</v>
      </c>
      <c r="I961" s="5">
        <v>184.16021005917159</v>
      </c>
      <c r="J961" s="5">
        <v>11558.362578460485</v>
      </c>
      <c r="K961" s="5">
        <v>1</v>
      </c>
      <c r="L961" s="5">
        <v>196.11288258664413</v>
      </c>
      <c r="M961" s="5">
        <v>12308.54266790403</v>
      </c>
      <c r="N961" s="5">
        <v>-340.00000000000006</v>
      </c>
      <c r="O961" s="5">
        <v>-11.952672527472544</v>
      </c>
      <c r="P961" s="5">
        <v>-750.18008944354551</v>
      </c>
      <c r="Q961" s="5">
        <v>-6.0947921267700371</v>
      </c>
    </row>
    <row r="962" spans="1:17" x14ac:dyDescent="0.2">
      <c r="A962" s="4" t="s">
        <v>55</v>
      </c>
      <c r="B962" s="4">
        <v>2014</v>
      </c>
      <c r="C962" s="4" t="s">
        <v>54</v>
      </c>
      <c r="D962" s="4">
        <v>1</v>
      </c>
      <c r="E962" s="4">
        <v>8</v>
      </c>
      <c r="F962" s="4">
        <v>2</v>
      </c>
      <c r="G962" s="6" t="str">
        <f t="shared" ref="G962:G1025" si="28">E962&amp;F962</f>
        <v>82</v>
      </c>
      <c r="H962" s="5">
        <v>5</v>
      </c>
      <c r="I962" s="5">
        <v>223.7349119188504</v>
      </c>
      <c r="J962" s="5">
        <v>14042.171392979491</v>
      </c>
      <c r="K962" s="5">
        <v>1.25</v>
      </c>
      <c r="L962" s="5">
        <v>192.30340777683855</v>
      </c>
      <c r="M962" s="5">
        <v>12069.450352191005</v>
      </c>
      <c r="N962" s="5">
        <v>-300</v>
      </c>
      <c r="O962" s="5">
        <v>31.431504142011846</v>
      </c>
      <c r="P962" s="5">
        <v>1972.7210407884868</v>
      </c>
      <c r="Q962" s="5">
        <v>16.34474630760938</v>
      </c>
    </row>
    <row r="963" spans="1:17" x14ac:dyDescent="0.2">
      <c r="A963" s="4" t="s">
        <v>55</v>
      </c>
      <c r="B963" s="4">
        <v>2014</v>
      </c>
      <c r="C963" s="4" t="s">
        <v>54</v>
      </c>
      <c r="D963" s="4">
        <v>2</v>
      </c>
      <c r="E963" s="4">
        <v>8</v>
      </c>
      <c r="F963" s="4">
        <v>2</v>
      </c>
      <c r="G963" s="6" t="str">
        <f t="shared" si="28"/>
        <v>82</v>
      </c>
      <c r="H963" s="5">
        <v>3.5</v>
      </c>
      <c r="I963" s="5">
        <v>177.6563117497887</v>
      </c>
      <c r="J963" s="5">
        <v>11150.161399665512</v>
      </c>
      <c r="K963" s="5">
        <v>1</v>
      </c>
      <c r="L963" s="5">
        <v>198.56594023668637</v>
      </c>
      <c r="M963" s="5">
        <v>12462.502797162921</v>
      </c>
      <c r="N963" s="5">
        <v>-250</v>
      </c>
      <c r="O963" s="5">
        <v>-20.909628486897674</v>
      </c>
      <c r="P963" s="5">
        <v>-1312.3413974974083</v>
      </c>
      <c r="Q963" s="5">
        <v>-10.530319782926442</v>
      </c>
    </row>
    <row r="964" spans="1:17" x14ac:dyDescent="0.2">
      <c r="A964" s="4" t="s">
        <v>55</v>
      </c>
      <c r="B964" s="4">
        <v>2014</v>
      </c>
      <c r="C964" s="4" t="s">
        <v>54</v>
      </c>
      <c r="D964" s="4">
        <v>3</v>
      </c>
      <c r="E964" s="4">
        <v>8</v>
      </c>
      <c r="F964" s="4">
        <v>2</v>
      </c>
      <c r="G964" s="6" t="str">
        <f t="shared" si="28"/>
        <v>82</v>
      </c>
      <c r="H964" s="5">
        <v>2</v>
      </c>
      <c r="I964" s="5">
        <v>174.10265528317839</v>
      </c>
      <c r="J964" s="5">
        <v>10927.124892989204</v>
      </c>
      <c r="K964" s="5">
        <v>1</v>
      </c>
      <c r="L964" s="5">
        <v>209.85978157227387</v>
      </c>
      <c r="M964" s="5">
        <v>13171.332967471599</v>
      </c>
      <c r="N964" s="5">
        <v>-100</v>
      </c>
      <c r="O964" s="5">
        <v>-35.757126289095481</v>
      </c>
      <c r="P964" s="5">
        <v>-2244.2080744823943</v>
      </c>
      <c r="Q964" s="5">
        <v>-17.038579770360158</v>
      </c>
    </row>
    <row r="965" spans="1:17" x14ac:dyDescent="0.2">
      <c r="A965" s="4" t="s">
        <v>55</v>
      </c>
      <c r="B965" s="4">
        <v>2014</v>
      </c>
      <c r="C965" s="4" t="s">
        <v>54</v>
      </c>
      <c r="D965" s="4">
        <v>4</v>
      </c>
      <c r="E965" s="4">
        <v>8</v>
      </c>
      <c r="F965" s="4">
        <v>2</v>
      </c>
      <c r="G965" s="6" t="str">
        <f t="shared" si="28"/>
        <v>82</v>
      </c>
      <c r="H965" s="5">
        <v>0</v>
      </c>
      <c r="I965" s="5">
        <v>205.9369881656805</v>
      </c>
      <c r="J965" s="5">
        <v>12925.128488777575</v>
      </c>
      <c r="K965" s="5">
        <v>1</v>
      </c>
      <c r="L965" s="5">
        <v>196.11288258664413</v>
      </c>
      <c r="M965" s="5">
        <v>12308.54266790403</v>
      </c>
      <c r="N965" s="5">
        <v>100</v>
      </c>
      <c r="O965" s="5">
        <v>9.8241055790363703</v>
      </c>
      <c r="P965" s="5">
        <v>616.58582087354444</v>
      </c>
      <c r="Q965" s="5">
        <v>5.0094136853533797</v>
      </c>
    </row>
    <row r="966" spans="1:17" x14ac:dyDescent="0.2">
      <c r="A966" s="4" t="s">
        <v>55</v>
      </c>
      <c r="B966" s="4">
        <v>2014</v>
      </c>
      <c r="C966" s="4" t="s">
        <v>54</v>
      </c>
      <c r="D966" s="4">
        <v>1</v>
      </c>
      <c r="E966" s="4">
        <v>9</v>
      </c>
      <c r="F966" s="4">
        <v>2</v>
      </c>
      <c r="G966" s="6" t="str">
        <f t="shared" si="28"/>
        <v>92</v>
      </c>
      <c r="H966" s="5">
        <v>0</v>
      </c>
      <c r="I966" s="5">
        <v>168.56063026204563</v>
      </c>
      <c r="J966" s="5">
        <v>10579.293325070321</v>
      </c>
      <c r="K966" s="5">
        <v>1.25</v>
      </c>
      <c r="L966" s="5">
        <v>192.30340777683855</v>
      </c>
      <c r="M966" s="5">
        <v>12069.450352191005</v>
      </c>
      <c r="N966" s="5">
        <v>100</v>
      </c>
      <c r="O966" s="5">
        <v>-23.74277751479292</v>
      </c>
      <c r="P966" s="5">
        <v>-1490.1570271206838</v>
      </c>
      <c r="Q966" s="5">
        <v>-12.346519382717135</v>
      </c>
    </row>
    <row r="967" spans="1:17" x14ac:dyDescent="0.2">
      <c r="A967" s="4" t="s">
        <v>55</v>
      </c>
      <c r="B967" s="4">
        <v>2014</v>
      </c>
      <c r="C967" s="4" t="s">
        <v>54</v>
      </c>
      <c r="D967" s="4">
        <v>2</v>
      </c>
      <c r="E967" s="4">
        <v>9</v>
      </c>
      <c r="F967" s="4">
        <v>2</v>
      </c>
      <c r="G967" s="6" t="str">
        <f t="shared" si="28"/>
        <v>92</v>
      </c>
      <c r="H967" s="5">
        <v>0</v>
      </c>
      <c r="I967" s="5">
        <v>189.44291868131867</v>
      </c>
      <c r="J967" s="5">
        <v>11889.918790475647</v>
      </c>
      <c r="K967" s="5">
        <v>1</v>
      </c>
      <c r="L967" s="5">
        <v>198.56594023668637</v>
      </c>
      <c r="M967" s="5">
        <v>12462.502797162921</v>
      </c>
      <c r="N967" s="5">
        <v>100</v>
      </c>
      <c r="O967" s="5">
        <v>-9.1230215553676999</v>
      </c>
      <c r="P967" s="5">
        <v>-572.58400668727336</v>
      </c>
      <c r="Q967" s="5">
        <v>-4.5944543885488365</v>
      </c>
    </row>
    <row r="968" spans="1:17" x14ac:dyDescent="0.2">
      <c r="A968" s="4" t="s">
        <v>55</v>
      </c>
      <c r="B968" s="4">
        <v>2014</v>
      </c>
      <c r="C968" s="4" t="s">
        <v>54</v>
      </c>
      <c r="D968" s="4">
        <v>3</v>
      </c>
      <c r="E968" s="4">
        <v>9</v>
      </c>
      <c r="F968" s="4">
        <v>2</v>
      </c>
      <c r="G968" s="6" t="str">
        <f t="shared" si="28"/>
        <v>92</v>
      </c>
      <c r="H968" s="5">
        <v>1</v>
      </c>
      <c r="I968" s="5">
        <v>169.34548351648354</v>
      </c>
      <c r="J968" s="5">
        <v>10628.55270896635</v>
      </c>
      <c r="K968" s="5">
        <v>1</v>
      </c>
      <c r="L968" s="5">
        <v>209.85978157227387</v>
      </c>
      <c r="M968" s="5">
        <v>13171.332967471599</v>
      </c>
      <c r="N968" s="5">
        <v>0</v>
      </c>
      <c r="O968" s="5">
        <v>-40.514298055790334</v>
      </c>
      <c r="P968" s="5">
        <v>-2542.7802585052486</v>
      </c>
      <c r="Q968" s="5">
        <v>-19.305413239381245</v>
      </c>
    </row>
    <row r="969" spans="1:17" x14ac:dyDescent="0.2">
      <c r="A969" s="4" t="s">
        <v>55</v>
      </c>
      <c r="B969" s="4">
        <v>2014</v>
      </c>
      <c r="C969" s="4" t="s">
        <v>54</v>
      </c>
      <c r="D969" s="4">
        <v>4</v>
      </c>
      <c r="E969" s="4">
        <v>9</v>
      </c>
      <c r="F969" s="4">
        <v>2</v>
      </c>
      <c r="G969" s="6" t="str">
        <f t="shared" si="28"/>
        <v>92</v>
      </c>
      <c r="H969" s="5">
        <v>0.5</v>
      </c>
      <c r="I969" s="5">
        <v>200.67388706677937</v>
      </c>
      <c r="J969" s="5">
        <v>12594.802894727443</v>
      </c>
      <c r="K969" s="5">
        <v>1</v>
      </c>
      <c r="L969" s="5">
        <v>196.11288258664413</v>
      </c>
      <c r="M969" s="5">
        <v>12308.54266790403</v>
      </c>
      <c r="N969" s="5">
        <v>50</v>
      </c>
      <c r="O969" s="5">
        <v>4.5610044801352387</v>
      </c>
      <c r="P969" s="5">
        <v>286.26022682341318</v>
      </c>
      <c r="Q969" s="5">
        <v>2.3257036559646522</v>
      </c>
    </row>
    <row r="970" spans="1:17" x14ac:dyDescent="0.2">
      <c r="A970" s="4" t="s">
        <v>55</v>
      </c>
      <c r="B970" s="4">
        <v>2014</v>
      </c>
      <c r="C970" s="4" t="s">
        <v>54</v>
      </c>
      <c r="D970" s="4">
        <v>1</v>
      </c>
      <c r="E970" s="4">
        <v>10</v>
      </c>
      <c r="F970" s="4">
        <v>2</v>
      </c>
      <c r="G970" s="6" t="str">
        <f t="shared" si="28"/>
        <v>102</v>
      </c>
      <c r="H970" s="5">
        <v>1.2</v>
      </c>
      <c r="I970" s="5">
        <v>185.09722874049027</v>
      </c>
      <c r="J970" s="5">
        <v>11617.172251071046</v>
      </c>
      <c r="K970" s="5">
        <v>1.25</v>
      </c>
      <c r="L970" s="5">
        <v>192.30340777683855</v>
      </c>
      <c r="M970" s="5">
        <v>12069.450352191005</v>
      </c>
      <c r="N970" s="5">
        <v>4.0000000000000036</v>
      </c>
      <c r="O970" s="5">
        <v>-7.2061790363482885</v>
      </c>
      <c r="P970" s="5">
        <v>-452.27810111995859</v>
      </c>
      <c r="Q970" s="5">
        <v>-3.7472965870219199</v>
      </c>
    </row>
    <row r="971" spans="1:17" x14ac:dyDescent="0.2">
      <c r="A971" s="4" t="s">
        <v>55</v>
      </c>
      <c r="B971" s="4">
        <v>2014</v>
      </c>
      <c r="C971" s="4" t="s">
        <v>54</v>
      </c>
      <c r="D971" s="4">
        <v>2</v>
      </c>
      <c r="E971" s="4">
        <v>10</v>
      </c>
      <c r="F971" s="4">
        <v>2</v>
      </c>
      <c r="G971" s="6" t="str">
        <f t="shared" si="28"/>
        <v>102</v>
      </c>
      <c r="H971" s="5">
        <v>1</v>
      </c>
      <c r="I971" s="5">
        <v>205.16631124260357</v>
      </c>
      <c r="J971" s="5">
        <v>12876.758847447814</v>
      </c>
      <c r="K971" s="5">
        <v>1</v>
      </c>
      <c r="L971" s="5">
        <v>198.56594023668637</v>
      </c>
      <c r="M971" s="5">
        <v>12462.502797162921</v>
      </c>
      <c r="N971" s="5">
        <v>0</v>
      </c>
      <c r="O971" s="5">
        <v>6.6003710059171965</v>
      </c>
      <c r="P971" s="5">
        <v>414.25605028489372</v>
      </c>
      <c r="Q971" s="5">
        <v>3.3240197176059914</v>
      </c>
    </row>
    <row r="972" spans="1:17" x14ac:dyDescent="0.2">
      <c r="A972" s="4" t="s">
        <v>55</v>
      </c>
      <c r="B972" s="4">
        <v>2014</v>
      </c>
      <c r="C972" s="4" t="s">
        <v>54</v>
      </c>
      <c r="D972" s="4">
        <v>3</v>
      </c>
      <c r="E972" s="4">
        <v>10</v>
      </c>
      <c r="F972" s="4">
        <v>2</v>
      </c>
      <c r="G972" s="6" t="str">
        <f t="shared" si="28"/>
        <v>102</v>
      </c>
      <c r="H972" s="5">
        <v>1</v>
      </c>
      <c r="I972" s="5">
        <v>169.45318681318685</v>
      </c>
      <c r="J972" s="5">
        <v>10635.312441450324</v>
      </c>
      <c r="K972" s="5">
        <v>1</v>
      </c>
      <c r="L972" s="5">
        <v>209.85978157227387</v>
      </c>
      <c r="M972" s="5">
        <v>13171.332967471599</v>
      </c>
      <c r="N972" s="5">
        <v>0</v>
      </c>
      <c r="O972" s="5">
        <v>-40.406594759087028</v>
      </c>
      <c r="P972" s="5">
        <v>-2536.0205260212751</v>
      </c>
      <c r="Q972" s="5">
        <v>-19.254091687487694</v>
      </c>
    </row>
    <row r="973" spans="1:17" x14ac:dyDescent="0.2">
      <c r="A973" s="4" t="s">
        <v>55</v>
      </c>
      <c r="B973" s="4">
        <v>2014</v>
      </c>
      <c r="C973" s="4" t="s">
        <v>54</v>
      </c>
      <c r="D973" s="4">
        <v>4</v>
      </c>
      <c r="E973" s="4">
        <v>10</v>
      </c>
      <c r="F973" s="4">
        <v>2</v>
      </c>
      <c r="G973" s="6" t="str">
        <f t="shared" si="28"/>
        <v>102</v>
      </c>
      <c r="H973" s="5">
        <v>0.5</v>
      </c>
      <c r="I973" s="5">
        <v>190.62839137785292</v>
      </c>
      <c r="J973" s="5">
        <v>11964.322068192399</v>
      </c>
      <c r="K973" s="5">
        <v>1</v>
      </c>
      <c r="L973" s="5">
        <v>196.11288258664413</v>
      </c>
      <c r="M973" s="5">
        <v>12308.54266790403</v>
      </c>
      <c r="N973" s="5">
        <v>50</v>
      </c>
      <c r="O973" s="5">
        <v>-5.4844912087912121</v>
      </c>
      <c r="P973" s="5">
        <v>-344.22059971163071</v>
      </c>
      <c r="Q973" s="5">
        <v>-2.7965991506795222</v>
      </c>
    </row>
    <row r="974" spans="1:17" x14ac:dyDescent="0.2">
      <c r="A974" s="4" t="s">
        <v>55</v>
      </c>
      <c r="B974" s="4">
        <v>2014</v>
      </c>
      <c r="C974" s="4" t="s">
        <v>54</v>
      </c>
      <c r="D974" s="4">
        <v>1</v>
      </c>
      <c r="E974" s="4">
        <v>11</v>
      </c>
      <c r="F974" s="4">
        <v>2</v>
      </c>
      <c r="G974" s="6" t="str">
        <f t="shared" si="28"/>
        <v>112</v>
      </c>
      <c r="H974" s="5">
        <v>4</v>
      </c>
      <c r="I974" s="5">
        <v>176.97078486897718</v>
      </c>
      <c r="J974" s="5">
        <v>11107.135991282481</v>
      </c>
      <c r="K974" s="5">
        <v>1.25</v>
      </c>
      <c r="L974" s="5">
        <v>192.30340777683855</v>
      </c>
      <c r="M974" s="5">
        <v>12069.450352191005</v>
      </c>
      <c r="N974" s="5">
        <v>-220.00000000000003</v>
      </c>
      <c r="O974" s="5">
        <v>-15.332622907861378</v>
      </c>
      <c r="P974" s="5">
        <v>-962.31436090852367</v>
      </c>
      <c r="Q974" s="5">
        <v>-7.9731415501769858</v>
      </c>
    </row>
    <row r="975" spans="1:17" x14ac:dyDescent="0.2">
      <c r="A975" s="4" t="s">
        <v>55</v>
      </c>
      <c r="B975" s="4">
        <v>2014</v>
      </c>
      <c r="C975" s="4" t="s">
        <v>54</v>
      </c>
      <c r="D975" s="4">
        <v>2</v>
      </c>
      <c r="E975" s="4">
        <v>11</v>
      </c>
      <c r="F975" s="4">
        <v>2</v>
      </c>
      <c r="G975" s="6" t="str">
        <f t="shared" si="28"/>
        <v>112</v>
      </c>
      <c r="H975" s="5">
        <v>0</v>
      </c>
      <c r="I975" s="5">
        <v>200.52144547759934</v>
      </c>
      <c r="J975" s="5">
        <v>12585.235273365513</v>
      </c>
      <c r="K975" s="5">
        <v>1</v>
      </c>
      <c r="L975" s="5">
        <v>198.56594023668637</v>
      </c>
      <c r="M975" s="5">
        <v>12462.502797162921</v>
      </c>
      <c r="N975" s="5">
        <v>100</v>
      </c>
      <c r="O975" s="5">
        <v>1.9555052409129701</v>
      </c>
      <c r="P975" s="5">
        <v>122.73247620259281</v>
      </c>
      <c r="Q975" s="5">
        <v>0.98481403133993894</v>
      </c>
    </row>
    <row r="976" spans="1:17" x14ac:dyDescent="0.2">
      <c r="A976" s="4" t="s">
        <v>55</v>
      </c>
      <c r="B976" s="4">
        <v>2014</v>
      </c>
      <c r="C976" s="4" t="s">
        <v>54</v>
      </c>
      <c r="D976" s="4">
        <v>3</v>
      </c>
      <c r="E976" s="4">
        <v>11</v>
      </c>
      <c r="F976" s="4">
        <v>2</v>
      </c>
      <c r="G976" s="6" t="str">
        <f t="shared" si="28"/>
        <v>112</v>
      </c>
      <c r="H976" s="5">
        <v>0</v>
      </c>
      <c r="I976" s="5">
        <v>221.75897066779379</v>
      </c>
      <c r="J976" s="5">
        <v>13918.156300869687</v>
      </c>
      <c r="K976" s="5">
        <v>1</v>
      </c>
      <c r="L976" s="5">
        <v>209.85978157227387</v>
      </c>
      <c r="M976" s="5">
        <v>13171.332967471599</v>
      </c>
      <c r="N976" s="5">
        <v>100</v>
      </c>
      <c r="O976" s="5">
        <v>11.899189095519915</v>
      </c>
      <c r="P976" s="5">
        <v>746.82333339808793</v>
      </c>
      <c r="Q976" s="5">
        <v>5.6700664636029616</v>
      </c>
    </row>
    <row r="977" spans="1:17" x14ac:dyDescent="0.2">
      <c r="A977" s="4" t="s">
        <v>55</v>
      </c>
      <c r="B977" s="4">
        <v>2014</v>
      </c>
      <c r="C977" s="4" t="s">
        <v>54</v>
      </c>
      <c r="D977" s="4">
        <v>4</v>
      </c>
      <c r="E977" s="4">
        <v>11</v>
      </c>
      <c r="F977" s="4">
        <v>2</v>
      </c>
      <c r="G977" s="6" t="str">
        <f t="shared" si="28"/>
        <v>112</v>
      </c>
      <c r="H977" s="5">
        <v>1.5</v>
      </c>
      <c r="I977" s="5">
        <v>193.9706916314455</v>
      </c>
      <c r="J977" s="5">
        <v>12174.093322062554</v>
      </c>
      <c r="K977" s="5">
        <v>1</v>
      </c>
      <c r="L977" s="5">
        <v>196.11288258664413</v>
      </c>
      <c r="M977" s="5">
        <v>12308.54266790403</v>
      </c>
      <c r="N977" s="5">
        <v>-50</v>
      </c>
      <c r="O977" s="5">
        <v>-2.1421909551986289</v>
      </c>
      <c r="P977" s="5">
        <v>-134.44934584147632</v>
      </c>
      <c r="Q977" s="5">
        <v>-1.0923254642653086</v>
      </c>
    </row>
    <row r="978" spans="1:17" x14ac:dyDescent="0.2">
      <c r="A978" s="4" t="s">
        <v>55</v>
      </c>
      <c r="B978" s="4">
        <v>2014</v>
      </c>
      <c r="C978" s="4" t="s">
        <v>54</v>
      </c>
      <c r="D978" s="4">
        <v>1</v>
      </c>
      <c r="E978" s="4">
        <v>15</v>
      </c>
      <c r="F978" s="4">
        <v>3</v>
      </c>
      <c r="G978" s="6" t="str">
        <f t="shared" si="28"/>
        <v>153</v>
      </c>
      <c r="H978" s="5">
        <v>0</v>
      </c>
      <c r="I978" s="5">
        <v>179.3154948436179</v>
      </c>
      <c r="J978" s="5">
        <v>11254.295945213478</v>
      </c>
      <c r="K978" s="5">
        <v>1.25</v>
      </c>
      <c r="L978" s="5">
        <v>192.30340777683855</v>
      </c>
      <c r="M978" s="5">
        <v>12069.450352191005</v>
      </c>
      <c r="N978" s="5">
        <v>100</v>
      </c>
      <c r="O978" s="5">
        <v>-12.987912933220656</v>
      </c>
      <c r="P978" s="5">
        <v>-815.15440697752638</v>
      </c>
      <c r="Q978" s="5">
        <v>-6.7538651984226341</v>
      </c>
    </row>
    <row r="979" spans="1:17" x14ac:dyDescent="0.2">
      <c r="A979" s="4" t="s">
        <v>55</v>
      </c>
      <c r="B979" s="4">
        <v>2014</v>
      </c>
      <c r="C979" s="4" t="s">
        <v>54</v>
      </c>
      <c r="D979" s="4">
        <v>2</v>
      </c>
      <c r="E979" s="4">
        <v>15</v>
      </c>
      <c r="F979" s="4">
        <v>3</v>
      </c>
      <c r="G979" s="6" t="str">
        <f t="shared" si="28"/>
        <v>153</v>
      </c>
      <c r="H979" s="5">
        <v>1</v>
      </c>
      <c r="I979" s="5">
        <v>178.15487675401522</v>
      </c>
      <c r="J979" s="5">
        <v>11181.452605762261</v>
      </c>
      <c r="K979" s="5">
        <v>1</v>
      </c>
      <c r="L979" s="5">
        <v>198.56594023668637</v>
      </c>
      <c r="M979" s="5">
        <v>12462.502797162921</v>
      </c>
      <c r="N979" s="5">
        <v>0</v>
      </c>
      <c r="O979" s="5">
        <v>-20.411063482671153</v>
      </c>
      <c r="P979" s="5">
        <v>-1281.05019140066</v>
      </c>
      <c r="Q979" s="5">
        <v>-10.279236941814689</v>
      </c>
    </row>
    <row r="980" spans="1:17" x14ac:dyDescent="0.2">
      <c r="A980" s="4" t="s">
        <v>55</v>
      </c>
      <c r="B980" s="4">
        <v>2014</v>
      </c>
      <c r="C980" s="4" t="s">
        <v>54</v>
      </c>
      <c r="D980" s="4">
        <v>3</v>
      </c>
      <c r="E980" s="4">
        <v>15</v>
      </c>
      <c r="F980" s="4">
        <v>3</v>
      </c>
      <c r="G980" s="6" t="str">
        <f t="shared" si="28"/>
        <v>153</v>
      </c>
      <c r="H980" s="5">
        <v>0</v>
      </c>
      <c r="I980" s="5">
        <v>174.76360371935752</v>
      </c>
      <c r="J980" s="5">
        <v>10968.607695754092</v>
      </c>
      <c r="K980" s="5">
        <v>1</v>
      </c>
      <c r="L980" s="5">
        <v>209.85978157227387</v>
      </c>
      <c r="M980" s="5">
        <v>13171.332967471599</v>
      </c>
      <c r="N980" s="5">
        <v>100</v>
      </c>
      <c r="O980" s="5">
        <v>-35.096177852916355</v>
      </c>
      <c r="P980" s="5">
        <v>-2202.725271717507</v>
      </c>
      <c r="Q980" s="5">
        <v>-16.723632127116041</v>
      </c>
    </row>
    <row r="981" spans="1:17" x14ac:dyDescent="0.2">
      <c r="A981" s="4" t="s">
        <v>55</v>
      </c>
      <c r="B981" s="4">
        <v>2014</v>
      </c>
      <c r="C981" s="4" t="s">
        <v>54</v>
      </c>
      <c r="D981" s="4">
        <v>4</v>
      </c>
      <c r="E981" s="4">
        <v>15</v>
      </c>
      <c r="F981" s="4">
        <v>3</v>
      </c>
      <c r="G981" s="6" t="str">
        <f t="shared" si="28"/>
        <v>153</v>
      </c>
      <c r="H981" s="5">
        <v>0.5</v>
      </c>
      <c r="I981" s="5">
        <v>194.18637438715132</v>
      </c>
      <c r="J981" s="5">
        <v>12187.630119677893</v>
      </c>
      <c r="K981" s="5">
        <v>1</v>
      </c>
      <c r="L981" s="5">
        <v>196.11288258664413</v>
      </c>
      <c r="M981" s="5">
        <v>12308.54266790403</v>
      </c>
      <c r="N981" s="5">
        <v>50</v>
      </c>
      <c r="O981" s="5">
        <v>-1.9265081994928153</v>
      </c>
      <c r="P981" s="5">
        <v>-120.91254822613701</v>
      </c>
      <c r="Q981" s="5">
        <v>-0.98234658227598848</v>
      </c>
    </row>
    <row r="982" spans="1:17" x14ac:dyDescent="0.2">
      <c r="A982" s="4" t="s">
        <v>55</v>
      </c>
      <c r="B982" s="4">
        <v>2014</v>
      </c>
      <c r="C982" s="4" t="s">
        <v>54</v>
      </c>
      <c r="D982" s="4">
        <v>1</v>
      </c>
      <c r="E982" s="4">
        <v>16</v>
      </c>
      <c r="F982" s="4">
        <v>3</v>
      </c>
      <c r="G982" s="6" t="str">
        <f t="shared" si="28"/>
        <v>163</v>
      </c>
      <c r="H982" s="5">
        <v>22</v>
      </c>
      <c r="I982" s="5">
        <v>180.74159695688925</v>
      </c>
      <c r="J982" s="5">
        <v>11343.801736360234</v>
      </c>
      <c r="K982" s="5">
        <v>1.25</v>
      </c>
      <c r="L982" s="5">
        <v>192.30340777683855</v>
      </c>
      <c r="M982" s="5">
        <v>12069.450352191005</v>
      </c>
      <c r="N982" s="5">
        <v>-1660.0000000000002</v>
      </c>
      <c r="O982" s="5">
        <v>-11.561810819949301</v>
      </c>
      <c r="P982" s="5">
        <v>-725.64861583077072</v>
      </c>
      <c r="Q982" s="5">
        <v>-6.0122755772307519</v>
      </c>
    </row>
    <row r="983" spans="1:17" x14ac:dyDescent="0.2">
      <c r="A983" s="4" t="s">
        <v>55</v>
      </c>
      <c r="B983" s="4">
        <v>2014</v>
      </c>
      <c r="C983" s="4" t="s">
        <v>54</v>
      </c>
      <c r="D983" s="4">
        <v>2</v>
      </c>
      <c r="E983" s="4">
        <v>16</v>
      </c>
      <c r="F983" s="4">
        <v>3</v>
      </c>
      <c r="G983" s="6" t="str">
        <f t="shared" si="28"/>
        <v>163</v>
      </c>
      <c r="H983" s="5">
        <v>0</v>
      </c>
      <c r="I983" s="5">
        <v>157.30462316145392</v>
      </c>
      <c r="J983" s="5">
        <v>9872.8377274547311</v>
      </c>
      <c r="K983" s="5">
        <v>1</v>
      </c>
      <c r="L983" s="5">
        <v>198.56594023668637</v>
      </c>
      <c r="M983" s="5">
        <v>12462.502797162921</v>
      </c>
      <c r="N983" s="5">
        <v>100</v>
      </c>
      <c r="O983" s="5">
        <v>-41.261317075232455</v>
      </c>
      <c r="P983" s="5">
        <v>-2589.6650697081895</v>
      </c>
      <c r="Q983" s="5">
        <v>-20.779654872356176</v>
      </c>
    </row>
    <row r="984" spans="1:17" x14ac:dyDescent="0.2">
      <c r="A984" s="4" t="s">
        <v>55</v>
      </c>
      <c r="B984" s="4">
        <v>2014</v>
      </c>
      <c r="C984" s="4" t="s">
        <v>54</v>
      </c>
      <c r="D984" s="4">
        <v>3</v>
      </c>
      <c r="E984" s="4">
        <v>16</v>
      </c>
      <c r="F984" s="4">
        <v>3</v>
      </c>
      <c r="G984" s="6" t="str">
        <f t="shared" si="28"/>
        <v>163</v>
      </c>
      <c r="H984" s="5">
        <v>0.5</v>
      </c>
      <c r="I984" s="5">
        <v>208.81321851225698</v>
      </c>
      <c r="J984" s="5">
        <v>13105.648011394433</v>
      </c>
      <c r="K984" s="5">
        <v>1</v>
      </c>
      <c r="L984" s="5">
        <v>209.85978157227387</v>
      </c>
      <c r="M984" s="5">
        <v>13171.332967471599</v>
      </c>
      <c r="N984" s="5">
        <v>50</v>
      </c>
      <c r="O984" s="5">
        <v>-1.0465630600168936</v>
      </c>
      <c r="P984" s="5">
        <v>-65.684956077166134</v>
      </c>
      <c r="Q984" s="5">
        <v>-0.49869634485275011</v>
      </c>
    </row>
    <row r="985" spans="1:17" s="7" customFormat="1" x14ac:dyDescent="0.2">
      <c r="A985" s="4" t="s">
        <v>55</v>
      </c>
      <c r="B985" s="7">
        <v>2014</v>
      </c>
      <c r="C985" s="7" t="s">
        <v>54</v>
      </c>
      <c r="D985" s="7">
        <v>4</v>
      </c>
      <c r="E985" s="7">
        <v>16</v>
      </c>
      <c r="F985" s="7">
        <v>3</v>
      </c>
      <c r="G985" s="6" t="str">
        <f t="shared" si="28"/>
        <v>163</v>
      </c>
      <c r="H985" s="9">
        <v>0.2</v>
      </c>
      <c r="I985" s="9">
        <v>183.24970295857992</v>
      </c>
      <c r="J985" s="9">
        <v>11501.216839999826</v>
      </c>
      <c r="K985" s="9">
        <v>1</v>
      </c>
      <c r="L985" s="9">
        <v>196.11288258664413</v>
      </c>
      <c r="M985" s="9">
        <v>12308.54266790403</v>
      </c>
      <c r="N985" s="9">
        <v>80</v>
      </c>
      <c r="O985" s="9">
        <v>-12.863179628064216</v>
      </c>
      <c r="P985" s="9">
        <v>-807.32582790420383</v>
      </c>
      <c r="Q985" s="9">
        <v>-6.5590691740412179</v>
      </c>
    </row>
    <row r="986" spans="1:17" x14ac:dyDescent="0.2">
      <c r="A986" s="4" t="s">
        <v>55</v>
      </c>
      <c r="B986" s="4">
        <v>2014</v>
      </c>
      <c r="C986" s="4" t="s">
        <v>54</v>
      </c>
      <c r="D986" s="4">
        <v>1</v>
      </c>
      <c r="E986" s="4">
        <v>17</v>
      </c>
      <c r="F986" s="4">
        <v>3</v>
      </c>
      <c r="G986" s="6" t="str">
        <f t="shared" si="28"/>
        <v>173</v>
      </c>
      <c r="H986" s="5">
        <v>0</v>
      </c>
      <c r="I986" s="5">
        <v>203.26428943364326</v>
      </c>
      <c r="J986" s="5">
        <v>12757.383127290681</v>
      </c>
      <c r="K986" s="5">
        <v>1.25</v>
      </c>
      <c r="L986" s="5">
        <v>192.30340777683855</v>
      </c>
      <c r="M986" s="5">
        <v>12069.450352191005</v>
      </c>
      <c r="N986" s="5">
        <v>100</v>
      </c>
      <c r="O986" s="5">
        <v>10.960881656804702</v>
      </c>
      <c r="P986" s="5">
        <v>687.93277509967629</v>
      </c>
      <c r="Q986" s="5">
        <v>5.6997854502528673</v>
      </c>
    </row>
    <row r="987" spans="1:17" x14ac:dyDescent="0.2">
      <c r="A987" s="4" t="s">
        <v>55</v>
      </c>
      <c r="B987" s="4">
        <v>2014</v>
      </c>
      <c r="C987" s="4" t="s">
        <v>54</v>
      </c>
      <c r="D987" s="4">
        <v>2</v>
      </c>
      <c r="E987" s="4">
        <v>17</v>
      </c>
      <c r="F987" s="4">
        <v>3</v>
      </c>
      <c r="G987" s="6" t="str">
        <f t="shared" si="28"/>
        <v>173</v>
      </c>
      <c r="H987" s="5">
        <v>2</v>
      </c>
      <c r="I987" s="5">
        <v>175.92992916314455</v>
      </c>
      <c r="J987" s="5">
        <v>11041.809243251473</v>
      </c>
      <c r="K987" s="5">
        <v>1</v>
      </c>
      <c r="L987" s="5">
        <v>198.56594023668637</v>
      </c>
      <c r="M987" s="5">
        <v>12462.502797162921</v>
      </c>
      <c r="N987" s="5">
        <v>-100</v>
      </c>
      <c r="O987" s="5">
        <v>-22.636011073541823</v>
      </c>
      <c r="P987" s="5">
        <v>-1420.6935539114475</v>
      </c>
      <c r="Q987" s="5">
        <v>-11.399745115683082</v>
      </c>
    </row>
    <row r="988" spans="1:17" x14ac:dyDescent="0.2">
      <c r="A988" s="4" t="s">
        <v>55</v>
      </c>
      <c r="B988" s="4">
        <v>2014</v>
      </c>
      <c r="C988" s="4" t="s">
        <v>54</v>
      </c>
      <c r="D988" s="4">
        <v>3</v>
      </c>
      <c r="E988" s="4">
        <v>17</v>
      </c>
      <c r="F988" s="4">
        <v>3</v>
      </c>
      <c r="G988" s="6" t="str">
        <f t="shared" si="28"/>
        <v>173</v>
      </c>
      <c r="H988" s="5">
        <v>0.5</v>
      </c>
      <c r="I988" s="5">
        <v>197.52269112426038</v>
      </c>
      <c r="J988" s="5">
        <v>12397.025832854493</v>
      </c>
      <c r="K988" s="5">
        <v>1</v>
      </c>
      <c r="L988" s="5">
        <v>209.85978157227387</v>
      </c>
      <c r="M988" s="5">
        <v>13171.332967471599</v>
      </c>
      <c r="N988" s="5">
        <v>50</v>
      </c>
      <c r="O988" s="5">
        <v>-12.337090448013498</v>
      </c>
      <c r="P988" s="5">
        <v>-774.30713461710548</v>
      </c>
      <c r="Q988" s="5">
        <v>-5.8787302433957329</v>
      </c>
    </row>
    <row r="989" spans="1:17" x14ac:dyDescent="0.2">
      <c r="A989" s="4" t="s">
        <v>55</v>
      </c>
      <c r="B989" s="4">
        <v>2014</v>
      </c>
      <c r="C989" s="4" t="s">
        <v>54</v>
      </c>
      <c r="D989" s="4">
        <v>4</v>
      </c>
      <c r="E989" s="4">
        <v>17</v>
      </c>
      <c r="F989" s="4">
        <v>3</v>
      </c>
      <c r="G989" s="6" t="str">
        <f t="shared" si="28"/>
        <v>173</v>
      </c>
      <c r="H989" s="5">
        <v>1</v>
      </c>
      <c r="I989" s="5">
        <v>222.32252586644128</v>
      </c>
      <c r="J989" s="5">
        <v>13953.526456653344</v>
      </c>
      <c r="K989" s="5">
        <v>1</v>
      </c>
      <c r="L989" s="5">
        <v>196.11288258664413</v>
      </c>
      <c r="M989" s="5">
        <v>12308.54266790403</v>
      </c>
      <c r="N989" s="5">
        <v>0</v>
      </c>
      <c r="O989" s="5">
        <v>26.209643279797149</v>
      </c>
      <c r="P989" s="5">
        <v>1644.983788749314</v>
      </c>
      <c r="Q989" s="5">
        <v>13.364569901835758</v>
      </c>
    </row>
    <row r="990" spans="1:17" x14ac:dyDescent="0.2">
      <c r="A990" s="4" t="s">
        <v>55</v>
      </c>
      <c r="B990" s="4">
        <v>2014</v>
      </c>
      <c r="C990" s="4" t="s">
        <v>54</v>
      </c>
      <c r="D990" s="4">
        <v>1</v>
      </c>
      <c r="E990" s="4">
        <v>19</v>
      </c>
      <c r="F990" s="4">
        <v>3</v>
      </c>
      <c r="G990" s="6" t="str">
        <f t="shared" si="28"/>
        <v>193</v>
      </c>
      <c r="H990" s="5">
        <v>22.45</v>
      </c>
      <c r="I990" s="5">
        <v>211.54492392223165</v>
      </c>
      <c r="J990" s="5">
        <v>13277.096781874681</v>
      </c>
      <c r="K990" s="5">
        <v>1.25</v>
      </c>
      <c r="L990" s="5">
        <v>192.30340777683855</v>
      </c>
      <c r="M990" s="5">
        <v>12069.450352191005</v>
      </c>
      <c r="N990" s="5">
        <v>-1696</v>
      </c>
      <c r="O990" s="5">
        <v>19.241516145393092</v>
      </c>
      <c r="P990" s="5">
        <v>1207.6464296836766</v>
      </c>
      <c r="Q990" s="5">
        <v>10.00581132068246</v>
      </c>
    </row>
    <row r="991" spans="1:17" x14ac:dyDescent="0.2">
      <c r="A991" s="4" t="s">
        <v>55</v>
      </c>
      <c r="B991" s="4">
        <v>2014</v>
      </c>
      <c r="C991" s="4" t="s">
        <v>54</v>
      </c>
      <c r="D991" s="4">
        <v>2</v>
      </c>
      <c r="E991" s="4">
        <v>19</v>
      </c>
      <c r="F991" s="4">
        <v>3</v>
      </c>
      <c r="G991" s="6" t="str">
        <f t="shared" si="28"/>
        <v>193</v>
      </c>
      <c r="H991" s="5">
        <v>0</v>
      </c>
      <c r="I991" s="5">
        <v>170.20950329670333</v>
      </c>
      <c r="J991" s="5">
        <v>10682.780785115554</v>
      </c>
      <c r="K991" s="5">
        <v>1</v>
      </c>
      <c r="L991" s="5">
        <v>198.56594023668637</v>
      </c>
      <c r="M991" s="5">
        <v>12462.502797162921</v>
      </c>
      <c r="N991" s="5">
        <v>100</v>
      </c>
      <c r="O991" s="5">
        <v>-28.356436939983041</v>
      </c>
      <c r="P991" s="5">
        <v>-1779.7220120473667</v>
      </c>
      <c r="Q991" s="5">
        <v>-14.280614744997441</v>
      </c>
    </row>
    <row r="992" spans="1:17" x14ac:dyDescent="0.2">
      <c r="A992" s="4" t="s">
        <v>55</v>
      </c>
      <c r="B992" s="4">
        <v>2014</v>
      </c>
      <c r="C992" s="4" t="s">
        <v>54</v>
      </c>
      <c r="D992" s="4">
        <v>3</v>
      </c>
      <c r="E992" s="4">
        <v>19</v>
      </c>
      <c r="F992" s="4">
        <v>3</v>
      </c>
      <c r="G992" s="6" t="str">
        <f t="shared" si="28"/>
        <v>193</v>
      </c>
      <c r="H992" s="5">
        <v>0.2</v>
      </c>
      <c r="I992" s="5">
        <v>179.71031487743031</v>
      </c>
      <c r="J992" s="5">
        <v>11279.075853438917</v>
      </c>
      <c r="K992" s="5">
        <v>1</v>
      </c>
      <c r="L992" s="5">
        <v>209.85978157227387</v>
      </c>
      <c r="M992" s="5">
        <v>13171.332967471599</v>
      </c>
      <c r="N992" s="5">
        <v>80</v>
      </c>
      <c r="O992" s="5">
        <v>-30.149466694843568</v>
      </c>
      <c r="P992" s="5">
        <v>-1892.2571140326818</v>
      </c>
      <c r="Q992" s="5">
        <v>-14.366481499677128</v>
      </c>
    </row>
    <row r="993" spans="1:17" x14ac:dyDescent="0.2">
      <c r="A993" s="4" t="s">
        <v>55</v>
      </c>
      <c r="B993" s="4">
        <v>2014</v>
      </c>
      <c r="C993" s="4" t="s">
        <v>54</v>
      </c>
      <c r="D993" s="4">
        <v>4</v>
      </c>
      <c r="E993" s="4">
        <v>19</v>
      </c>
      <c r="F993" s="4">
        <v>3</v>
      </c>
      <c r="G993" s="6" t="str">
        <f t="shared" si="28"/>
        <v>193</v>
      </c>
      <c r="H993" s="5">
        <v>0</v>
      </c>
      <c r="I993" s="5">
        <v>205.27916956889266</v>
      </c>
      <c r="J993" s="5">
        <v>12883.842122683156</v>
      </c>
      <c r="K993" s="5">
        <v>1</v>
      </c>
      <c r="L993" s="5">
        <v>196.11288258664413</v>
      </c>
      <c r="M993" s="5">
        <v>12308.54266790403</v>
      </c>
      <c r="N993" s="5">
        <v>100</v>
      </c>
      <c r="O993" s="5">
        <v>9.166286982248522</v>
      </c>
      <c r="P993" s="5">
        <v>575.29945477912588</v>
      </c>
      <c r="Q993" s="5">
        <v>4.6739851361874605</v>
      </c>
    </row>
    <row r="994" spans="1:17" x14ac:dyDescent="0.2">
      <c r="A994" s="4" t="s">
        <v>83</v>
      </c>
      <c r="B994" s="4">
        <v>2015</v>
      </c>
      <c r="C994" s="12" t="s">
        <v>67</v>
      </c>
      <c r="D994" s="12">
        <v>1</v>
      </c>
      <c r="E994" s="12">
        <v>1</v>
      </c>
      <c r="F994" s="6">
        <v>0</v>
      </c>
      <c r="G994" s="6" t="str">
        <f t="shared" si="28"/>
        <v>10</v>
      </c>
      <c r="H994" s="5">
        <v>60</v>
      </c>
      <c r="I994" s="5">
        <v>141.6</v>
      </c>
      <c r="J994" s="5">
        <f t="shared" ref="J994:J1025" si="29">I994*(25.4/0.4047)</f>
        <v>8887.1756856931061</v>
      </c>
      <c r="K994" s="5">
        <v>60</v>
      </c>
      <c r="L994" s="5">
        <v>141.6</v>
      </c>
      <c r="M994" s="5">
        <f t="shared" ref="M994:M1025" si="30">L994*(25.4/0.4047)</f>
        <v>8887.1756856931061</v>
      </c>
      <c r="N994" s="18">
        <f t="shared" ref="N994:N1025" si="31">(K994-H994)/K994*100</f>
        <v>0</v>
      </c>
      <c r="O994" s="18">
        <f t="shared" ref="O994:O1025" si="32">I994-L994</f>
        <v>0</v>
      </c>
      <c r="P994" s="18">
        <f t="shared" ref="P994:P1025" si="33">J994-M994</f>
        <v>0</v>
      </c>
      <c r="Q994" s="5">
        <f t="shared" ref="Q994:Q1025" si="34">SUM(P994/M994)*100</f>
        <v>0</v>
      </c>
    </row>
    <row r="995" spans="1:17" x14ac:dyDescent="0.2">
      <c r="A995" s="4" t="s">
        <v>83</v>
      </c>
      <c r="B995" s="4">
        <v>2015</v>
      </c>
      <c r="C995" s="12" t="s">
        <v>67</v>
      </c>
      <c r="D995" s="12">
        <v>2</v>
      </c>
      <c r="E995" s="12">
        <v>1</v>
      </c>
      <c r="F995" s="6">
        <v>0</v>
      </c>
      <c r="G995" s="6" t="str">
        <f t="shared" si="28"/>
        <v>10</v>
      </c>
      <c r="H995" s="22">
        <v>70</v>
      </c>
      <c r="I995" s="5">
        <v>136.46</v>
      </c>
      <c r="J995" s="5">
        <f t="shared" si="29"/>
        <v>8564.5762293056596</v>
      </c>
      <c r="K995" s="22">
        <v>70</v>
      </c>
      <c r="L995" s="5">
        <v>136.46</v>
      </c>
      <c r="M995" s="5">
        <f t="shared" si="30"/>
        <v>8564.5762293056596</v>
      </c>
      <c r="N995" s="18">
        <f t="shared" si="31"/>
        <v>0</v>
      </c>
      <c r="O995" s="18">
        <f t="shared" si="32"/>
        <v>0</v>
      </c>
      <c r="P995" s="18">
        <f t="shared" si="33"/>
        <v>0</v>
      </c>
      <c r="Q995" s="5">
        <f t="shared" si="34"/>
        <v>0</v>
      </c>
    </row>
    <row r="996" spans="1:17" x14ac:dyDescent="0.2">
      <c r="A996" s="4" t="s">
        <v>83</v>
      </c>
      <c r="B996" s="4">
        <v>2015</v>
      </c>
      <c r="C996" s="12" t="s">
        <v>67</v>
      </c>
      <c r="D996" s="12">
        <v>3</v>
      </c>
      <c r="E996" s="12">
        <v>1</v>
      </c>
      <c r="F996" s="6">
        <v>0</v>
      </c>
      <c r="G996" s="6" t="str">
        <f t="shared" si="28"/>
        <v>10</v>
      </c>
      <c r="H996" s="22">
        <v>70</v>
      </c>
      <c r="I996" s="5">
        <v>148.16</v>
      </c>
      <c r="J996" s="5">
        <f t="shared" si="29"/>
        <v>9298.8979490980964</v>
      </c>
      <c r="K996" s="22">
        <v>70</v>
      </c>
      <c r="L996" s="5">
        <v>148.16</v>
      </c>
      <c r="M996" s="5">
        <f t="shared" si="30"/>
        <v>9298.8979490980964</v>
      </c>
      <c r="N996" s="18">
        <f t="shared" si="31"/>
        <v>0</v>
      </c>
      <c r="O996" s="18">
        <f t="shared" si="32"/>
        <v>0</v>
      </c>
      <c r="P996" s="18">
        <f t="shared" si="33"/>
        <v>0</v>
      </c>
      <c r="Q996" s="5">
        <f t="shared" si="34"/>
        <v>0</v>
      </c>
    </row>
    <row r="997" spans="1:17" x14ac:dyDescent="0.2">
      <c r="A997" s="4" t="s">
        <v>83</v>
      </c>
      <c r="B997" s="4">
        <v>2015</v>
      </c>
      <c r="C997" s="12" t="s">
        <v>67</v>
      </c>
      <c r="D997" s="12">
        <v>4</v>
      </c>
      <c r="E997" s="12">
        <v>1</v>
      </c>
      <c r="F997" s="6">
        <v>0</v>
      </c>
      <c r="G997" s="6" t="str">
        <f t="shared" si="28"/>
        <v>10</v>
      </c>
      <c r="H997" s="22">
        <v>60</v>
      </c>
      <c r="I997" s="5">
        <v>152.36000000000001</v>
      </c>
      <c r="J997" s="5">
        <f t="shared" si="29"/>
        <v>9562.500617741538</v>
      </c>
      <c r="K997" s="22">
        <v>60</v>
      </c>
      <c r="L997" s="5">
        <v>152.36000000000001</v>
      </c>
      <c r="M997" s="5">
        <f t="shared" si="30"/>
        <v>9562.500617741538</v>
      </c>
      <c r="N997" s="18">
        <f t="shared" si="31"/>
        <v>0</v>
      </c>
      <c r="O997" s="18">
        <f t="shared" si="32"/>
        <v>0</v>
      </c>
      <c r="P997" s="18">
        <f t="shared" si="33"/>
        <v>0</v>
      </c>
      <c r="Q997" s="5">
        <f t="shared" si="34"/>
        <v>0</v>
      </c>
    </row>
    <row r="998" spans="1:17" x14ac:dyDescent="0.2">
      <c r="A998" s="4" t="s">
        <v>83</v>
      </c>
      <c r="B998" s="4">
        <v>2015</v>
      </c>
      <c r="C998" s="4" t="s">
        <v>67</v>
      </c>
      <c r="D998" s="4">
        <v>1</v>
      </c>
      <c r="E998" s="4">
        <v>2</v>
      </c>
      <c r="F998" s="4">
        <v>1</v>
      </c>
      <c r="G998" s="6" t="str">
        <f t="shared" si="28"/>
        <v>21</v>
      </c>
      <c r="H998" s="5">
        <v>70</v>
      </c>
      <c r="I998" s="5">
        <v>134.83000000000001</v>
      </c>
      <c r="J998" s="5">
        <f t="shared" si="29"/>
        <v>8462.273288855944</v>
      </c>
      <c r="K998" s="5">
        <v>60</v>
      </c>
      <c r="L998" s="5">
        <v>141.6</v>
      </c>
      <c r="M998" s="5">
        <f t="shared" si="30"/>
        <v>8887.1756856931061</v>
      </c>
      <c r="N998" s="18">
        <f t="shared" si="31"/>
        <v>-16.666666666666664</v>
      </c>
      <c r="O998" s="18">
        <f t="shared" si="32"/>
        <v>-6.7699999999999818</v>
      </c>
      <c r="P998" s="18">
        <f t="shared" si="33"/>
        <v>-424.90239683716209</v>
      </c>
      <c r="Q998" s="5">
        <f t="shared" si="34"/>
        <v>-4.7810734463276692</v>
      </c>
    </row>
    <row r="999" spans="1:17" x14ac:dyDescent="0.2">
      <c r="A999" s="4" t="s">
        <v>83</v>
      </c>
      <c r="B999" s="4">
        <v>2015</v>
      </c>
      <c r="C999" s="4" t="s">
        <v>67</v>
      </c>
      <c r="D999" s="4">
        <v>2</v>
      </c>
      <c r="E999" s="4">
        <v>2</v>
      </c>
      <c r="F999" s="4">
        <v>1</v>
      </c>
      <c r="G999" s="6" t="str">
        <f t="shared" si="28"/>
        <v>21</v>
      </c>
      <c r="H999" s="5">
        <v>70</v>
      </c>
      <c r="I999" s="5">
        <v>137.02000000000001</v>
      </c>
      <c r="J999" s="5">
        <f t="shared" si="29"/>
        <v>8599.7232517914508</v>
      </c>
      <c r="K999" s="5">
        <v>70</v>
      </c>
      <c r="L999" s="5">
        <v>136.46</v>
      </c>
      <c r="M999" s="5">
        <f t="shared" si="30"/>
        <v>8564.5762293056596</v>
      </c>
      <c r="N999" s="18">
        <f t="shared" si="31"/>
        <v>0</v>
      </c>
      <c r="O999" s="18">
        <f t="shared" si="32"/>
        <v>0.56000000000000227</v>
      </c>
      <c r="P999" s="18">
        <f t="shared" si="33"/>
        <v>35.14702248579124</v>
      </c>
      <c r="Q999" s="5">
        <f t="shared" si="34"/>
        <v>0.41037666715520205</v>
      </c>
    </row>
    <row r="1000" spans="1:17" x14ac:dyDescent="0.2">
      <c r="A1000" s="4" t="s">
        <v>83</v>
      </c>
      <c r="B1000" s="4">
        <v>2015</v>
      </c>
      <c r="C1000" s="4" t="s">
        <v>67</v>
      </c>
      <c r="D1000" s="4">
        <v>3</v>
      </c>
      <c r="E1000" s="4">
        <v>2</v>
      </c>
      <c r="F1000" s="4">
        <v>1</v>
      </c>
      <c r="G1000" s="6" t="str">
        <f t="shared" si="28"/>
        <v>21</v>
      </c>
      <c r="H1000" s="5">
        <v>60</v>
      </c>
      <c r="I1000" s="5">
        <v>154.97999999999999</v>
      </c>
      <c r="J1000" s="5">
        <f t="shared" si="29"/>
        <v>9726.9384729429203</v>
      </c>
      <c r="K1000" s="5">
        <v>70</v>
      </c>
      <c r="L1000" s="5">
        <v>148.16</v>
      </c>
      <c r="M1000" s="5">
        <f t="shared" si="30"/>
        <v>9298.8979490980964</v>
      </c>
      <c r="N1000" s="18">
        <f t="shared" si="31"/>
        <v>14.285714285714285</v>
      </c>
      <c r="O1000" s="18">
        <f t="shared" si="32"/>
        <v>6.8199999999999932</v>
      </c>
      <c r="P1000" s="18">
        <f t="shared" si="33"/>
        <v>428.04052384482384</v>
      </c>
      <c r="Q1000" s="5">
        <f t="shared" si="34"/>
        <v>4.6031317494600499</v>
      </c>
    </row>
    <row r="1001" spans="1:17" x14ac:dyDescent="0.2">
      <c r="A1001" s="4" t="s">
        <v>83</v>
      </c>
      <c r="B1001" s="4">
        <v>2015</v>
      </c>
      <c r="C1001" s="4" t="s">
        <v>67</v>
      </c>
      <c r="D1001" s="4">
        <v>4</v>
      </c>
      <c r="E1001" s="4">
        <v>2</v>
      </c>
      <c r="F1001" s="4">
        <v>1</v>
      </c>
      <c r="G1001" s="6" t="str">
        <f t="shared" si="28"/>
        <v>21</v>
      </c>
      <c r="H1001" s="5">
        <v>70</v>
      </c>
      <c r="I1001" s="5">
        <v>150.33000000000001</v>
      </c>
      <c r="J1001" s="5">
        <f t="shared" si="29"/>
        <v>9435.0926612305411</v>
      </c>
      <c r="K1001" s="5">
        <v>60</v>
      </c>
      <c r="L1001" s="5">
        <v>152.36000000000001</v>
      </c>
      <c r="M1001" s="5">
        <f t="shared" si="30"/>
        <v>9562.500617741538</v>
      </c>
      <c r="N1001" s="18">
        <f t="shared" si="31"/>
        <v>-16.666666666666664</v>
      </c>
      <c r="O1001" s="18">
        <f t="shared" si="32"/>
        <v>-2.0300000000000011</v>
      </c>
      <c r="P1001" s="18">
        <f t="shared" si="33"/>
        <v>-127.40795651099688</v>
      </c>
      <c r="Q1001" s="5">
        <f t="shared" si="34"/>
        <v>-1.3323707009713948</v>
      </c>
    </row>
    <row r="1002" spans="1:17" x14ac:dyDescent="0.2">
      <c r="A1002" s="4" t="s">
        <v>83</v>
      </c>
      <c r="B1002" s="4">
        <v>2015</v>
      </c>
      <c r="C1002" s="4" t="s">
        <v>67</v>
      </c>
      <c r="D1002" s="4">
        <v>1</v>
      </c>
      <c r="E1002" s="4">
        <v>3</v>
      </c>
      <c r="F1002" s="4">
        <v>1</v>
      </c>
      <c r="G1002" s="6" t="str">
        <f t="shared" si="28"/>
        <v>31</v>
      </c>
      <c r="H1002" s="5">
        <v>70</v>
      </c>
      <c r="I1002" s="5">
        <v>152.55000000000001</v>
      </c>
      <c r="J1002" s="5">
        <f t="shared" si="29"/>
        <v>9574.4255003706458</v>
      </c>
      <c r="K1002" s="5">
        <v>60</v>
      </c>
      <c r="L1002" s="5">
        <v>141.6</v>
      </c>
      <c r="M1002" s="5">
        <f t="shared" si="30"/>
        <v>8887.1756856931061</v>
      </c>
      <c r="N1002" s="18">
        <f t="shared" si="31"/>
        <v>-16.666666666666664</v>
      </c>
      <c r="O1002" s="18">
        <f t="shared" si="32"/>
        <v>10.950000000000017</v>
      </c>
      <c r="P1002" s="18">
        <f t="shared" si="33"/>
        <v>687.24981467753969</v>
      </c>
      <c r="Q1002" s="5">
        <f t="shared" si="34"/>
        <v>7.733050847457636</v>
      </c>
    </row>
    <row r="1003" spans="1:17" x14ac:dyDescent="0.2">
      <c r="A1003" s="4" t="s">
        <v>83</v>
      </c>
      <c r="B1003" s="4">
        <v>2015</v>
      </c>
      <c r="C1003" s="4" t="s">
        <v>67</v>
      </c>
      <c r="D1003" s="4">
        <v>2</v>
      </c>
      <c r="E1003" s="4">
        <v>3</v>
      </c>
      <c r="F1003" s="4">
        <v>1</v>
      </c>
      <c r="G1003" s="6" t="str">
        <f t="shared" si="28"/>
        <v>31</v>
      </c>
      <c r="H1003" s="5">
        <v>70</v>
      </c>
      <c r="I1003" s="5">
        <v>143.27000000000001</v>
      </c>
      <c r="J1003" s="5">
        <f t="shared" si="29"/>
        <v>8991.9891277489496</v>
      </c>
      <c r="K1003" s="5">
        <v>70</v>
      </c>
      <c r="L1003" s="5">
        <v>136.46</v>
      </c>
      <c r="M1003" s="5">
        <f t="shared" si="30"/>
        <v>8564.5762293056596</v>
      </c>
      <c r="N1003" s="18">
        <f t="shared" si="31"/>
        <v>0</v>
      </c>
      <c r="O1003" s="18">
        <f t="shared" si="32"/>
        <v>6.8100000000000023</v>
      </c>
      <c r="P1003" s="18">
        <f t="shared" si="33"/>
        <v>427.41289844329003</v>
      </c>
      <c r="Q1003" s="5">
        <f t="shared" si="34"/>
        <v>4.9904733987981666</v>
      </c>
    </row>
    <row r="1004" spans="1:17" x14ac:dyDescent="0.2">
      <c r="A1004" s="4" t="s">
        <v>83</v>
      </c>
      <c r="B1004" s="4">
        <v>2015</v>
      </c>
      <c r="C1004" s="4" t="s">
        <v>67</v>
      </c>
      <c r="D1004" s="4">
        <v>3</v>
      </c>
      <c r="E1004" s="4">
        <v>3</v>
      </c>
      <c r="F1004" s="4">
        <v>1</v>
      </c>
      <c r="G1004" s="6" t="str">
        <f t="shared" si="28"/>
        <v>31</v>
      </c>
      <c r="H1004" s="5">
        <v>70</v>
      </c>
      <c r="I1004" s="5">
        <v>154.47999999999999</v>
      </c>
      <c r="J1004" s="5">
        <f t="shared" si="29"/>
        <v>9695.5572028663191</v>
      </c>
      <c r="K1004" s="5">
        <v>70</v>
      </c>
      <c r="L1004" s="5">
        <v>148.16</v>
      </c>
      <c r="M1004" s="5">
        <f t="shared" si="30"/>
        <v>9298.8979490980964</v>
      </c>
      <c r="N1004" s="18">
        <f t="shared" si="31"/>
        <v>0</v>
      </c>
      <c r="O1004" s="18">
        <f t="shared" si="32"/>
        <v>6.3199999999999932</v>
      </c>
      <c r="P1004" s="18">
        <f t="shared" si="33"/>
        <v>396.6592537682227</v>
      </c>
      <c r="Q1004" s="5">
        <f t="shared" si="34"/>
        <v>4.2656587473002094</v>
      </c>
    </row>
    <row r="1005" spans="1:17" x14ac:dyDescent="0.2">
      <c r="A1005" s="4" t="s">
        <v>83</v>
      </c>
      <c r="B1005" s="4">
        <v>2015</v>
      </c>
      <c r="C1005" s="4" t="s">
        <v>67</v>
      </c>
      <c r="D1005" s="4">
        <v>4</v>
      </c>
      <c r="E1005" s="4">
        <v>3</v>
      </c>
      <c r="F1005" s="4">
        <v>1</v>
      </c>
      <c r="G1005" s="6" t="str">
        <f t="shared" si="28"/>
        <v>31</v>
      </c>
      <c r="H1005" s="5">
        <v>60</v>
      </c>
      <c r="I1005" s="5">
        <v>133.6</v>
      </c>
      <c r="J1005" s="5">
        <f t="shared" si="29"/>
        <v>8385.075364467506</v>
      </c>
      <c r="K1005" s="5">
        <v>60</v>
      </c>
      <c r="L1005" s="5">
        <v>152.36000000000001</v>
      </c>
      <c r="M1005" s="5">
        <f t="shared" si="30"/>
        <v>9562.500617741538</v>
      </c>
      <c r="N1005" s="18">
        <f t="shared" si="31"/>
        <v>0</v>
      </c>
      <c r="O1005" s="18">
        <f t="shared" si="32"/>
        <v>-18.760000000000019</v>
      </c>
      <c r="P1005" s="18">
        <f t="shared" si="33"/>
        <v>-1177.425253274032</v>
      </c>
      <c r="Q1005" s="5">
        <f t="shared" si="34"/>
        <v>-12.312943029666597</v>
      </c>
    </row>
    <row r="1006" spans="1:17" x14ac:dyDescent="0.2">
      <c r="A1006" s="4" t="s">
        <v>83</v>
      </c>
      <c r="B1006" s="4">
        <v>2015</v>
      </c>
      <c r="C1006" s="4" t="s">
        <v>67</v>
      </c>
      <c r="D1006" s="4">
        <v>1</v>
      </c>
      <c r="E1006" s="4">
        <v>4</v>
      </c>
      <c r="F1006" s="4">
        <v>1</v>
      </c>
      <c r="G1006" s="6" t="str">
        <f t="shared" si="28"/>
        <v>41</v>
      </c>
      <c r="H1006" s="5">
        <v>70</v>
      </c>
      <c r="I1006" s="5">
        <v>129.22999999999999</v>
      </c>
      <c r="J1006" s="5">
        <f t="shared" si="29"/>
        <v>8110.8030639980225</v>
      </c>
      <c r="K1006" s="5">
        <v>60</v>
      </c>
      <c r="L1006" s="5">
        <v>141.6</v>
      </c>
      <c r="M1006" s="5">
        <f t="shared" si="30"/>
        <v>8887.1756856931061</v>
      </c>
      <c r="N1006" s="18">
        <f t="shared" si="31"/>
        <v>-16.666666666666664</v>
      </c>
      <c r="O1006" s="18">
        <f t="shared" si="32"/>
        <v>-12.370000000000005</v>
      </c>
      <c r="P1006" s="18">
        <f t="shared" si="33"/>
        <v>-776.37262169508358</v>
      </c>
      <c r="Q1006" s="5">
        <f t="shared" si="34"/>
        <v>-8.7358757062146974</v>
      </c>
    </row>
    <row r="1007" spans="1:17" x14ac:dyDescent="0.2">
      <c r="A1007" s="4" t="s">
        <v>83</v>
      </c>
      <c r="B1007" s="4">
        <v>2015</v>
      </c>
      <c r="C1007" s="4" t="s">
        <v>67</v>
      </c>
      <c r="D1007" s="4">
        <v>2</v>
      </c>
      <c r="E1007" s="4">
        <v>4</v>
      </c>
      <c r="F1007" s="4">
        <v>1</v>
      </c>
      <c r="G1007" s="6" t="str">
        <f t="shared" si="28"/>
        <v>41</v>
      </c>
      <c r="H1007" s="5">
        <v>60</v>
      </c>
      <c r="I1007" s="5">
        <v>150.72</v>
      </c>
      <c r="J1007" s="5">
        <f t="shared" si="29"/>
        <v>9459.5700518902886</v>
      </c>
      <c r="K1007" s="5">
        <v>70</v>
      </c>
      <c r="L1007" s="5">
        <v>136.46</v>
      </c>
      <c r="M1007" s="5">
        <f t="shared" si="30"/>
        <v>8564.5762293056596</v>
      </c>
      <c r="N1007" s="18">
        <f t="shared" si="31"/>
        <v>14.285714285714285</v>
      </c>
      <c r="O1007" s="18">
        <f t="shared" si="32"/>
        <v>14.259999999999991</v>
      </c>
      <c r="P1007" s="18">
        <f t="shared" si="33"/>
        <v>894.99382258462902</v>
      </c>
      <c r="Q1007" s="5">
        <f t="shared" si="34"/>
        <v>10.449948702916585</v>
      </c>
    </row>
    <row r="1008" spans="1:17" x14ac:dyDescent="0.2">
      <c r="A1008" s="4" t="s">
        <v>83</v>
      </c>
      <c r="B1008" s="4">
        <v>2015</v>
      </c>
      <c r="C1008" s="4" t="s">
        <v>67</v>
      </c>
      <c r="D1008" s="4">
        <v>3</v>
      </c>
      <c r="E1008" s="4">
        <v>4</v>
      </c>
      <c r="F1008" s="4">
        <v>1</v>
      </c>
      <c r="G1008" s="6" t="str">
        <f t="shared" si="28"/>
        <v>41</v>
      </c>
      <c r="H1008" s="5">
        <v>70</v>
      </c>
      <c r="I1008" s="5">
        <v>161.69999999999999</v>
      </c>
      <c r="J1008" s="5">
        <f t="shared" si="29"/>
        <v>10148.702742772422</v>
      </c>
      <c r="K1008" s="5">
        <v>70</v>
      </c>
      <c r="L1008" s="5">
        <v>148.16</v>
      </c>
      <c r="M1008" s="5">
        <f t="shared" si="30"/>
        <v>9298.8979490980964</v>
      </c>
      <c r="N1008" s="18">
        <f t="shared" si="31"/>
        <v>0</v>
      </c>
      <c r="O1008" s="18">
        <f t="shared" si="32"/>
        <v>13.539999999999992</v>
      </c>
      <c r="P1008" s="18">
        <f t="shared" si="33"/>
        <v>849.80479367432599</v>
      </c>
      <c r="Q1008" s="5">
        <f t="shared" si="34"/>
        <v>9.1387688984881148</v>
      </c>
    </row>
    <row r="1009" spans="1:17" x14ac:dyDescent="0.2">
      <c r="A1009" s="4" t="s">
        <v>83</v>
      </c>
      <c r="B1009" s="4">
        <v>2015</v>
      </c>
      <c r="C1009" s="4" t="s">
        <v>67</v>
      </c>
      <c r="D1009" s="4">
        <v>4</v>
      </c>
      <c r="E1009" s="4">
        <v>4</v>
      </c>
      <c r="F1009" s="4">
        <v>1</v>
      </c>
      <c r="G1009" s="6" t="str">
        <f t="shared" si="28"/>
        <v>41</v>
      </c>
      <c r="H1009" s="5">
        <v>70</v>
      </c>
      <c r="I1009" s="5">
        <v>150.32</v>
      </c>
      <c r="J1009" s="5">
        <f t="shared" si="29"/>
        <v>9434.4650358290091</v>
      </c>
      <c r="K1009" s="5">
        <v>60</v>
      </c>
      <c r="L1009" s="5">
        <v>152.36000000000001</v>
      </c>
      <c r="M1009" s="5">
        <f t="shared" si="30"/>
        <v>9562.500617741538</v>
      </c>
      <c r="N1009" s="18">
        <f t="shared" si="31"/>
        <v>-16.666666666666664</v>
      </c>
      <c r="O1009" s="18">
        <f t="shared" si="32"/>
        <v>-2.0400000000000205</v>
      </c>
      <c r="P1009" s="18">
        <f t="shared" si="33"/>
        <v>-128.03558191252887</v>
      </c>
      <c r="Q1009" s="5">
        <f t="shared" si="34"/>
        <v>-1.3389341034392339</v>
      </c>
    </row>
    <row r="1010" spans="1:17" x14ac:dyDescent="0.2">
      <c r="A1010" s="4" t="s">
        <v>83</v>
      </c>
      <c r="B1010" s="4">
        <v>2015</v>
      </c>
      <c r="C1010" s="4" t="s">
        <v>67</v>
      </c>
      <c r="D1010" s="4">
        <v>1</v>
      </c>
      <c r="E1010" s="4">
        <v>5</v>
      </c>
      <c r="F1010" s="4">
        <v>1</v>
      </c>
      <c r="G1010" s="6" t="str">
        <f t="shared" si="28"/>
        <v>51</v>
      </c>
      <c r="H1010" s="5">
        <v>60</v>
      </c>
      <c r="I1010" s="5">
        <v>143.43</v>
      </c>
      <c r="J1010" s="5">
        <f t="shared" si="29"/>
        <v>9002.0311341734614</v>
      </c>
      <c r="K1010" s="5">
        <v>60</v>
      </c>
      <c r="L1010" s="5">
        <v>141.6</v>
      </c>
      <c r="M1010" s="5">
        <f t="shared" si="30"/>
        <v>8887.1756856931061</v>
      </c>
      <c r="N1010" s="18">
        <f t="shared" si="31"/>
        <v>0</v>
      </c>
      <c r="O1010" s="18">
        <f t="shared" si="32"/>
        <v>1.8300000000000125</v>
      </c>
      <c r="P1010" s="18">
        <f t="shared" si="33"/>
        <v>114.85544848035534</v>
      </c>
      <c r="Q1010" s="5">
        <f t="shared" si="34"/>
        <v>1.2923728813559268</v>
      </c>
    </row>
    <row r="1011" spans="1:17" x14ac:dyDescent="0.2">
      <c r="A1011" s="4" t="s">
        <v>83</v>
      </c>
      <c r="B1011" s="4">
        <v>2015</v>
      </c>
      <c r="C1011" s="4" t="s">
        <v>67</v>
      </c>
      <c r="D1011" s="4">
        <v>2</v>
      </c>
      <c r="E1011" s="4">
        <v>5</v>
      </c>
      <c r="F1011" s="4">
        <v>1</v>
      </c>
      <c r="G1011" s="6" t="str">
        <f t="shared" si="28"/>
        <v>51</v>
      </c>
      <c r="H1011" s="5">
        <v>70</v>
      </c>
      <c r="I1011" s="5">
        <v>129.09</v>
      </c>
      <c r="J1011" s="5">
        <f t="shared" si="29"/>
        <v>8102.0163083765756</v>
      </c>
      <c r="K1011" s="5">
        <v>70</v>
      </c>
      <c r="L1011" s="5">
        <v>136.46</v>
      </c>
      <c r="M1011" s="5">
        <f t="shared" si="30"/>
        <v>8564.5762293056596</v>
      </c>
      <c r="N1011" s="18">
        <f t="shared" si="31"/>
        <v>0</v>
      </c>
      <c r="O1011" s="18">
        <f t="shared" si="32"/>
        <v>-7.3700000000000045</v>
      </c>
      <c r="P1011" s="18">
        <f t="shared" si="33"/>
        <v>-462.559920929084</v>
      </c>
      <c r="Q1011" s="5">
        <f t="shared" si="34"/>
        <v>-5.4008500659534002</v>
      </c>
    </row>
    <row r="1012" spans="1:17" x14ac:dyDescent="0.2">
      <c r="A1012" s="4" t="s">
        <v>83</v>
      </c>
      <c r="B1012" s="4">
        <v>2015</v>
      </c>
      <c r="C1012" s="4" t="s">
        <v>67</v>
      </c>
      <c r="D1012" s="4">
        <v>3</v>
      </c>
      <c r="E1012" s="4">
        <v>5</v>
      </c>
      <c r="F1012" s="4">
        <v>1</v>
      </c>
      <c r="G1012" s="6" t="str">
        <f t="shared" si="28"/>
        <v>51</v>
      </c>
      <c r="H1012" s="5">
        <v>60</v>
      </c>
      <c r="I1012" s="5">
        <v>131.16</v>
      </c>
      <c r="J1012" s="5">
        <f t="shared" si="29"/>
        <v>8231.9347664936995</v>
      </c>
      <c r="K1012" s="5">
        <v>70</v>
      </c>
      <c r="L1012" s="5">
        <v>148.16</v>
      </c>
      <c r="M1012" s="5">
        <f t="shared" si="30"/>
        <v>9298.8979490980964</v>
      </c>
      <c r="N1012" s="18">
        <f t="shared" si="31"/>
        <v>14.285714285714285</v>
      </c>
      <c r="O1012" s="18">
        <f t="shared" si="32"/>
        <v>-17</v>
      </c>
      <c r="P1012" s="18">
        <f t="shared" si="33"/>
        <v>-1066.9631826043969</v>
      </c>
      <c r="Q1012" s="5">
        <f t="shared" si="34"/>
        <v>-11.474082073434111</v>
      </c>
    </row>
    <row r="1013" spans="1:17" x14ac:dyDescent="0.2">
      <c r="A1013" s="4" t="s">
        <v>83</v>
      </c>
      <c r="B1013" s="4">
        <v>2015</v>
      </c>
      <c r="C1013" s="4" t="s">
        <v>67</v>
      </c>
      <c r="D1013" s="4">
        <v>4</v>
      </c>
      <c r="E1013" s="4">
        <v>5</v>
      </c>
      <c r="F1013" s="4">
        <v>1</v>
      </c>
      <c r="G1013" s="6" t="str">
        <f t="shared" si="28"/>
        <v>51</v>
      </c>
      <c r="H1013" s="5">
        <v>70</v>
      </c>
      <c r="I1013" s="5">
        <v>155.87</v>
      </c>
      <c r="J1013" s="5">
        <f t="shared" si="29"/>
        <v>9782.7971336792689</v>
      </c>
      <c r="K1013" s="5">
        <v>60</v>
      </c>
      <c r="L1013" s="5">
        <v>152.36000000000001</v>
      </c>
      <c r="M1013" s="5">
        <f t="shared" si="30"/>
        <v>9562.500617741538</v>
      </c>
      <c r="N1013" s="18">
        <f t="shared" si="31"/>
        <v>-16.666666666666664</v>
      </c>
      <c r="O1013" s="18">
        <f t="shared" si="32"/>
        <v>3.5099999999999909</v>
      </c>
      <c r="P1013" s="18">
        <f t="shared" si="33"/>
        <v>220.29651593773087</v>
      </c>
      <c r="Q1013" s="5">
        <f t="shared" si="34"/>
        <v>2.3037542662115955</v>
      </c>
    </row>
    <row r="1014" spans="1:17" x14ac:dyDescent="0.2">
      <c r="A1014" s="4" t="s">
        <v>83</v>
      </c>
      <c r="B1014" s="4">
        <v>2015</v>
      </c>
      <c r="C1014" s="4" t="s">
        <v>67</v>
      </c>
      <c r="D1014" s="4">
        <v>1</v>
      </c>
      <c r="E1014" s="4">
        <v>6</v>
      </c>
      <c r="F1014" s="4">
        <v>1</v>
      </c>
      <c r="G1014" s="6" t="str">
        <f t="shared" si="28"/>
        <v>61</v>
      </c>
      <c r="H1014" s="5">
        <v>60</v>
      </c>
      <c r="I1014" s="5">
        <v>162.11000000000001</v>
      </c>
      <c r="J1014" s="5">
        <f t="shared" si="29"/>
        <v>10174.435384235238</v>
      </c>
      <c r="K1014" s="5">
        <v>60</v>
      </c>
      <c r="L1014" s="5">
        <v>141.6</v>
      </c>
      <c r="M1014" s="5">
        <f t="shared" si="30"/>
        <v>8887.1756856931061</v>
      </c>
      <c r="N1014" s="18">
        <f t="shared" si="31"/>
        <v>0</v>
      </c>
      <c r="O1014" s="18">
        <f t="shared" si="32"/>
        <v>20.510000000000019</v>
      </c>
      <c r="P1014" s="18">
        <f t="shared" si="33"/>
        <v>1287.2596985421314</v>
      </c>
      <c r="Q1014" s="5">
        <f t="shared" si="34"/>
        <v>14.484463276836173</v>
      </c>
    </row>
    <row r="1015" spans="1:17" x14ac:dyDescent="0.2">
      <c r="A1015" s="4" t="s">
        <v>83</v>
      </c>
      <c r="B1015" s="4">
        <v>2015</v>
      </c>
      <c r="C1015" s="4" t="s">
        <v>67</v>
      </c>
      <c r="D1015" s="4">
        <v>2</v>
      </c>
      <c r="E1015" s="4">
        <v>6</v>
      </c>
      <c r="F1015" s="4">
        <v>1</v>
      </c>
      <c r="G1015" s="6" t="str">
        <f t="shared" si="28"/>
        <v>61</v>
      </c>
      <c r="H1015" s="5">
        <v>70</v>
      </c>
      <c r="I1015" s="5">
        <v>158.13</v>
      </c>
      <c r="J1015" s="5">
        <f t="shared" si="29"/>
        <v>9924.6404744254996</v>
      </c>
      <c r="K1015" s="5">
        <v>70</v>
      </c>
      <c r="L1015" s="5">
        <v>136.46</v>
      </c>
      <c r="M1015" s="5">
        <f t="shared" si="30"/>
        <v>8564.5762293056596</v>
      </c>
      <c r="N1015" s="18">
        <f t="shared" si="31"/>
        <v>0</v>
      </c>
      <c r="O1015" s="18">
        <f t="shared" si="32"/>
        <v>21.669999999999987</v>
      </c>
      <c r="P1015" s="18">
        <f t="shared" si="33"/>
        <v>1360.0642451198401</v>
      </c>
      <c r="Q1015" s="5">
        <f t="shared" si="34"/>
        <v>15.880111387952489</v>
      </c>
    </row>
    <row r="1016" spans="1:17" x14ac:dyDescent="0.2">
      <c r="A1016" s="4" t="s">
        <v>83</v>
      </c>
      <c r="B1016" s="4">
        <v>2015</v>
      </c>
      <c r="C1016" s="4" t="s">
        <v>67</v>
      </c>
      <c r="D1016" s="4">
        <v>3</v>
      </c>
      <c r="E1016" s="4">
        <v>6</v>
      </c>
      <c r="F1016" s="4">
        <v>1</v>
      </c>
      <c r="G1016" s="6" t="str">
        <f t="shared" si="28"/>
        <v>61</v>
      </c>
      <c r="H1016" s="5">
        <v>70</v>
      </c>
      <c r="I1016" s="5">
        <v>150.85</v>
      </c>
      <c r="J1016" s="5">
        <f t="shared" si="29"/>
        <v>9467.7291821102044</v>
      </c>
      <c r="K1016" s="5">
        <v>70</v>
      </c>
      <c r="L1016" s="5">
        <v>148.16</v>
      </c>
      <c r="M1016" s="5">
        <f t="shared" si="30"/>
        <v>9298.8979490980964</v>
      </c>
      <c r="N1016" s="18">
        <f t="shared" si="31"/>
        <v>0</v>
      </c>
      <c r="O1016" s="18">
        <f t="shared" si="32"/>
        <v>2.6899999999999977</v>
      </c>
      <c r="P1016" s="18">
        <f t="shared" si="33"/>
        <v>168.83123301210799</v>
      </c>
      <c r="Q1016" s="5">
        <f t="shared" si="34"/>
        <v>1.8156047516198734</v>
      </c>
    </row>
    <row r="1017" spans="1:17" x14ac:dyDescent="0.2">
      <c r="A1017" s="4" t="s">
        <v>83</v>
      </c>
      <c r="B1017" s="4">
        <v>2015</v>
      </c>
      <c r="C1017" s="4" t="s">
        <v>67</v>
      </c>
      <c r="D1017" s="4">
        <v>4</v>
      </c>
      <c r="E1017" s="4">
        <v>6</v>
      </c>
      <c r="F1017" s="4">
        <v>1</v>
      </c>
      <c r="G1017" s="6" t="str">
        <f t="shared" si="28"/>
        <v>61</v>
      </c>
      <c r="H1017" s="5">
        <v>70</v>
      </c>
      <c r="I1017" s="5">
        <v>168.54</v>
      </c>
      <c r="J1017" s="5">
        <f t="shared" si="29"/>
        <v>10577.99851742031</v>
      </c>
      <c r="K1017" s="5">
        <v>60</v>
      </c>
      <c r="L1017" s="5">
        <v>152.36000000000001</v>
      </c>
      <c r="M1017" s="5">
        <f t="shared" si="30"/>
        <v>9562.500617741538</v>
      </c>
      <c r="N1017" s="18">
        <f t="shared" si="31"/>
        <v>-16.666666666666664</v>
      </c>
      <c r="O1017" s="18">
        <f t="shared" si="32"/>
        <v>16.179999999999978</v>
      </c>
      <c r="P1017" s="18">
        <f t="shared" si="33"/>
        <v>1015.4978996787722</v>
      </c>
      <c r="Q1017" s="5">
        <f t="shared" si="34"/>
        <v>10.619585192964008</v>
      </c>
    </row>
    <row r="1018" spans="1:17" x14ac:dyDescent="0.2">
      <c r="A1018" s="4" t="s">
        <v>83</v>
      </c>
      <c r="B1018" s="4">
        <v>2015</v>
      </c>
      <c r="C1018" s="4" t="s">
        <v>67</v>
      </c>
      <c r="D1018" s="4">
        <v>1</v>
      </c>
      <c r="E1018" s="4">
        <v>7</v>
      </c>
      <c r="F1018" s="4">
        <v>2</v>
      </c>
      <c r="G1018" s="6" t="str">
        <f t="shared" si="28"/>
        <v>72</v>
      </c>
      <c r="H1018" s="5">
        <v>70</v>
      </c>
      <c r="I1018" s="5">
        <v>136.56</v>
      </c>
      <c r="J1018" s="5">
        <f t="shared" si="29"/>
        <v>8570.8524833209776</v>
      </c>
      <c r="K1018" s="5">
        <v>60</v>
      </c>
      <c r="L1018" s="5">
        <v>141.6</v>
      </c>
      <c r="M1018" s="5">
        <f t="shared" si="30"/>
        <v>8887.1756856931061</v>
      </c>
      <c r="N1018" s="18">
        <f t="shared" si="31"/>
        <v>-16.666666666666664</v>
      </c>
      <c r="O1018" s="18">
        <f t="shared" si="32"/>
        <v>-5.039999999999992</v>
      </c>
      <c r="P1018" s="18">
        <f t="shared" si="33"/>
        <v>-316.32320237212843</v>
      </c>
      <c r="Q1018" s="5">
        <f t="shared" si="34"/>
        <v>-3.5593220338983156</v>
      </c>
    </row>
    <row r="1019" spans="1:17" x14ac:dyDescent="0.2">
      <c r="A1019" s="4" t="s">
        <v>83</v>
      </c>
      <c r="B1019" s="4">
        <v>2015</v>
      </c>
      <c r="C1019" s="4" t="s">
        <v>67</v>
      </c>
      <c r="D1019" s="4">
        <v>2</v>
      </c>
      <c r="E1019" s="4">
        <v>7</v>
      </c>
      <c r="F1019" s="4">
        <v>2</v>
      </c>
      <c r="G1019" s="6" t="str">
        <f t="shared" si="28"/>
        <v>72</v>
      </c>
      <c r="H1019" s="5">
        <v>60</v>
      </c>
      <c r="I1019" s="5">
        <v>137.26</v>
      </c>
      <c r="J1019" s="5">
        <f t="shared" si="29"/>
        <v>8614.7862614282185</v>
      </c>
      <c r="K1019" s="5">
        <v>70</v>
      </c>
      <c r="L1019" s="5">
        <v>136.46</v>
      </c>
      <c r="M1019" s="5">
        <f t="shared" si="30"/>
        <v>8564.5762293056596</v>
      </c>
      <c r="N1019" s="18">
        <f t="shared" si="31"/>
        <v>14.285714285714285</v>
      </c>
      <c r="O1019" s="18">
        <f t="shared" si="32"/>
        <v>0.79999999999998295</v>
      </c>
      <c r="P1019" s="18">
        <f t="shared" si="33"/>
        <v>50.210032122558914</v>
      </c>
      <c r="Q1019" s="5">
        <f t="shared" si="34"/>
        <v>0.58625238165028859</v>
      </c>
    </row>
    <row r="1020" spans="1:17" x14ac:dyDescent="0.2">
      <c r="A1020" s="4" t="s">
        <v>83</v>
      </c>
      <c r="B1020" s="4">
        <v>2015</v>
      </c>
      <c r="C1020" s="4" t="s">
        <v>67</v>
      </c>
      <c r="D1020" s="4">
        <v>3</v>
      </c>
      <c r="E1020" s="19">
        <v>7</v>
      </c>
      <c r="F1020" s="19">
        <v>2</v>
      </c>
      <c r="G1020" s="6" t="str">
        <f t="shared" si="28"/>
        <v>72</v>
      </c>
      <c r="H1020" s="5">
        <v>70</v>
      </c>
      <c r="I1020" s="5">
        <v>146.63</v>
      </c>
      <c r="J1020" s="5">
        <f t="shared" si="29"/>
        <v>9202.8712626637007</v>
      </c>
      <c r="K1020" s="5">
        <v>70</v>
      </c>
      <c r="L1020" s="5">
        <v>148.16</v>
      </c>
      <c r="M1020" s="5">
        <f t="shared" si="30"/>
        <v>9298.8979490980964</v>
      </c>
      <c r="N1020" s="18">
        <f t="shared" si="31"/>
        <v>0</v>
      </c>
      <c r="O1020" s="18">
        <f t="shared" si="32"/>
        <v>-1.5300000000000011</v>
      </c>
      <c r="P1020" s="18">
        <f t="shared" si="33"/>
        <v>-96.026686434395742</v>
      </c>
      <c r="Q1020" s="5">
        <f t="shared" si="34"/>
        <v>-1.0326673866090703</v>
      </c>
    </row>
    <row r="1021" spans="1:17" x14ac:dyDescent="0.2">
      <c r="A1021" s="4" t="s">
        <v>83</v>
      </c>
      <c r="B1021" s="4">
        <v>2015</v>
      </c>
      <c r="C1021" s="4" t="s">
        <v>67</v>
      </c>
      <c r="D1021" s="4">
        <v>4</v>
      </c>
      <c r="E1021" s="19">
        <v>7</v>
      </c>
      <c r="F1021" s="19">
        <v>2</v>
      </c>
      <c r="G1021" s="6" t="str">
        <f t="shared" si="28"/>
        <v>72</v>
      </c>
      <c r="H1021" s="5">
        <v>70</v>
      </c>
      <c r="I1021" s="5">
        <v>140.68</v>
      </c>
      <c r="J1021" s="5">
        <f t="shared" si="29"/>
        <v>8829.4341487521633</v>
      </c>
      <c r="K1021" s="5">
        <v>60</v>
      </c>
      <c r="L1021" s="5">
        <v>152.36000000000001</v>
      </c>
      <c r="M1021" s="5">
        <f t="shared" si="30"/>
        <v>9562.500617741538</v>
      </c>
      <c r="N1021" s="18">
        <f t="shared" si="31"/>
        <v>-16.666666666666664</v>
      </c>
      <c r="O1021" s="18">
        <f t="shared" si="32"/>
        <v>-11.680000000000007</v>
      </c>
      <c r="P1021" s="18">
        <f t="shared" si="33"/>
        <v>-733.0664689893747</v>
      </c>
      <c r="Q1021" s="5">
        <f t="shared" si="34"/>
        <v>-7.6660540824363324</v>
      </c>
    </row>
    <row r="1022" spans="1:17" x14ac:dyDescent="0.2">
      <c r="A1022" s="4" t="s">
        <v>83</v>
      </c>
      <c r="B1022" s="4">
        <v>2015</v>
      </c>
      <c r="C1022" s="4" t="s">
        <v>67</v>
      </c>
      <c r="D1022" s="4">
        <v>1</v>
      </c>
      <c r="E1022" s="4">
        <v>8</v>
      </c>
      <c r="F1022" s="4">
        <v>2</v>
      </c>
      <c r="G1022" s="6" t="str">
        <f t="shared" si="28"/>
        <v>82</v>
      </c>
      <c r="H1022" s="5">
        <v>70</v>
      </c>
      <c r="I1022" s="5">
        <v>156.65</v>
      </c>
      <c r="J1022" s="5">
        <f t="shared" si="29"/>
        <v>9831.7519149987656</v>
      </c>
      <c r="K1022" s="5">
        <v>60</v>
      </c>
      <c r="L1022" s="5">
        <v>141.6</v>
      </c>
      <c r="M1022" s="5">
        <f t="shared" si="30"/>
        <v>8887.1756856931061</v>
      </c>
      <c r="N1022" s="18">
        <f t="shared" si="31"/>
        <v>-16.666666666666664</v>
      </c>
      <c r="O1022" s="18">
        <f t="shared" si="32"/>
        <v>15.050000000000011</v>
      </c>
      <c r="P1022" s="18">
        <f t="shared" si="33"/>
        <v>944.57622930565958</v>
      </c>
      <c r="Q1022" s="5">
        <f t="shared" si="34"/>
        <v>10.628531073446339</v>
      </c>
    </row>
    <row r="1023" spans="1:17" x14ac:dyDescent="0.2">
      <c r="A1023" s="4" t="s">
        <v>83</v>
      </c>
      <c r="B1023" s="4">
        <v>2015</v>
      </c>
      <c r="C1023" s="4" t="s">
        <v>67</v>
      </c>
      <c r="D1023" s="4">
        <v>2</v>
      </c>
      <c r="E1023" s="4">
        <v>8</v>
      </c>
      <c r="F1023" s="4">
        <v>2</v>
      </c>
      <c r="G1023" s="6" t="str">
        <f t="shared" si="28"/>
        <v>82</v>
      </c>
      <c r="H1023" s="5">
        <v>60</v>
      </c>
      <c r="I1023" s="5">
        <v>138.57</v>
      </c>
      <c r="J1023" s="5">
        <f t="shared" si="29"/>
        <v>8697.0051890289105</v>
      </c>
      <c r="K1023" s="5">
        <v>70</v>
      </c>
      <c r="L1023" s="5">
        <v>136.46</v>
      </c>
      <c r="M1023" s="5">
        <f t="shared" si="30"/>
        <v>8564.5762293056596</v>
      </c>
      <c r="N1023" s="18">
        <f t="shared" si="31"/>
        <v>14.285714285714285</v>
      </c>
      <c r="O1023" s="18">
        <f t="shared" si="32"/>
        <v>2.1099999999999852</v>
      </c>
      <c r="P1023" s="18">
        <f t="shared" si="33"/>
        <v>132.42895972325095</v>
      </c>
      <c r="Q1023" s="5">
        <f t="shared" si="34"/>
        <v>1.5462406566026574</v>
      </c>
    </row>
    <row r="1024" spans="1:17" x14ac:dyDescent="0.2">
      <c r="A1024" s="4" t="s">
        <v>83</v>
      </c>
      <c r="B1024" s="4">
        <v>2015</v>
      </c>
      <c r="C1024" s="4" t="s">
        <v>67</v>
      </c>
      <c r="D1024" s="4">
        <v>3</v>
      </c>
      <c r="E1024" s="19">
        <v>8</v>
      </c>
      <c r="F1024" s="19">
        <v>2</v>
      </c>
      <c r="G1024" s="6" t="str">
        <f t="shared" si="28"/>
        <v>82</v>
      </c>
      <c r="H1024" s="5">
        <v>60</v>
      </c>
      <c r="I1024" s="5">
        <v>148.66</v>
      </c>
      <c r="J1024" s="5">
        <f t="shared" si="29"/>
        <v>9330.2792191746976</v>
      </c>
      <c r="K1024" s="5">
        <v>70</v>
      </c>
      <c r="L1024" s="5">
        <v>148.16</v>
      </c>
      <c r="M1024" s="5">
        <f t="shared" si="30"/>
        <v>9298.8979490980964</v>
      </c>
      <c r="N1024" s="18">
        <f t="shared" si="31"/>
        <v>14.285714285714285</v>
      </c>
      <c r="O1024" s="18">
        <f t="shared" si="32"/>
        <v>0.5</v>
      </c>
      <c r="P1024" s="18">
        <f t="shared" si="33"/>
        <v>31.38127007660114</v>
      </c>
      <c r="Q1024" s="5">
        <f t="shared" si="34"/>
        <v>0.33747300215984005</v>
      </c>
    </row>
    <row r="1025" spans="1:17" x14ac:dyDescent="0.2">
      <c r="A1025" s="4" t="s">
        <v>83</v>
      </c>
      <c r="B1025" s="4">
        <v>2015</v>
      </c>
      <c r="C1025" s="4" t="s">
        <v>67</v>
      </c>
      <c r="D1025" s="4">
        <v>4</v>
      </c>
      <c r="E1025" s="19">
        <v>8</v>
      </c>
      <c r="F1025" s="19">
        <v>2</v>
      </c>
      <c r="G1025" s="6" t="str">
        <f t="shared" si="28"/>
        <v>82</v>
      </c>
      <c r="H1025" s="5">
        <v>70</v>
      </c>
      <c r="I1025" s="5">
        <v>147.69</v>
      </c>
      <c r="J1025" s="5">
        <f t="shared" si="29"/>
        <v>9269.3995552260931</v>
      </c>
      <c r="K1025" s="5">
        <v>60</v>
      </c>
      <c r="L1025" s="5">
        <v>152.36000000000001</v>
      </c>
      <c r="M1025" s="5">
        <f t="shared" si="30"/>
        <v>9562.500617741538</v>
      </c>
      <c r="N1025" s="18">
        <f t="shared" si="31"/>
        <v>-16.666666666666664</v>
      </c>
      <c r="O1025" s="18">
        <f t="shared" si="32"/>
        <v>-4.6700000000000159</v>
      </c>
      <c r="P1025" s="18">
        <f t="shared" si="33"/>
        <v>-293.10106251544494</v>
      </c>
      <c r="Q1025" s="5">
        <f t="shared" si="34"/>
        <v>-3.0651089524809803</v>
      </c>
    </row>
    <row r="1026" spans="1:17" x14ac:dyDescent="0.2">
      <c r="A1026" s="4" t="s">
        <v>83</v>
      </c>
      <c r="B1026" s="4">
        <v>2015</v>
      </c>
      <c r="C1026" s="4" t="s">
        <v>67</v>
      </c>
      <c r="D1026" s="4">
        <v>1</v>
      </c>
      <c r="E1026" s="4">
        <v>9</v>
      </c>
      <c r="F1026" s="4">
        <v>2</v>
      </c>
      <c r="G1026" s="6" t="str">
        <f t="shared" ref="G1026:G1089" si="35">E1026&amp;F1026</f>
        <v>92</v>
      </c>
      <c r="H1026" s="5">
        <v>60</v>
      </c>
      <c r="I1026" s="5">
        <v>145.06</v>
      </c>
      <c r="J1026" s="5">
        <f t="shared" ref="J1026:J1057" si="36">I1026*(25.4/0.4047)</f>
        <v>9104.334074623177</v>
      </c>
      <c r="K1026" s="5">
        <v>60</v>
      </c>
      <c r="L1026" s="5">
        <v>141.6</v>
      </c>
      <c r="M1026" s="5">
        <f t="shared" ref="M1026:M1057" si="37">L1026*(25.4/0.4047)</f>
        <v>8887.1756856931061</v>
      </c>
      <c r="N1026" s="18">
        <f t="shared" ref="N1026:N1057" si="38">(K1026-H1026)/K1026*100</f>
        <v>0</v>
      </c>
      <c r="O1026" s="18">
        <f t="shared" ref="O1026:O1057" si="39">I1026-L1026</f>
        <v>3.460000000000008</v>
      </c>
      <c r="P1026" s="18">
        <f t="shared" ref="P1026:P1057" si="40">J1026-M1026</f>
        <v>217.15838893007094</v>
      </c>
      <c r="Q1026" s="5">
        <f t="shared" ref="Q1026:Q1057" si="41">SUM(P1026/M1026)*100</f>
        <v>2.4435028248587489</v>
      </c>
    </row>
    <row r="1027" spans="1:17" x14ac:dyDescent="0.2">
      <c r="A1027" s="4" t="s">
        <v>83</v>
      </c>
      <c r="B1027" s="4">
        <v>2015</v>
      </c>
      <c r="C1027" s="4" t="s">
        <v>67</v>
      </c>
      <c r="D1027" s="4">
        <v>2</v>
      </c>
      <c r="E1027" s="4">
        <v>9</v>
      </c>
      <c r="F1027" s="4">
        <v>2</v>
      </c>
      <c r="G1027" s="6" t="str">
        <f t="shared" si="35"/>
        <v>92</v>
      </c>
      <c r="H1027" s="5">
        <v>60</v>
      </c>
      <c r="I1027" s="5">
        <v>145.53</v>
      </c>
      <c r="J1027" s="5">
        <f t="shared" si="36"/>
        <v>9133.8324684951822</v>
      </c>
      <c r="K1027" s="5">
        <v>70</v>
      </c>
      <c r="L1027" s="5">
        <v>136.46</v>
      </c>
      <c r="M1027" s="5">
        <f t="shared" si="37"/>
        <v>8564.5762293056596</v>
      </c>
      <c r="N1027" s="18">
        <f t="shared" si="38"/>
        <v>14.285714285714285</v>
      </c>
      <c r="O1027" s="18">
        <f t="shared" si="39"/>
        <v>9.0699999999999932</v>
      </c>
      <c r="P1027" s="18">
        <f t="shared" si="40"/>
        <v>569.2562391895226</v>
      </c>
      <c r="Q1027" s="5">
        <f t="shared" si="41"/>
        <v>6.6466363769602745</v>
      </c>
    </row>
    <row r="1028" spans="1:17" x14ac:dyDescent="0.2">
      <c r="A1028" s="4" t="s">
        <v>83</v>
      </c>
      <c r="B1028" s="4">
        <v>2015</v>
      </c>
      <c r="C1028" s="4" t="s">
        <v>67</v>
      </c>
      <c r="D1028" s="4">
        <v>3</v>
      </c>
      <c r="E1028" s="19">
        <v>9</v>
      </c>
      <c r="F1028" s="19">
        <v>2</v>
      </c>
      <c r="G1028" s="6" t="str">
        <f t="shared" si="35"/>
        <v>92</v>
      </c>
      <c r="H1028" s="5">
        <v>70</v>
      </c>
      <c r="I1028" s="5">
        <v>147.11000000000001</v>
      </c>
      <c r="J1028" s="5">
        <f t="shared" si="36"/>
        <v>9232.9972819372379</v>
      </c>
      <c r="K1028" s="5">
        <v>70</v>
      </c>
      <c r="L1028" s="5">
        <v>148.16</v>
      </c>
      <c r="M1028" s="5">
        <f t="shared" si="37"/>
        <v>9298.8979490980964</v>
      </c>
      <c r="N1028" s="18">
        <f t="shared" si="38"/>
        <v>0</v>
      </c>
      <c r="O1028" s="18">
        <f t="shared" si="39"/>
        <v>-1.0499999999999829</v>
      </c>
      <c r="P1028" s="18">
        <f t="shared" si="40"/>
        <v>-65.900667160858575</v>
      </c>
      <c r="Q1028" s="5">
        <f t="shared" si="41"/>
        <v>-0.70869330453562307</v>
      </c>
    </row>
    <row r="1029" spans="1:17" x14ac:dyDescent="0.2">
      <c r="A1029" s="4" t="s">
        <v>83</v>
      </c>
      <c r="B1029" s="4">
        <v>2015</v>
      </c>
      <c r="C1029" s="4" t="s">
        <v>67</v>
      </c>
      <c r="D1029" s="4">
        <v>4</v>
      </c>
      <c r="E1029" s="19">
        <v>9</v>
      </c>
      <c r="F1029" s="19">
        <v>2</v>
      </c>
      <c r="G1029" s="6" t="str">
        <f t="shared" si="35"/>
        <v>92</v>
      </c>
      <c r="H1029" s="5">
        <v>70</v>
      </c>
      <c r="I1029" s="5">
        <v>148.91999999999999</v>
      </c>
      <c r="J1029" s="5">
        <f t="shared" si="36"/>
        <v>9346.5974796145292</v>
      </c>
      <c r="K1029" s="5">
        <v>60</v>
      </c>
      <c r="L1029" s="5">
        <v>152.36000000000001</v>
      </c>
      <c r="M1029" s="5">
        <f t="shared" si="37"/>
        <v>9562.500617741538</v>
      </c>
      <c r="N1029" s="18">
        <f t="shared" si="38"/>
        <v>-16.666666666666664</v>
      </c>
      <c r="O1029" s="18">
        <f t="shared" si="39"/>
        <v>-3.4400000000000261</v>
      </c>
      <c r="P1029" s="18">
        <f t="shared" si="40"/>
        <v>-215.90313812700879</v>
      </c>
      <c r="Q1029" s="5">
        <f t="shared" si="41"/>
        <v>-2.2578104489367403</v>
      </c>
    </row>
    <row r="1030" spans="1:17" x14ac:dyDescent="0.2">
      <c r="A1030" s="4" t="s">
        <v>83</v>
      </c>
      <c r="B1030" s="4">
        <v>2015</v>
      </c>
      <c r="C1030" s="4" t="s">
        <v>67</v>
      </c>
      <c r="D1030" s="4">
        <v>1</v>
      </c>
      <c r="E1030" s="4">
        <v>10</v>
      </c>
      <c r="F1030" s="4">
        <v>2</v>
      </c>
      <c r="G1030" s="6" t="str">
        <f t="shared" si="35"/>
        <v>102</v>
      </c>
      <c r="H1030" s="5">
        <v>50</v>
      </c>
      <c r="I1030" s="5">
        <v>165.85</v>
      </c>
      <c r="J1030" s="5">
        <f t="shared" si="36"/>
        <v>10409.167284408202</v>
      </c>
      <c r="K1030" s="5">
        <v>60</v>
      </c>
      <c r="L1030" s="5">
        <v>141.6</v>
      </c>
      <c r="M1030" s="5">
        <f t="shared" si="37"/>
        <v>8887.1756856931061</v>
      </c>
      <c r="N1030" s="18">
        <f t="shared" si="38"/>
        <v>16.666666666666664</v>
      </c>
      <c r="O1030" s="18">
        <f t="shared" si="39"/>
        <v>24.25</v>
      </c>
      <c r="P1030" s="18">
        <f t="shared" si="40"/>
        <v>1521.9915987150962</v>
      </c>
      <c r="Q1030" s="5">
        <f t="shared" si="41"/>
        <v>17.125706214689249</v>
      </c>
    </row>
    <row r="1031" spans="1:17" x14ac:dyDescent="0.2">
      <c r="A1031" s="4" t="s">
        <v>83</v>
      </c>
      <c r="B1031" s="4">
        <v>2015</v>
      </c>
      <c r="C1031" s="4" t="s">
        <v>67</v>
      </c>
      <c r="D1031" s="4">
        <v>2</v>
      </c>
      <c r="E1031" s="4">
        <v>10</v>
      </c>
      <c r="F1031" s="4">
        <v>2</v>
      </c>
      <c r="G1031" s="6" t="str">
        <f t="shared" si="35"/>
        <v>102</v>
      </c>
      <c r="H1031" s="5">
        <v>50</v>
      </c>
      <c r="I1031" s="5">
        <v>171.2</v>
      </c>
      <c r="J1031" s="5">
        <f t="shared" si="36"/>
        <v>10744.946874227822</v>
      </c>
      <c r="K1031" s="5">
        <v>70</v>
      </c>
      <c r="L1031" s="5">
        <v>136.46</v>
      </c>
      <c r="M1031" s="5">
        <f t="shared" si="37"/>
        <v>8564.5762293056596</v>
      </c>
      <c r="N1031" s="18">
        <f t="shared" si="38"/>
        <v>28.571428571428569</v>
      </c>
      <c r="O1031" s="18">
        <f t="shared" si="39"/>
        <v>34.739999999999981</v>
      </c>
      <c r="P1031" s="18">
        <f t="shared" si="40"/>
        <v>2180.3706449221627</v>
      </c>
      <c r="Q1031" s="5">
        <f t="shared" si="41"/>
        <v>25.458009673164273</v>
      </c>
    </row>
    <row r="1032" spans="1:17" x14ac:dyDescent="0.2">
      <c r="A1032" s="4" t="s">
        <v>83</v>
      </c>
      <c r="B1032" s="4">
        <v>2015</v>
      </c>
      <c r="C1032" s="4" t="s">
        <v>67</v>
      </c>
      <c r="D1032" s="4">
        <v>3</v>
      </c>
      <c r="E1032" s="19">
        <v>10</v>
      </c>
      <c r="F1032" s="19">
        <v>2</v>
      </c>
      <c r="G1032" s="6" t="str">
        <f t="shared" si="35"/>
        <v>102</v>
      </c>
      <c r="H1032" s="5">
        <v>60</v>
      </c>
      <c r="I1032" s="5">
        <v>155.33000000000001</v>
      </c>
      <c r="J1032" s="5">
        <f t="shared" si="36"/>
        <v>9748.9053619965416</v>
      </c>
      <c r="K1032" s="5">
        <v>70</v>
      </c>
      <c r="L1032" s="5">
        <v>148.16</v>
      </c>
      <c r="M1032" s="5">
        <f t="shared" si="37"/>
        <v>9298.8979490980964</v>
      </c>
      <c r="N1032" s="18">
        <f t="shared" si="38"/>
        <v>14.285714285714285</v>
      </c>
      <c r="O1032" s="18">
        <f t="shared" si="39"/>
        <v>7.1700000000000159</v>
      </c>
      <c r="P1032" s="18">
        <f t="shared" si="40"/>
        <v>450.00741289844518</v>
      </c>
      <c r="Q1032" s="5">
        <f t="shared" si="41"/>
        <v>4.8393628509719431</v>
      </c>
    </row>
    <row r="1033" spans="1:17" x14ac:dyDescent="0.2">
      <c r="A1033" s="4" t="s">
        <v>83</v>
      </c>
      <c r="B1033" s="4">
        <v>2015</v>
      </c>
      <c r="C1033" s="4" t="s">
        <v>67</v>
      </c>
      <c r="D1033" s="4">
        <v>4</v>
      </c>
      <c r="E1033" s="19">
        <v>10</v>
      </c>
      <c r="F1033" s="19">
        <v>2</v>
      </c>
      <c r="G1033" s="6" t="str">
        <f t="shared" si="35"/>
        <v>102</v>
      </c>
      <c r="H1033" s="5">
        <v>60</v>
      </c>
      <c r="I1033" s="5">
        <v>159.5</v>
      </c>
      <c r="J1033" s="5">
        <f t="shared" si="36"/>
        <v>10010.625154435384</v>
      </c>
      <c r="K1033" s="5">
        <v>60</v>
      </c>
      <c r="L1033" s="5">
        <v>152.36000000000001</v>
      </c>
      <c r="M1033" s="5">
        <f t="shared" si="37"/>
        <v>9562.500617741538</v>
      </c>
      <c r="N1033" s="18">
        <f t="shared" si="38"/>
        <v>0</v>
      </c>
      <c r="O1033" s="18">
        <f t="shared" si="39"/>
        <v>7.1399999999999864</v>
      </c>
      <c r="P1033" s="18">
        <f t="shared" si="40"/>
        <v>448.12453669384558</v>
      </c>
      <c r="Q1033" s="5">
        <f t="shared" si="41"/>
        <v>4.6862693620372617</v>
      </c>
    </row>
    <row r="1034" spans="1:17" x14ac:dyDescent="0.2">
      <c r="A1034" s="4" t="s">
        <v>83</v>
      </c>
      <c r="B1034" s="4">
        <v>2015</v>
      </c>
      <c r="C1034" s="4" t="s">
        <v>67</v>
      </c>
      <c r="D1034" s="4">
        <v>1</v>
      </c>
      <c r="E1034" s="4">
        <v>11</v>
      </c>
      <c r="F1034" s="4">
        <v>2</v>
      </c>
      <c r="G1034" s="6" t="str">
        <f t="shared" si="35"/>
        <v>112</v>
      </c>
      <c r="H1034" s="5">
        <v>30</v>
      </c>
      <c r="I1034" s="5">
        <v>196.46</v>
      </c>
      <c r="J1034" s="5">
        <f t="shared" si="36"/>
        <v>12330.328638497653</v>
      </c>
      <c r="K1034" s="5">
        <v>60</v>
      </c>
      <c r="L1034" s="5">
        <v>141.6</v>
      </c>
      <c r="M1034" s="5">
        <f t="shared" si="37"/>
        <v>8887.1756856931061</v>
      </c>
      <c r="N1034" s="18">
        <f t="shared" si="38"/>
        <v>50</v>
      </c>
      <c r="O1034" s="18">
        <f t="shared" si="39"/>
        <v>54.860000000000014</v>
      </c>
      <c r="P1034" s="18">
        <f t="shared" si="40"/>
        <v>3443.1529528045467</v>
      </c>
      <c r="Q1034" s="5">
        <f t="shared" si="41"/>
        <v>38.742937853107343</v>
      </c>
    </row>
    <row r="1035" spans="1:17" x14ac:dyDescent="0.2">
      <c r="A1035" s="4" t="s">
        <v>83</v>
      </c>
      <c r="B1035" s="4">
        <v>2015</v>
      </c>
      <c r="C1035" s="4" t="s">
        <v>67</v>
      </c>
      <c r="D1035" s="4">
        <v>2</v>
      </c>
      <c r="E1035" s="4">
        <v>11</v>
      </c>
      <c r="F1035" s="4">
        <v>2</v>
      </c>
      <c r="G1035" s="6" t="str">
        <f t="shared" si="35"/>
        <v>112</v>
      </c>
      <c r="H1035" s="5">
        <v>30</v>
      </c>
      <c r="I1035" s="5">
        <v>185.32</v>
      </c>
      <c r="J1035" s="5">
        <f t="shared" si="36"/>
        <v>11631.153941191005</v>
      </c>
      <c r="K1035" s="5">
        <v>70</v>
      </c>
      <c r="L1035" s="5">
        <v>136.46</v>
      </c>
      <c r="M1035" s="5">
        <f t="shared" si="37"/>
        <v>8564.5762293056596</v>
      </c>
      <c r="N1035" s="18">
        <f t="shared" si="38"/>
        <v>57.142857142857139</v>
      </c>
      <c r="O1035" s="18">
        <f t="shared" si="39"/>
        <v>48.859999999999985</v>
      </c>
      <c r="P1035" s="18">
        <f t="shared" si="40"/>
        <v>3066.5777118853457</v>
      </c>
      <c r="Q1035" s="5">
        <f t="shared" si="41"/>
        <v>35.80536420929208</v>
      </c>
    </row>
    <row r="1036" spans="1:17" x14ac:dyDescent="0.2">
      <c r="A1036" s="4" t="s">
        <v>83</v>
      </c>
      <c r="B1036" s="4">
        <v>2015</v>
      </c>
      <c r="C1036" s="4" t="s">
        <v>67</v>
      </c>
      <c r="D1036" s="4">
        <v>3</v>
      </c>
      <c r="E1036" s="19">
        <v>11</v>
      </c>
      <c r="F1036" s="19">
        <v>2</v>
      </c>
      <c r="G1036" s="6" t="str">
        <f t="shared" si="35"/>
        <v>112</v>
      </c>
      <c r="H1036" s="5">
        <v>30</v>
      </c>
      <c r="I1036" s="5">
        <v>180.04</v>
      </c>
      <c r="J1036" s="5">
        <f t="shared" si="36"/>
        <v>11299.767729182109</v>
      </c>
      <c r="K1036" s="5">
        <v>70</v>
      </c>
      <c r="L1036" s="5">
        <v>148.16</v>
      </c>
      <c r="M1036" s="5">
        <f t="shared" si="37"/>
        <v>9298.8979490980964</v>
      </c>
      <c r="N1036" s="18">
        <f t="shared" si="38"/>
        <v>57.142857142857139</v>
      </c>
      <c r="O1036" s="18">
        <f t="shared" si="39"/>
        <v>31.879999999999995</v>
      </c>
      <c r="P1036" s="18">
        <f t="shared" si="40"/>
        <v>2000.8697800840127</v>
      </c>
      <c r="Q1036" s="5">
        <f t="shared" si="41"/>
        <v>21.517278617710584</v>
      </c>
    </row>
    <row r="1037" spans="1:17" s="7" customFormat="1" x14ac:dyDescent="0.2">
      <c r="A1037" s="4" t="s">
        <v>83</v>
      </c>
      <c r="B1037" s="7">
        <v>2015</v>
      </c>
      <c r="C1037" s="7" t="s">
        <v>67</v>
      </c>
      <c r="D1037" s="7">
        <v>4</v>
      </c>
      <c r="E1037" s="21">
        <v>11</v>
      </c>
      <c r="F1037" s="21">
        <v>2</v>
      </c>
      <c r="G1037" s="6" t="str">
        <f t="shared" si="35"/>
        <v>112</v>
      </c>
      <c r="H1037" s="9">
        <v>40</v>
      </c>
      <c r="I1037" s="9">
        <v>195.9</v>
      </c>
      <c r="J1037" s="9">
        <f t="shared" si="36"/>
        <v>12295.181616011861</v>
      </c>
      <c r="K1037" s="9">
        <v>60</v>
      </c>
      <c r="L1037" s="9">
        <v>152.36000000000001</v>
      </c>
      <c r="M1037" s="9">
        <f t="shared" si="37"/>
        <v>9562.500617741538</v>
      </c>
      <c r="N1037" s="20">
        <f t="shared" si="38"/>
        <v>33.333333333333329</v>
      </c>
      <c r="O1037" s="20">
        <f t="shared" si="39"/>
        <v>43.539999999999992</v>
      </c>
      <c r="P1037" s="20">
        <f t="shared" si="40"/>
        <v>2732.6809982703235</v>
      </c>
      <c r="Q1037" s="9">
        <f t="shared" si="41"/>
        <v>28.577054344972431</v>
      </c>
    </row>
    <row r="1038" spans="1:17" x14ac:dyDescent="0.2">
      <c r="A1038" s="4" t="s">
        <v>83</v>
      </c>
      <c r="B1038" s="4">
        <v>2015</v>
      </c>
      <c r="C1038" s="4" t="s">
        <v>67</v>
      </c>
      <c r="D1038" s="4">
        <v>1</v>
      </c>
      <c r="E1038" s="4">
        <v>12</v>
      </c>
      <c r="F1038" s="4">
        <v>2</v>
      </c>
      <c r="G1038" s="6" t="str">
        <f t="shared" si="35"/>
        <v>122</v>
      </c>
      <c r="H1038" s="5">
        <v>40</v>
      </c>
      <c r="I1038" s="5">
        <v>169.81</v>
      </c>
      <c r="J1038" s="5">
        <f t="shared" si="36"/>
        <v>10657.706943414874</v>
      </c>
      <c r="K1038" s="5">
        <v>60</v>
      </c>
      <c r="L1038" s="5">
        <v>141.6</v>
      </c>
      <c r="M1038" s="5">
        <f t="shared" si="37"/>
        <v>8887.1756856931061</v>
      </c>
      <c r="N1038" s="18">
        <f t="shared" si="38"/>
        <v>33.333333333333329</v>
      </c>
      <c r="O1038" s="18">
        <f t="shared" si="39"/>
        <v>28.210000000000008</v>
      </c>
      <c r="P1038" s="18">
        <f t="shared" si="40"/>
        <v>1770.5312577217683</v>
      </c>
      <c r="Q1038" s="5">
        <f t="shared" si="41"/>
        <v>19.922316384180778</v>
      </c>
    </row>
    <row r="1039" spans="1:17" x14ac:dyDescent="0.2">
      <c r="A1039" s="4" t="s">
        <v>83</v>
      </c>
      <c r="B1039" s="4">
        <v>2015</v>
      </c>
      <c r="C1039" s="4" t="s">
        <v>67</v>
      </c>
      <c r="D1039" s="4">
        <v>2</v>
      </c>
      <c r="E1039" s="4">
        <v>12</v>
      </c>
      <c r="F1039" s="4">
        <v>2</v>
      </c>
      <c r="G1039" s="6" t="str">
        <f t="shared" si="35"/>
        <v>122</v>
      </c>
      <c r="H1039" s="5">
        <v>50</v>
      </c>
      <c r="I1039" s="5">
        <v>171.16</v>
      </c>
      <c r="J1039" s="5">
        <f t="shared" si="36"/>
        <v>10742.436372621694</v>
      </c>
      <c r="K1039" s="5">
        <v>70</v>
      </c>
      <c r="L1039" s="5">
        <v>136.46</v>
      </c>
      <c r="M1039" s="5">
        <f t="shared" si="37"/>
        <v>8564.5762293056596</v>
      </c>
      <c r="N1039" s="18">
        <f t="shared" si="38"/>
        <v>28.571428571428569</v>
      </c>
      <c r="O1039" s="18">
        <f t="shared" si="39"/>
        <v>34.699999999999989</v>
      </c>
      <c r="P1039" s="18">
        <f t="shared" si="40"/>
        <v>2177.8601433160347</v>
      </c>
      <c r="Q1039" s="5">
        <f t="shared" si="41"/>
        <v>25.428697054081756</v>
      </c>
    </row>
    <row r="1040" spans="1:17" x14ac:dyDescent="0.2">
      <c r="A1040" s="4" t="s">
        <v>83</v>
      </c>
      <c r="B1040" s="4">
        <v>2015</v>
      </c>
      <c r="C1040" s="4" t="s">
        <v>67</v>
      </c>
      <c r="D1040" s="4">
        <v>3</v>
      </c>
      <c r="E1040" s="19">
        <v>12</v>
      </c>
      <c r="F1040" s="19">
        <v>2</v>
      </c>
      <c r="G1040" s="6" t="str">
        <f t="shared" si="35"/>
        <v>122</v>
      </c>
      <c r="H1040" s="5">
        <v>50</v>
      </c>
      <c r="I1040" s="5">
        <v>159.91</v>
      </c>
      <c r="J1040" s="5">
        <f t="shared" si="36"/>
        <v>10036.357795898195</v>
      </c>
      <c r="K1040" s="5">
        <v>70</v>
      </c>
      <c r="L1040" s="5">
        <v>148.16</v>
      </c>
      <c r="M1040" s="5">
        <f t="shared" si="37"/>
        <v>9298.8979490980964</v>
      </c>
      <c r="N1040" s="18">
        <f t="shared" si="38"/>
        <v>28.571428571428569</v>
      </c>
      <c r="O1040" s="18">
        <f t="shared" si="39"/>
        <v>11.75</v>
      </c>
      <c r="P1040" s="18">
        <f t="shared" si="40"/>
        <v>737.4598468000986</v>
      </c>
      <c r="Q1040" s="5">
        <f t="shared" si="41"/>
        <v>7.9306155507559373</v>
      </c>
    </row>
    <row r="1041" spans="1:17" x14ac:dyDescent="0.2">
      <c r="A1041" s="4" t="s">
        <v>83</v>
      </c>
      <c r="B1041" s="4">
        <v>2015</v>
      </c>
      <c r="C1041" s="4" t="s">
        <v>67</v>
      </c>
      <c r="D1041" s="4">
        <v>4</v>
      </c>
      <c r="E1041" s="19">
        <v>12</v>
      </c>
      <c r="F1041" s="19">
        <v>2</v>
      </c>
      <c r="G1041" s="6" t="str">
        <f t="shared" si="35"/>
        <v>122</v>
      </c>
      <c r="H1041" s="5">
        <v>50</v>
      </c>
      <c r="I1041" s="5">
        <v>185.57</v>
      </c>
      <c r="J1041" s="5">
        <f t="shared" si="36"/>
        <v>11646.844576229305</v>
      </c>
      <c r="K1041" s="5">
        <v>60</v>
      </c>
      <c r="L1041" s="5">
        <v>152.36000000000001</v>
      </c>
      <c r="M1041" s="5">
        <f t="shared" si="37"/>
        <v>9562.500617741538</v>
      </c>
      <c r="N1041" s="18">
        <f t="shared" si="38"/>
        <v>16.666666666666664</v>
      </c>
      <c r="O1041" s="18">
        <f t="shared" si="39"/>
        <v>33.20999999999998</v>
      </c>
      <c r="P1041" s="18">
        <f t="shared" si="40"/>
        <v>2084.3439584877669</v>
      </c>
      <c r="Q1041" s="5">
        <f t="shared" si="41"/>
        <v>21.797059595694389</v>
      </c>
    </row>
    <row r="1042" spans="1:17" x14ac:dyDescent="0.2">
      <c r="A1042" s="4" t="s">
        <v>83</v>
      </c>
      <c r="B1042" s="4">
        <v>2015</v>
      </c>
      <c r="C1042" s="4" t="s">
        <v>67</v>
      </c>
      <c r="D1042" s="4">
        <v>1</v>
      </c>
      <c r="E1042" s="4">
        <v>13</v>
      </c>
      <c r="F1042" s="4">
        <v>2</v>
      </c>
      <c r="G1042" s="6" t="str">
        <f t="shared" si="35"/>
        <v>132</v>
      </c>
      <c r="H1042" s="5">
        <v>60</v>
      </c>
      <c r="I1042" s="5">
        <v>151.26</v>
      </c>
      <c r="J1042" s="5">
        <f t="shared" si="36"/>
        <v>9493.4618235730159</v>
      </c>
      <c r="K1042" s="5">
        <v>60</v>
      </c>
      <c r="L1042" s="5">
        <v>141.6</v>
      </c>
      <c r="M1042" s="5">
        <f t="shared" si="37"/>
        <v>8887.1756856931061</v>
      </c>
      <c r="N1042" s="18">
        <f t="shared" si="38"/>
        <v>0</v>
      </c>
      <c r="O1042" s="18">
        <f t="shared" si="39"/>
        <v>9.6599999999999966</v>
      </c>
      <c r="P1042" s="18">
        <f t="shared" si="40"/>
        <v>606.2861378799098</v>
      </c>
      <c r="Q1042" s="5">
        <f t="shared" si="41"/>
        <v>6.8220338983050706</v>
      </c>
    </row>
    <row r="1043" spans="1:17" x14ac:dyDescent="0.2">
      <c r="A1043" s="4" t="s">
        <v>83</v>
      </c>
      <c r="B1043" s="4">
        <v>2015</v>
      </c>
      <c r="C1043" s="4" t="s">
        <v>67</v>
      </c>
      <c r="D1043" s="4">
        <v>2</v>
      </c>
      <c r="E1043" s="4">
        <v>13</v>
      </c>
      <c r="F1043" s="4">
        <v>2</v>
      </c>
      <c r="G1043" s="6" t="str">
        <f t="shared" si="35"/>
        <v>132</v>
      </c>
      <c r="H1043" s="5">
        <v>60</v>
      </c>
      <c r="I1043" s="5">
        <v>164.99</v>
      </c>
      <c r="J1043" s="5">
        <f t="shared" si="36"/>
        <v>10355.191499876451</v>
      </c>
      <c r="K1043" s="5">
        <v>70</v>
      </c>
      <c r="L1043" s="5">
        <v>136.46</v>
      </c>
      <c r="M1043" s="5">
        <f t="shared" si="37"/>
        <v>8564.5762293056596</v>
      </c>
      <c r="N1043" s="18">
        <f t="shared" si="38"/>
        <v>14.285714285714285</v>
      </c>
      <c r="O1043" s="18">
        <f t="shared" si="39"/>
        <v>28.53</v>
      </c>
      <c r="P1043" s="18">
        <f t="shared" si="40"/>
        <v>1790.6152705707918</v>
      </c>
      <c r="Q1043" s="5">
        <f t="shared" si="41"/>
        <v>20.90722556060382</v>
      </c>
    </row>
    <row r="1044" spans="1:17" x14ac:dyDescent="0.2">
      <c r="A1044" s="4" t="s">
        <v>83</v>
      </c>
      <c r="B1044" s="4">
        <v>2015</v>
      </c>
      <c r="C1044" s="4" t="s">
        <v>67</v>
      </c>
      <c r="D1044" s="4">
        <v>3</v>
      </c>
      <c r="E1044" s="19">
        <v>13</v>
      </c>
      <c r="F1044" s="19">
        <v>2</v>
      </c>
      <c r="G1044" s="6" t="str">
        <f t="shared" si="35"/>
        <v>132</v>
      </c>
      <c r="H1044" s="5">
        <v>60</v>
      </c>
      <c r="I1044" s="5">
        <v>147.84</v>
      </c>
      <c r="J1044" s="5">
        <f t="shared" si="36"/>
        <v>9278.8139362490729</v>
      </c>
      <c r="K1044" s="5">
        <v>70</v>
      </c>
      <c r="L1044" s="5">
        <v>148.16</v>
      </c>
      <c r="M1044" s="5">
        <f t="shared" si="37"/>
        <v>9298.8979490980964</v>
      </c>
      <c r="N1044" s="18">
        <f t="shared" si="38"/>
        <v>14.285714285714285</v>
      </c>
      <c r="O1044" s="18">
        <f t="shared" si="39"/>
        <v>-0.31999999999999318</v>
      </c>
      <c r="P1044" s="18">
        <f t="shared" si="40"/>
        <v>-20.084012849023566</v>
      </c>
      <c r="Q1044" s="5">
        <f t="shared" si="41"/>
        <v>-0.21598272138228508</v>
      </c>
    </row>
    <row r="1045" spans="1:17" x14ac:dyDescent="0.2">
      <c r="A1045" s="4" t="s">
        <v>83</v>
      </c>
      <c r="B1045" s="4">
        <v>2015</v>
      </c>
      <c r="C1045" s="4" t="s">
        <v>67</v>
      </c>
      <c r="D1045" s="4">
        <v>4</v>
      </c>
      <c r="E1045" s="19">
        <v>13</v>
      </c>
      <c r="F1045" s="19">
        <v>2</v>
      </c>
      <c r="G1045" s="6" t="str">
        <f t="shared" si="35"/>
        <v>132</v>
      </c>
      <c r="H1045" s="5">
        <v>60</v>
      </c>
      <c r="I1045" s="5">
        <v>166.65</v>
      </c>
      <c r="J1045" s="5">
        <f t="shared" si="36"/>
        <v>10459.377316530763</v>
      </c>
      <c r="K1045" s="5">
        <v>60</v>
      </c>
      <c r="L1045" s="5">
        <v>152.36000000000001</v>
      </c>
      <c r="M1045" s="5">
        <f t="shared" si="37"/>
        <v>9562.500617741538</v>
      </c>
      <c r="N1045" s="18">
        <f t="shared" si="38"/>
        <v>0</v>
      </c>
      <c r="O1045" s="18">
        <f t="shared" si="39"/>
        <v>14.289999999999992</v>
      </c>
      <c r="P1045" s="18">
        <f t="shared" si="40"/>
        <v>896.87669878922497</v>
      </c>
      <c r="Q1045" s="5">
        <f t="shared" si="41"/>
        <v>9.3791021265423815</v>
      </c>
    </row>
    <row r="1046" spans="1:17" x14ac:dyDescent="0.2">
      <c r="A1046" s="4" t="s">
        <v>83</v>
      </c>
      <c r="B1046" s="4">
        <v>2015</v>
      </c>
      <c r="C1046" s="4" t="s">
        <v>67</v>
      </c>
      <c r="D1046" s="4">
        <v>1</v>
      </c>
      <c r="E1046" s="4">
        <v>14</v>
      </c>
      <c r="F1046" s="4">
        <v>2</v>
      </c>
      <c r="G1046" s="6" t="str">
        <f t="shared" si="35"/>
        <v>142</v>
      </c>
      <c r="H1046" s="5">
        <v>60</v>
      </c>
      <c r="I1046" s="5">
        <v>156.88</v>
      </c>
      <c r="J1046" s="5">
        <f t="shared" si="36"/>
        <v>9846.1872992339995</v>
      </c>
      <c r="K1046" s="5">
        <v>60</v>
      </c>
      <c r="L1046" s="5">
        <v>141.6</v>
      </c>
      <c r="M1046" s="5">
        <f t="shared" si="37"/>
        <v>8887.1756856931061</v>
      </c>
      <c r="N1046" s="18">
        <f t="shared" si="38"/>
        <v>0</v>
      </c>
      <c r="O1046" s="18">
        <f t="shared" si="39"/>
        <v>15.280000000000001</v>
      </c>
      <c r="P1046" s="18">
        <f t="shared" si="40"/>
        <v>959.01161354089345</v>
      </c>
      <c r="Q1046" s="5">
        <f t="shared" si="41"/>
        <v>10.790960451977389</v>
      </c>
    </row>
    <row r="1047" spans="1:17" x14ac:dyDescent="0.2">
      <c r="A1047" s="4" t="s">
        <v>83</v>
      </c>
      <c r="B1047" s="4">
        <v>2015</v>
      </c>
      <c r="C1047" s="4" t="s">
        <v>67</v>
      </c>
      <c r="D1047" s="4">
        <v>2</v>
      </c>
      <c r="E1047" s="4">
        <v>14</v>
      </c>
      <c r="F1047" s="4">
        <v>2</v>
      </c>
      <c r="G1047" s="6" t="str">
        <f t="shared" si="35"/>
        <v>142</v>
      </c>
      <c r="H1047" s="5">
        <v>70</v>
      </c>
      <c r="I1047" s="5">
        <v>155.30000000000001</v>
      </c>
      <c r="J1047" s="5">
        <f t="shared" si="36"/>
        <v>9747.0224857919457</v>
      </c>
      <c r="K1047" s="5">
        <v>70</v>
      </c>
      <c r="L1047" s="5">
        <v>136.46</v>
      </c>
      <c r="M1047" s="5">
        <f t="shared" si="37"/>
        <v>8564.5762293056596</v>
      </c>
      <c r="N1047" s="18">
        <f t="shared" si="38"/>
        <v>0</v>
      </c>
      <c r="O1047" s="18">
        <f t="shared" si="39"/>
        <v>18.840000000000003</v>
      </c>
      <c r="P1047" s="18">
        <f t="shared" si="40"/>
        <v>1182.4462564862861</v>
      </c>
      <c r="Q1047" s="5">
        <f t="shared" si="41"/>
        <v>13.806243587864572</v>
      </c>
    </row>
    <row r="1048" spans="1:17" x14ac:dyDescent="0.2">
      <c r="A1048" s="4" t="s">
        <v>83</v>
      </c>
      <c r="B1048" s="4">
        <v>2015</v>
      </c>
      <c r="C1048" s="4" t="s">
        <v>67</v>
      </c>
      <c r="D1048" s="4">
        <v>3</v>
      </c>
      <c r="E1048" s="19">
        <v>14</v>
      </c>
      <c r="F1048" s="19">
        <v>2</v>
      </c>
      <c r="G1048" s="6" t="str">
        <f t="shared" si="35"/>
        <v>142</v>
      </c>
      <c r="H1048" s="5">
        <v>70</v>
      </c>
      <c r="I1048" s="5">
        <v>161.26</v>
      </c>
      <c r="J1048" s="5">
        <f t="shared" si="36"/>
        <v>10121.087225105015</v>
      </c>
      <c r="K1048" s="5">
        <v>70</v>
      </c>
      <c r="L1048" s="5">
        <v>148.16</v>
      </c>
      <c r="M1048" s="5">
        <f t="shared" si="37"/>
        <v>9298.8979490980964</v>
      </c>
      <c r="N1048" s="18">
        <f t="shared" si="38"/>
        <v>0</v>
      </c>
      <c r="O1048" s="18">
        <f t="shared" si="39"/>
        <v>13.099999999999994</v>
      </c>
      <c r="P1048" s="18">
        <f t="shared" si="40"/>
        <v>822.18927600691859</v>
      </c>
      <c r="Q1048" s="5">
        <f t="shared" si="41"/>
        <v>8.8417926565874723</v>
      </c>
    </row>
    <row r="1049" spans="1:17" x14ac:dyDescent="0.2">
      <c r="A1049" s="4" t="s">
        <v>83</v>
      </c>
      <c r="B1049" s="4">
        <v>2015</v>
      </c>
      <c r="C1049" s="4" t="s">
        <v>67</v>
      </c>
      <c r="D1049" s="4">
        <v>4</v>
      </c>
      <c r="E1049" s="19">
        <v>14</v>
      </c>
      <c r="F1049" s="19">
        <v>2</v>
      </c>
      <c r="G1049" s="6" t="str">
        <f t="shared" si="35"/>
        <v>142</v>
      </c>
      <c r="H1049" s="5">
        <v>60</v>
      </c>
      <c r="I1049" s="5">
        <v>149.63999999999999</v>
      </c>
      <c r="J1049" s="5">
        <f t="shared" si="36"/>
        <v>9391.7865085248322</v>
      </c>
      <c r="K1049" s="5">
        <v>60</v>
      </c>
      <c r="L1049" s="5">
        <v>152.36000000000001</v>
      </c>
      <c r="M1049" s="5">
        <f t="shared" si="37"/>
        <v>9562.500617741538</v>
      </c>
      <c r="N1049" s="18">
        <f t="shared" si="38"/>
        <v>0</v>
      </c>
      <c r="O1049" s="18">
        <f t="shared" si="39"/>
        <v>-2.7200000000000273</v>
      </c>
      <c r="P1049" s="18">
        <f t="shared" si="40"/>
        <v>-170.71410921670576</v>
      </c>
      <c r="Q1049" s="5">
        <f t="shared" si="41"/>
        <v>-1.7852454712523183</v>
      </c>
    </row>
    <row r="1050" spans="1:17" x14ac:dyDescent="0.2">
      <c r="A1050" s="4" t="s">
        <v>83</v>
      </c>
      <c r="B1050" s="4">
        <v>2015</v>
      </c>
      <c r="C1050" s="4" t="s">
        <v>67</v>
      </c>
      <c r="D1050" s="4">
        <v>1</v>
      </c>
      <c r="E1050" s="4">
        <v>15</v>
      </c>
      <c r="F1050" s="4">
        <v>3</v>
      </c>
      <c r="G1050" s="6" t="str">
        <f t="shared" si="35"/>
        <v>153</v>
      </c>
      <c r="H1050" s="5">
        <v>30</v>
      </c>
      <c r="I1050" s="5">
        <v>195.81</v>
      </c>
      <c r="J1050" s="5">
        <f t="shared" si="36"/>
        <v>12289.532987398072</v>
      </c>
      <c r="K1050" s="5">
        <v>60</v>
      </c>
      <c r="L1050" s="5">
        <v>141.6</v>
      </c>
      <c r="M1050" s="5">
        <f t="shared" si="37"/>
        <v>8887.1756856931061</v>
      </c>
      <c r="N1050" s="18">
        <f t="shared" si="38"/>
        <v>50</v>
      </c>
      <c r="O1050" s="18">
        <f t="shared" si="39"/>
        <v>54.210000000000008</v>
      </c>
      <c r="P1050" s="18">
        <f t="shared" si="40"/>
        <v>3402.3573017049657</v>
      </c>
      <c r="Q1050" s="5">
        <f t="shared" si="41"/>
        <v>38.283898305084733</v>
      </c>
    </row>
    <row r="1051" spans="1:17" x14ac:dyDescent="0.2">
      <c r="A1051" s="4" t="s">
        <v>83</v>
      </c>
      <c r="B1051" s="4">
        <v>2015</v>
      </c>
      <c r="C1051" s="4" t="s">
        <v>67</v>
      </c>
      <c r="D1051" s="4">
        <v>2</v>
      </c>
      <c r="E1051" s="4">
        <v>15</v>
      </c>
      <c r="F1051" s="4">
        <v>3</v>
      </c>
      <c r="G1051" s="6" t="str">
        <f t="shared" si="35"/>
        <v>153</v>
      </c>
      <c r="H1051" s="5">
        <v>30</v>
      </c>
      <c r="I1051" s="5">
        <v>190.62</v>
      </c>
      <c r="J1051" s="5">
        <f t="shared" si="36"/>
        <v>11963.795404002965</v>
      </c>
      <c r="K1051" s="5">
        <v>70</v>
      </c>
      <c r="L1051" s="5">
        <v>136.46</v>
      </c>
      <c r="M1051" s="5">
        <f t="shared" si="37"/>
        <v>8564.5762293056596</v>
      </c>
      <c r="N1051" s="18">
        <f t="shared" si="38"/>
        <v>57.142857142857139</v>
      </c>
      <c r="O1051" s="18">
        <f t="shared" si="39"/>
        <v>54.16</v>
      </c>
      <c r="P1051" s="18">
        <f t="shared" si="40"/>
        <v>3399.2191746973058</v>
      </c>
      <c r="Q1051" s="5">
        <f t="shared" si="41"/>
        <v>39.689286237725327</v>
      </c>
    </row>
    <row r="1052" spans="1:17" x14ac:dyDescent="0.2">
      <c r="A1052" s="4" t="s">
        <v>83</v>
      </c>
      <c r="B1052" s="4">
        <v>2015</v>
      </c>
      <c r="C1052" s="4" t="s">
        <v>67</v>
      </c>
      <c r="D1052" s="4">
        <v>3</v>
      </c>
      <c r="E1052" s="19">
        <v>15</v>
      </c>
      <c r="F1052" s="19">
        <v>3</v>
      </c>
      <c r="G1052" s="6" t="str">
        <f t="shared" si="35"/>
        <v>153</v>
      </c>
      <c r="H1052" s="5">
        <v>30</v>
      </c>
      <c r="I1052" s="5">
        <v>197.39</v>
      </c>
      <c r="J1052" s="5">
        <f t="shared" si="36"/>
        <v>12388.697800840127</v>
      </c>
      <c r="K1052" s="5">
        <v>70</v>
      </c>
      <c r="L1052" s="5">
        <v>148.16</v>
      </c>
      <c r="M1052" s="5">
        <f t="shared" si="37"/>
        <v>9298.8979490980964</v>
      </c>
      <c r="N1052" s="18">
        <f t="shared" si="38"/>
        <v>57.142857142857139</v>
      </c>
      <c r="O1052" s="18">
        <f t="shared" si="39"/>
        <v>49.22999999999999</v>
      </c>
      <c r="P1052" s="18">
        <f t="shared" si="40"/>
        <v>3089.799851742031</v>
      </c>
      <c r="Q1052" s="5">
        <f t="shared" si="41"/>
        <v>33.22759179265659</v>
      </c>
    </row>
    <row r="1053" spans="1:17" x14ac:dyDescent="0.2">
      <c r="A1053" s="4" t="s">
        <v>83</v>
      </c>
      <c r="B1053" s="4">
        <v>2015</v>
      </c>
      <c r="C1053" s="4" t="s">
        <v>67</v>
      </c>
      <c r="D1053" s="4">
        <v>4</v>
      </c>
      <c r="E1053" s="19">
        <v>15</v>
      </c>
      <c r="F1053" s="19">
        <v>3</v>
      </c>
      <c r="G1053" s="6" t="str">
        <f t="shared" si="35"/>
        <v>153</v>
      </c>
      <c r="H1053" s="5">
        <v>20</v>
      </c>
      <c r="I1053" s="5">
        <v>200.6</v>
      </c>
      <c r="J1053" s="5">
        <f t="shared" si="36"/>
        <v>12590.165554731899</v>
      </c>
      <c r="K1053" s="5">
        <v>60</v>
      </c>
      <c r="L1053" s="5">
        <v>152.36000000000001</v>
      </c>
      <c r="M1053" s="5">
        <f t="shared" si="37"/>
        <v>9562.500617741538</v>
      </c>
      <c r="N1053" s="18">
        <f t="shared" si="38"/>
        <v>66.666666666666657</v>
      </c>
      <c r="O1053" s="18">
        <f t="shared" si="39"/>
        <v>48.239999999999981</v>
      </c>
      <c r="P1053" s="18">
        <f t="shared" si="40"/>
        <v>3027.6649369903607</v>
      </c>
      <c r="Q1053" s="5">
        <f t="shared" si="41"/>
        <v>31.661853504856889</v>
      </c>
    </row>
    <row r="1054" spans="1:17" x14ac:dyDescent="0.2">
      <c r="A1054" s="4" t="s">
        <v>83</v>
      </c>
      <c r="B1054" s="4">
        <v>2015</v>
      </c>
      <c r="C1054" s="4" t="s">
        <v>67</v>
      </c>
      <c r="D1054" s="4">
        <v>1</v>
      </c>
      <c r="E1054" s="4">
        <v>16</v>
      </c>
      <c r="F1054" s="4">
        <v>3</v>
      </c>
      <c r="G1054" s="6" t="str">
        <f t="shared" si="35"/>
        <v>163</v>
      </c>
      <c r="H1054" s="5">
        <v>20</v>
      </c>
      <c r="I1054" s="5">
        <v>211.62</v>
      </c>
      <c r="J1054" s="5">
        <f t="shared" si="36"/>
        <v>13281.808747220162</v>
      </c>
      <c r="K1054" s="5">
        <v>60</v>
      </c>
      <c r="L1054" s="5">
        <v>141.6</v>
      </c>
      <c r="M1054" s="5">
        <f t="shared" si="37"/>
        <v>8887.1756856931061</v>
      </c>
      <c r="N1054" s="18">
        <f t="shared" si="38"/>
        <v>66.666666666666657</v>
      </c>
      <c r="O1054" s="18">
        <f t="shared" si="39"/>
        <v>70.02000000000001</v>
      </c>
      <c r="P1054" s="18">
        <f t="shared" si="40"/>
        <v>4394.6330615270563</v>
      </c>
      <c r="Q1054" s="5">
        <f t="shared" si="41"/>
        <v>49.449152542372872</v>
      </c>
    </row>
    <row r="1055" spans="1:17" x14ac:dyDescent="0.2">
      <c r="A1055" s="4" t="s">
        <v>83</v>
      </c>
      <c r="B1055" s="4">
        <v>2015</v>
      </c>
      <c r="C1055" s="4" t="s">
        <v>67</v>
      </c>
      <c r="D1055" s="4">
        <v>2</v>
      </c>
      <c r="E1055" s="4">
        <v>16</v>
      </c>
      <c r="F1055" s="4">
        <v>3</v>
      </c>
      <c r="G1055" s="6" t="str">
        <f t="shared" si="35"/>
        <v>163</v>
      </c>
      <c r="H1055" s="5">
        <v>30</v>
      </c>
      <c r="I1055" s="5">
        <v>181.87</v>
      </c>
      <c r="J1055" s="5">
        <f t="shared" si="36"/>
        <v>11414.623177662466</v>
      </c>
      <c r="K1055" s="5">
        <v>70</v>
      </c>
      <c r="L1055" s="5">
        <v>136.46</v>
      </c>
      <c r="M1055" s="5">
        <f t="shared" si="37"/>
        <v>8564.5762293056596</v>
      </c>
      <c r="N1055" s="18">
        <f t="shared" si="38"/>
        <v>57.142857142857139</v>
      </c>
      <c r="O1055" s="18">
        <f t="shared" si="39"/>
        <v>45.41</v>
      </c>
      <c r="P1055" s="18">
        <f t="shared" si="40"/>
        <v>2850.0469483568068</v>
      </c>
      <c r="Q1055" s="5">
        <f t="shared" si="41"/>
        <v>33.277150813425166</v>
      </c>
    </row>
    <row r="1056" spans="1:17" x14ac:dyDescent="0.2">
      <c r="A1056" s="4" t="s">
        <v>83</v>
      </c>
      <c r="B1056" s="4">
        <v>2015</v>
      </c>
      <c r="C1056" s="4" t="s">
        <v>67</v>
      </c>
      <c r="D1056" s="4">
        <v>3</v>
      </c>
      <c r="E1056" s="19">
        <v>16</v>
      </c>
      <c r="F1056" s="19">
        <v>3</v>
      </c>
      <c r="G1056" s="6" t="str">
        <f t="shared" si="35"/>
        <v>163</v>
      </c>
      <c r="H1056" s="5">
        <v>20</v>
      </c>
      <c r="I1056" s="5">
        <v>198.36</v>
      </c>
      <c r="J1056" s="5">
        <f t="shared" si="36"/>
        <v>12449.577464788734</v>
      </c>
      <c r="K1056" s="5">
        <v>70</v>
      </c>
      <c r="L1056" s="5">
        <v>148.16</v>
      </c>
      <c r="M1056" s="5">
        <f t="shared" si="37"/>
        <v>9298.8979490980964</v>
      </c>
      <c r="N1056" s="18">
        <f t="shared" si="38"/>
        <v>71.428571428571431</v>
      </c>
      <c r="O1056" s="18">
        <f t="shared" si="39"/>
        <v>50.200000000000017</v>
      </c>
      <c r="P1056" s="18">
        <f t="shared" si="40"/>
        <v>3150.6795156906373</v>
      </c>
      <c r="Q1056" s="5">
        <f t="shared" si="41"/>
        <v>33.882289416846675</v>
      </c>
    </row>
    <row r="1057" spans="1:17" x14ac:dyDescent="0.2">
      <c r="A1057" s="4" t="s">
        <v>83</v>
      </c>
      <c r="B1057" s="4">
        <v>2015</v>
      </c>
      <c r="C1057" s="4" t="s">
        <v>67</v>
      </c>
      <c r="D1057" s="4">
        <v>4</v>
      </c>
      <c r="E1057" s="19">
        <v>16</v>
      </c>
      <c r="F1057" s="19">
        <v>3</v>
      </c>
      <c r="G1057" s="6" t="str">
        <f t="shared" si="35"/>
        <v>163</v>
      </c>
      <c r="H1057" s="5">
        <v>20</v>
      </c>
      <c r="I1057" s="5">
        <v>181.82</v>
      </c>
      <c r="J1057" s="5">
        <f t="shared" si="36"/>
        <v>11411.485050654805</v>
      </c>
      <c r="K1057" s="5">
        <v>60</v>
      </c>
      <c r="L1057" s="5">
        <v>152.36000000000001</v>
      </c>
      <c r="M1057" s="5">
        <f t="shared" si="37"/>
        <v>9562.500617741538</v>
      </c>
      <c r="N1057" s="18">
        <f t="shared" si="38"/>
        <v>66.666666666666657</v>
      </c>
      <c r="O1057" s="18">
        <f t="shared" si="39"/>
        <v>29.45999999999998</v>
      </c>
      <c r="P1057" s="18">
        <f t="shared" si="40"/>
        <v>1848.9844329132666</v>
      </c>
      <c r="Q1057" s="5">
        <f t="shared" si="41"/>
        <v>19.335783670254632</v>
      </c>
    </row>
    <row r="1058" spans="1:17" x14ac:dyDescent="0.2">
      <c r="A1058" s="4" t="s">
        <v>83</v>
      </c>
      <c r="B1058" s="4">
        <v>2015</v>
      </c>
      <c r="C1058" s="4" t="s">
        <v>67</v>
      </c>
      <c r="D1058" s="4">
        <v>1</v>
      </c>
      <c r="E1058" s="4">
        <v>17</v>
      </c>
      <c r="F1058" s="4">
        <v>3</v>
      </c>
      <c r="G1058" s="6" t="str">
        <f t="shared" si="35"/>
        <v>173</v>
      </c>
      <c r="H1058" s="5">
        <v>50</v>
      </c>
      <c r="I1058" s="5">
        <v>167.44</v>
      </c>
      <c r="J1058" s="5">
        <f t="shared" ref="J1058:J1069" si="42">I1058*(25.4/0.4047)</f>
        <v>10508.959723251792</v>
      </c>
      <c r="K1058" s="5">
        <v>60</v>
      </c>
      <c r="L1058" s="5">
        <v>141.6</v>
      </c>
      <c r="M1058" s="5">
        <f t="shared" ref="M1058:M1069" si="43">L1058*(25.4/0.4047)</f>
        <v>8887.1756856931061</v>
      </c>
      <c r="N1058" s="18">
        <f t="shared" ref="N1058:N1069" si="44">(K1058-H1058)/K1058*100</f>
        <v>16.666666666666664</v>
      </c>
      <c r="O1058" s="18">
        <f t="shared" ref="O1058:O1069" si="45">I1058-L1058</f>
        <v>25.840000000000003</v>
      </c>
      <c r="P1058" s="18">
        <f t="shared" ref="P1058:P1069" si="46">J1058-M1058</f>
        <v>1621.7840375586857</v>
      </c>
      <c r="Q1058" s="5">
        <f t="shared" ref="Q1058:Q1069" si="47">SUM(P1058/M1058)*100</f>
        <v>18.248587570621471</v>
      </c>
    </row>
    <row r="1059" spans="1:17" x14ac:dyDescent="0.2">
      <c r="A1059" s="4" t="s">
        <v>83</v>
      </c>
      <c r="B1059" s="4">
        <v>2015</v>
      </c>
      <c r="C1059" s="4" t="s">
        <v>67</v>
      </c>
      <c r="D1059" s="4">
        <v>2</v>
      </c>
      <c r="E1059" s="4">
        <v>17</v>
      </c>
      <c r="F1059" s="4">
        <v>3</v>
      </c>
      <c r="G1059" s="6" t="str">
        <f t="shared" si="35"/>
        <v>173</v>
      </c>
      <c r="H1059" s="5">
        <v>50</v>
      </c>
      <c r="I1059" s="5">
        <v>182.19</v>
      </c>
      <c r="J1059" s="5">
        <f t="shared" si="42"/>
        <v>11434.70719051149</v>
      </c>
      <c r="K1059" s="5">
        <v>70</v>
      </c>
      <c r="L1059" s="5">
        <v>136.46</v>
      </c>
      <c r="M1059" s="5">
        <f t="shared" si="43"/>
        <v>8564.5762293056596</v>
      </c>
      <c r="N1059" s="18">
        <f t="shared" si="44"/>
        <v>28.571428571428569</v>
      </c>
      <c r="O1059" s="18">
        <f t="shared" si="45"/>
        <v>45.72999999999999</v>
      </c>
      <c r="P1059" s="18">
        <f t="shared" si="46"/>
        <v>2870.1309612058303</v>
      </c>
      <c r="Q1059" s="5">
        <f t="shared" si="47"/>
        <v>33.511651766085279</v>
      </c>
    </row>
    <row r="1060" spans="1:17" x14ac:dyDescent="0.2">
      <c r="A1060" s="4" t="s">
        <v>83</v>
      </c>
      <c r="B1060" s="4">
        <v>2015</v>
      </c>
      <c r="C1060" s="4" t="s">
        <v>67</v>
      </c>
      <c r="D1060" s="4">
        <v>3</v>
      </c>
      <c r="E1060" s="19">
        <v>17</v>
      </c>
      <c r="F1060" s="19">
        <v>3</v>
      </c>
      <c r="G1060" s="6" t="str">
        <f t="shared" si="35"/>
        <v>173</v>
      </c>
      <c r="H1060" s="5">
        <v>50</v>
      </c>
      <c r="I1060" s="5">
        <v>183.02</v>
      </c>
      <c r="J1060" s="5">
        <f t="shared" si="42"/>
        <v>11486.800098838647</v>
      </c>
      <c r="K1060" s="5">
        <v>70</v>
      </c>
      <c r="L1060" s="5">
        <v>148.16</v>
      </c>
      <c r="M1060" s="5">
        <f t="shared" si="43"/>
        <v>9298.8979490980964</v>
      </c>
      <c r="N1060" s="18">
        <f t="shared" si="44"/>
        <v>28.571428571428569</v>
      </c>
      <c r="O1060" s="18">
        <f t="shared" si="45"/>
        <v>34.860000000000014</v>
      </c>
      <c r="P1060" s="18">
        <f t="shared" si="46"/>
        <v>2187.9021497405502</v>
      </c>
      <c r="Q1060" s="5">
        <f t="shared" si="47"/>
        <v>23.528617710583173</v>
      </c>
    </row>
    <row r="1061" spans="1:17" x14ac:dyDescent="0.2">
      <c r="A1061" s="4" t="s">
        <v>83</v>
      </c>
      <c r="B1061" s="4">
        <v>2015</v>
      </c>
      <c r="C1061" s="4" t="s">
        <v>67</v>
      </c>
      <c r="D1061" s="4">
        <v>4</v>
      </c>
      <c r="E1061" s="19">
        <v>17</v>
      </c>
      <c r="F1061" s="19">
        <v>3</v>
      </c>
      <c r="G1061" s="6" t="str">
        <f t="shared" si="35"/>
        <v>173</v>
      </c>
      <c r="H1061" s="5">
        <v>50</v>
      </c>
      <c r="I1061" s="5">
        <v>189.59</v>
      </c>
      <c r="J1061" s="5">
        <f t="shared" si="42"/>
        <v>11899.149987645169</v>
      </c>
      <c r="K1061" s="5">
        <v>60</v>
      </c>
      <c r="L1061" s="5">
        <v>152.36000000000001</v>
      </c>
      <c r="M1061" s="5">
        <f t="shared" si="43"/>
        <v>9562.500617741538</v>
      </c>
      <c r="N1061" s="18">
        <f t="shared" si="44"/>
        <v>16.666666666666664</v>
      </c>
      <c r="O1061" s="18">
        <f t="shared" si="45"/>
        <v>37.22999999999999</v>
      </c>
      <c r="P1061" s="18">
        <f t="shared" si="46"/>
        <v>2336.6493699036309</v>
      </c>
      <c r="Q1061" s="5">
        <f t="shared" si="47"/>
        <v>24.435547387765801</v>
      </c>
    </row>
    <row r="1062" spans="1:17" x14ac:dyDescent="0.2">
      <c r="A1062" s="4" t="s">
        <v>83</v>
      </c>
      <c r="B1062" s="4">
        <v>2015</v>
      </c>
      <c r="C1062" s="4" t="s">
        <v>67</v>
      </c>
      <c r="D1062" s="4">
        <v>1</v>
      </c>
      <c r="E1062" s="4">
        <v>18</v>
      </c>
      <c r="F1062" s="4">
        <v>3</v>
      </c>
      <c r="G1062" s="6" t="str">
        <f t="shared" si="35"/>
        <v>183</v>
      </c>
      <c r="H1062" s="5">
        <v>60</v>
      </c>
      <c r="I1062" s="5">
        <v>173.07</v>
      </c>
      <c r="J1062" s="5">
        <f t="shared" si="42"/>
        <v>10862.312824314306</v>
      </c>
      <c r="K1062" s="5">
        <v>60</v>
      </c>
      <c r="L1062" s="5">
        <v>141.6</v>
      </c>
      <c r="M1062" s="5">
        <f t="shared" si="43"/>
        <v>8887.1756856931061</v>
      </c>
      <c r="N1062" s="18">
        <f t="shared" si="44"/>
        <v>0</v>
      </c>
      <c r="O1062" s="18">
        <f t="shared" si="45"/>
        <v>31.47</v>
      </c>
      <c r="P1062" s="18">
        <f t="shared" si="46"/>
        <v>1975.1371386211995</v>
      </c>
      <c r="Q1062" s="5">
        <f t="shared" si="47"/>
        <v>22.224576271186425</v>
      </c>
    </row>
    <row r="1063" spans="1:17" x14ac:dyDescent="0.2">
      <c r="A1063" s="4" t="s">
        <v>83</v>
      </c>
      <c r="B1063" s="4">
        <v>2015</v>
      </c>
      <c r="C1063" s="4" t="s">
        <v>67</v>
      </c>
      <c r="D1063" s="4">
        <v>2</v>
      </c>
      <c r="E1063" s="4">
        <v>18</v>
      </c>
      <c r="F1063" s="4">
        <v>3</v>
      </c>
      <c r="G1063" s="6" t="str">
        <f t="shared" si="35"/>
        <v>183</v>
      </c>
      <c r="H1063" s="5">
        <v>60</v>
      </c>
      <c r="I1063" s="5">
        <v>160.55000000000001</v>
      </c>
      <c r="J1063" s="5">
        <f t="shared" si="42"/>
        <v>10076.525821596244</v>
      </c>
      <c r="K1063" s="5">
        <v>70</v>
      </c>
      <c r="L1063" s="5">
        <v>136.46</v>
      </c>
      <c r="M1063" s="5">
        <f t="shared" si="43"/>
        <v>8564.5762293056596</v>
      </c>
      <c r="N1063" s="18">
        <f t="shared" si="44"/>
        <v>14.285714285714285</v>
      </c>
      <c r="O1063" s="18">
        <f t="shared" si="45"/>
        <v>24.090000000000003</v>
      </c>
      <c r="P1063" s="18">
        <f t="shared" si="46"/>
        <v>1511.9495922905844</v>
      </c>
      <c r="Q1063" s="5">
        <f t="shared" si="47"/>
        <v>17.653524842444657</v>
      </c>
    </row>
    <row r="1064" spans="1:17" x14ac:dyDescent="0.2">
      <c r="A1064" s="4" t="s">
        <v>83</v>
      </c>
      <c r="B1064" s="4">
        <v>2015</v>
      </c>
      <c r="C1064" s="4" t="s">
        <v>67</v>
      </c>
      <c r="D1064" s="4">
        <v>3</v>
      </c>
      <c r="E1064" s="19">
        <v>18</v>
      </c>
      <c r="F1064" s="19">
        <v>3</v>
      </c>
      <c r="G1064" s="6" t="str">
        <f t="shared" si="35"/>
        <v>183</v>
      </c>
      <c r="H1064" s="5">
        <v>50</v>
      </c>
      <c r="I1064" s="5">
        <v>154.88</v>
      </c>
      <c r="J1064" s="5">
        <f t="shared" si="42"/>
        <v>9720.6622189276004</v>
      </c>
      <c r="K1064" s="5">
        <v>70</v>
      </c>
      <c r="L1064" s="5">
        <v>148.16</v>
      </c>
      <c r="M1064" s="5">
        <f t="shared" si="43"/>
        <v>9298.8979490980964</v>
      </c>
      <c r="N1064" s="18">
        <f t="shared" si="44"/>
        <v>28.571428571428569</v>
      </c>
      <c r="O1064" s="18">
        <f t="shared" si="45"/>
        <v>6.7199999999999989</v>
      </c>
      <c r="P1064" s="18">
        <f t="shared" si="46"/>
        <v>421.76426982950397</v>
      </c>
      <c r="Q1064" s="5">
        <f t="shared" si="47"/>
        <v>4.5356371490280853</v>
      </c>
    </row>
    <row r="1065" spans="1:17" x14ac:dyDescent="0.2">
      <c r="A1065" s="4" t="s">
        <v>83</v>
      </c>
      <c r="B1065" s="4">
        <v>2015</v>
      </c>
      <c r="C1065" s="4" t="s">
        <v>67</v>
      </c>
      <c r="D1065" s="4">
        <v>4</v>
      </c>
      <c r="E1065" s="19">
        <v>18</v>
      </c>
      <c r="F1065" s="19">
        <v>3</v>
      </c>
      <c r="G1065" s="6" t="str">
        <f t="shared" si="35"/>
        <v>183</v>
      </c>
      <c r="H1065" s="5">
        <v>60</v>
      </c>
      <c r="I1065" s="5">
        <v>164.32</v>
      </c>
      <c r="J1065" s="5">
        <f t="shared" si="42"/>
        <v>10313.140597973807</v>
      </c>
      <c r="K1065" s="5">
        <v>60</v>
      </c>
      <c r="L1065" s="5">
        <v>152.36000000000001</v>
      </c>
      <c r="M1065" s="5">
        <f t="shared" si="43"/>
        <v>9562.500617741538</v>
      </c>
      <c r="N1065" s="18">
        <f t="shared" si="44"/>
        <v>0</v>
      </c>
      <c r="O1065" s="18">
        <f t="shared" si="45"/>
        <v>11.95999999999998</v>
      </c>
      <c r="P1065" s="18">
        <f t="shared" si="46"/>
        <v>750.6399802322685</v>
      </c>
      <c r="Q1065" s="5">
        <f t="shared" si="47"/>
        <v>7.8498293515358117</v>
      </c>
    </row>
    <row r="1066" spans="1:17" x14ac:dyDescent="0.2">
      <c r="A1066" s="4" t="s">
        <v>83</v>
      </c>
      <c r="B1066" s="4">
        <v>2015</v>
      </c>
      <c r="C1066" s="4" t="s">
        <v>67</v>
      </c>
      <c r="D1066" s="4">
        <v>1</v>
      </c>
      <c r="E1066" s="4">
        <v>19</v>
      </c>
      <c r="F1066" s="4">
        <v>3</v>
      </c>
      <c r="G1066" s="6" t="str">
        <f t="shared" si="35"/>
        <v>193</v>
      </c>
      <c r="H1066" s="5">
        <v>30</v>
      </c>
      <c r="I1066" s="5">
        <v>180.08</v>
      </c>
      <c r="J1066" s="5">
        <f t="shared" si="42"/>
        <v>11302.278230788239</v>
      </c>
      <c r="K1066" s="5">
        <v>60</v>
      </c>
      <c r="L1066" s="5">
        <v>141.6</v>
      </c>
      <c r="M1066" s="5">
        <f t="shared" si="43"/>
        <v>8887.1756856931061</v>
      </c>
      <c r="N1066" s="18">
        <f t="shared" si="44"/>
        <v>50</v>
      </c>
      <c r="O1066" s="18">
        <f t="shared" si="45"/>
        <v>38.480000000000018</v>
      </c>
      <c r="P1066" s="18">
        <f t="shared" si="46"/>
        <v>2415.1025450951329</v>
      </c>
      <c r="Q1066" s="5">
        <f t="shared" si="47"/>
        <v>27.175141242937862</v>
      </c>
    </row>
    <row r="1067" spans="1:17" x14ac:dyDescent="0.2">
      <c r="A1067" s="4" t="s">
        <v>83</v>
      </c>
      <c r="B1067" s="4">
        <v>2015</v>
      </c>
      <c r="C1067" s="4" t="s">
        <v>67</v>
      </c>
      <c r="D1067" s="4">
        <v>2</v>
      </c>
      <c r="E1067" s="4">
        <v>19</v>
      </c>
      <c r="F1067" s="4">
        <v>3</v>
      </c>
      <c r="G1067" s="6" t="str">
        <f t="shared" si="35"/>
        <v>193</v>
      </c>
      <c r="H1067" s="5">
        <v>40</v>
      </c>
      <c r="I1067" s="5">
        <v>185.94</v>
      </c>
      <c r="J1067" s="5">
        <f t="shared" si="42"/>
        <v>11670.066716085988</v>
      </c>
      <c r="K1067" s="5">
        <v>70</v>
      </c>
      <c r="L1067" s="5">
        <v>136.46</v>
      </c>
      <c r="M1067" s="5">
        <f t="shared" si="43"/>
        <v>8564.5762293056596</v>
      </c>
      <c r="N1067" s="18">
        <f t="shared" si="44"/>
        <v>42.857142857142854</v>
      </c>
      <c r="O1067" s="18">
        <f t="shared" si="45"/>
        <v>49.47999999999999</v>
      </c>
      <c r="P1067" s="18">
        <f t="shared" si="46"/>
        <v>3105.4904867803289</v>
      </c>
      <c r="Q1067" s="5">
        <f t="shared" si="47"/>
        <v>36.259709805071047</v>
      </c>
    </row>
    <row r="1068" spans="1:17" x14ac:dyDescent="0.2">
      <c r="A1068" s="4" t="s">
        <v>83</v>
      </c>
      <c r="B1068" s="4">
        <v>2015</v>
      </c>
      <c r="C1068" s="4" t="s">
        <v>67</v>
      </c>
      <c r="D1068" s="4">
        <v>3</v>
      </c>
      <c r="E1068" s="19">
        <v>19</v>
      </c>
      <c r="F1068" s="19">
        <v>3</v>
      </c>
      <c r="G1068" s="6" t="str">
        <f t="shared" si="35"/>
        <v>193</v>
      </c>
      <c r="H1068" s="5">
        <v>30</v>
      </c>
      <c r="I1068" s="5">
        <v>169.46</v>
      </c>
      <c r="J1068" s="5">
        <f t="shared" si="42"/>
        <v>10635.740054361255</v>
      </c>
      <c r="K1068" s="5">
        <v>70</v>
      </c>
      <c r="L1068" s="5">
        <v>148.16</v>
      </c>
      <c r="M1068" s="5">
        <f t="shared" si="43"/>
        <v>9298.8979490980964</v>
      </c>
      <c r="N1068" s="18">
        <f t="shared" si="44"/>
        <v>57.142857142857139</v>
      </c>
      <c r="O1068" s="18">
        <f t="shared" si="45"/>
        <v>21.300000000000011</v>
      </c>
      <c r="P1068" s="18">
        <f t="shared" si="46"/>
        <v>1336.8421052631584</v>
      </c>
      <c r="Q1068" s="5">
        <f t="shared" si="47"/>
        <v>14.376349892008648</v>
      </c>
    </row>
    <row r="1069" spans="1:17" x14ac:dyDescent="0.2">
      <c r="A1069" s="4" t="s">
        <v>83</v>
      </c>
      <c r="B1069" s="4">
        <v>2015</v>
      </c>
      <c r="C1069" s="4" t="s">
        <v>67</v>
      </c>
      <c r="D1069" s="4">
        <v>4</v>
      </c>
      <c r="E1069" s="19">
        <v>19</v>
      </c>
      <c r="F1069" s="19">
        <v>3</v>
      </c>
      <c r="G1069" s="6" t="str">
        <f t="shared" si="35"/>
        <v>193</v>
      </c>
      <c r="H1069" s="5">
        <v>30</v>
      </c>
      <c r="I1069" s="5">
        <v>188.03</v>
      </c>
      <c r="J1069" s="5">
        <f t="shared" si="42"/>
        <v>11801.240425006177</v>
      </c>
      <c r="K1069" s="5">
        <v>60</v>
      </c>
      <c r="L1069" s="5">
        <v>152.36000000000001</v>
      </c>
      <c r="M1069" s="5">
        <f t="shared" si="43"/>
        <v>9562.500617741538</v>
      </c>
      <c r="N1069" s="18">
        <f t="shared" si="44"/>
        <v>50</v>
      </c>
      <c r="O1069" s="18">
        <f t="shared" si="45"/>
        <v>35.669999999999987</v>
      </c>
      <c r="P1069" s="18">
        <f t="shared" si="46"/>
        <v>2238.7398072646392</v>
      </c>
      <c r="Q1069" s="5">
        <f t="shared" si="47"/>
        <v>23.41165660278287</v>
      </c>
    </row>
    <row r="1070" spans="1:17" x14ac:dyDescent="0.2">
      <c r="A1070" s="4" t="s">
        <v>27</v>
      </c>
      <c r="B1070" s="15">
        <v>2015</v>
      </c>
      <c r="C1070" s="15" t="s">
        <v>26</v>
      </c>
      <c r="D1070" s="12">
        <v>1</v>
      </c>
      <c r="E1070" s="12">
        <v>1</v>
      </c>
      <c r="F1070" s="6">
        <v>0</v>
      </c>
      <c r="G1070" s="6" t="str">
        <f t="shared" si="35"/>
        <v>10</v>
      </c>
      <c r="H1070" s="5">
        <v>57.25</v>
      </c>
      <c r="I1070" s="5">
        <v>185.9</v>
      </c>
      <c r="J1070" s="5">
        <v>11667.556214479862</v>
      </c>
      <c r="K1070" s="5">
        <v>57.25</v>
      </c>
      <c r="L1070" s="5">
        <v>185.9</v>
      </c>
      <c r="M1070" s="5">
        <v>11667.556214479862</v>
      </c>
      <c r="N1070" s="5">
        <v>0</v>
      </c>
      <c r="O1070" s="5">
        <v>0</v>
      </c>
      <c r="P1070" s="5">
        <v>0</v>
      </c>
      <c r="Q1070" s="5">
        <v>0</v>
      </c>
    </row>
    <row r="1071" spans="1:17" x14ac:dyDescent="0.2">
      <c r="A1071" s="4" t="s">
        <v>27</v>
      </c>
      <c r="B1071" s="15">
        <v>2015</v>
      </c>
      <c r="C1071" s="15" t="s">
        <v>26</v>
      </c>
      <c r="D1071" s="12">
        <v>2</v>
      </c>
      <c r="E1071" s="12">
        <v>1</v>
      </c>
      <c r="F1071" s="6">
        <v>0</v>
      </c>
      <c r="G1071" s="6" t="str">
        <f t="shared" si="35"/>
        <v>10</v>
      </c>
      <c r="H1071" s="5">
        <v>9.3800000000000008</v>
      </c>
      <c r="I1071" s="5">
        <v>267.89999999999998</v>
      </c>
      <c r="J1071" s="5">
        <v>16814.084507042251</v>
      </c>
      <c r="K1071" s="5">
        <v>9.3800000000000008</v>
      </c>
      <c r="L1071" s="5">
        <v>267.89999999999998</v>
      </c>
      <c r="M1071" s="5">
        <v>16814.084507042251</v>
      </c>
      <c r="N1071" s="5">
        <v>0</v>
      </c>
      <c r="O1071" s="5">
        <v>0</v>
      </c>
      <c r="P1071" s="5">
        <v>0</v>
      </c>
      <c r="Q1071" s="5">
        <v>0</v>
      </c>
    </row>
    <row r="1072" spans="1:17" x14ac:dyDescent="0.2">
      <c r="A1072" s="4" t="s">
        <v>27</v>
      </c>
      <c r="B1072" s="15">
        <v>2015</v>
      </c>
      <c r="C1072" s="15" t="s">
        <v>26</v>
      </c>
      <c r="D1072" s="12">
        <v>3</v>
      </c>
      <c r="E1072" s="12">
        <v>1</v>
      </c>
      <c r="F1072" s="6">
        <v>0</v>
      </c>
      <c r="G1072" s="6" t="str">
        <f t="shared" si="35"/>
        <v>10</v>
      </c>
      <c r="H1072" s="5">
        <v>20</v>
      </c>
      <c r="I1072" s="5">
        <v>267.89999999999998</v>
      </c>
      <c r="J1072" s="5">
        <v>16814.084507042251</v>
      </c>
      <c r="K1072" s="5">
        <v>20</v>
      </c>
      <c r="L1072" s="5">
        <v>267.89999999999998</v>
      </c>
      <c r="M1072" s="5">
        <v>16814.084507042251</v>
      </c>
      <c r="N1072" s="5">
        <v>0</v>
      </c>
      <c r="O1072" s="5">
        <v>0</v>
      </c>
      <c r="P1072" s="5">
        <v>0</v>
      </c>
      <c r="Q1072" s="5">
        <v>0</v>
      </c>
    </row>
    <row r="1073" spans="1:17" x14ac:dyDescent="0.2">
      <c r="A1073" s="4" t="s">
        <v>27</v>
      </c>
      <c r="B1073" s="15">
        <v>2015</v>
      </c>
      <c r="C1073" s="15" t="s">
        <v>26</v>
      </c>
      <c r="D1073" s="12">
        <v>4</v>
      </c>
      <c r="E1073" s="12">
        <v>1</v>
      </c>
      <c r="F1073" s="6">
        <v>0</v>
      </c>
      <c r="G1073" s="6" t="str">
        <f t="shared" si="35"/>
        <v>10</v>
      </c>
      <c r="H1073" s="5">
        <v>75.88</v>
      </c>
      <c r="I1073" s="5">
        <v>298</v>
      </c>
      <c r="J1073" s="5">
        <v>18703.23696565357</v>
      </c>
      <c r="K1073" s="5">
        <v>75.88</v>
      </c>
      <c r="L1073" s="5">
        <v>298</v>
      </c>
      <c r="M1073" s="5">
        <v>18703.23696565357</v>
      </c>
      <c r="N1073" s="5">
        <v>0</v>
      </c>
      <c r="O1073" s="5">
        <v>0</v>
      </c>
      <c r="P1073" s="5">
        <v>0</v>
      </c>
      <c r="Q1073" s="5">
        <v>0</v>
      </c>
    </row>
    <row r="1074" spans="1:17" x14ac:dyDescent="0.2">
      <c r="A1074" s="4" t="s">
        <v>27</v>
      </c>
      <c r="B1074" s="15">
        <v>2015</v>
      </c>
      <c r="C1074" s="15" t="s">
        <v>26</v>
      </c>
      <c r="D1074" s="15">
        <v>1</v>
      </c>
      <c r="E1074" s="16">
        <v>2</v>
      </c>
      <c r="F1074" s="16">
        <v>1</v>
      </c>
      <c r="G1074" s="6" t="str">
        <f t="shared" si="35"/>
        <v>21</v>
      </c>
      <c r="H1074" s="5">
        <v>4.63</v>
      </c>
      <c r="I1074" s="5">
        <v>194.1</v>
      </c>
      <c r="J1074" s="5">
        <v>12182.2090437361</v>
      </c>
      <c r="K1074" s="5">
        <v>57.25</v>
      </c>
      <c r="L1074" s="5">
        <v>185.9</v>
      </c>
      <c r="M1074" s="5">
        <v>11667.556214479862</v>
      </c>
      <c r="N1074" s="5">
        <v>91.91266375545851</v>
      </c>
      <c r="O1074" s="5">
        <v>8.1999999999999886</v>
      </c>
      <c r="P1074" s="5">
        <v>514.65282925623796</v>
      </c>
      <c r="Q1074" s="5">
        <v>4.4109736417428618</v>
      </c>
    </row>
    <row r="1075" spans="1:17" x14ac:dyDescent="0.2">
      <c r="A1075" s="4" t="s">
        <v>27</v>
      </c>
      <c r="B1075" s="15">
        <v>2015</v>
      </c>
      <c r="C1075" s="15" t="s">
        <v>26</v>
      </c>
      <c r="D1075" s="15">
        <v>2</v>
      </c>
      <c r="E1075" s="16">
        <v>2</v>
      </c>
      <c r="F1075" s="16">
        <v>1</v>
      </c>
      <c r="G1075" s="6" t="str">
        <f t="shared" si="35"/>
        <v>21</v>
      </c>
      <c r="H1075" s="5">
        <v>32.75</v>
      </c>
      <c r="I1075" s="5">
        <v>263.89999999999998</v>
      </c>
      <c r="J1075" s="5">
        <v>16563.034346429453</v>
      </c>
      <c r="K1075" s="5">
        <v>9.3800000000000008</v>
      </c>
      <c r="L1075" s="5">
        <v>267.89999999999998</v>
      </c>
      <c r="M1075" s="5">
        <v>16814.084507042251</v>
      </c>
      <c r="N1075" s="5">
        <v>-249.14712153518116</v>
      </c>
      <c r="O1075" s="5">
        <v>-4</v>
      </c>
      <c r="P1075" s="5">
        <v>-251.05016061279821</v>
      </c>
      <c r="Q1075" s="5">
        <v>-1.4930944382232094</v>
      </c>
    </row>
    <row r="1076" spans="1:17" x14ac:dyDescent="0.2">
      <c r="A1076" s="4" t="s">
        <v>27</v>
      </c>
      <c r="B1076" s="15">
        <v>2015</v>
      </c>
      <c r="C1076" s="15" t="s">
        <v>26</v>
      </c>
      <c r="D1076" s="15">
        <v>3</v>
      </c>
      <c r="E1076" s="16">
        <v>2</v>
      </c>
      <c r="F1076" s="16">
        <v>1</v>
      </c>
      <c r="G1076" s="6" t="str">
        <f t="shared" si="35"/>
        <v>21</v>
      </c>
      <c r="H1076" s="5">
        <v>14.13</v>
      </c>
      <c r="I1076" s="5">
        <v>336.7</v>
      </c>
      <c r="J1076" s="5">
        <v>21132.147269582405</v>
      </c>
      <c r="K1076" s="5">
        <v>20</v>
      </c>
      <c r="L1076" s="5">
        <v>267.89999999999998</v>
      </c>
      <c r="M1076" s="5">
        <v>16814.084507042251</v>
      </c>
      <c r="N1076" s="5">
        <v>29.349999999999998</v>
      </c>
      <c r="O1076" s="5">
        <v>68.800000000000011</v>
      </c>
      <c r="P1076" s="5">
        <v>4318.0627625401539</v>
      </c>
      <c r="Q1076" s="5">
        <v>25.68122433743935</v>
      </c>
    </row>
    <row r="1077" spans="1:17" x14ac:dyDescent="0.2">
      <c r="A1077" s="4" t="s">
        <v>27</v>
      </c>
      <c r="B1077" s="15">
        <v>2015</v>
      </c>
      <c r="C1077" s="15" t="s">
        <v>26</v>
      </c>
      <c r="D1077" s="15">
        <v>4</v>
      </c>
      <c r="E1077" s="16">
        <v>2</v>
      </c>
      <c r="F1077" s="16">
        <v>1</v>
      </c>
      <c r="G1077" s="6" t="str">
        <f t="shared" si="35"/>
        <v>21</v>
      </c>
      <c r="H1077" s="5">
        <v>18.75</v>
      </c>
      <c r="I1077" s="5">
        <v>235.3</v>
      </c>
      <c r="J1077" s="5">
        <v>14768.025698047937</v>
      </c>
      <c r="K1077" s="5">
        <v>75.88</v>
      </c>
      <c r="L1077" s="5">
        <v>298</v>
      </c>
      <c r="M1077" s="5">
        <v>18703.23696565357</v>
      </c>
      <c r="N1077" s="5">
        <v>75.289931470743284</v>
      </c>
      <c r="O1077" s="5">
        <v>-62.699999999999989</v>
      </c>
      <c r="P1077" s="5">
        <v>-3935.2112676056331</v>
      </c>
      <c r="Q1077" s="5">
        <v>-21.040268456375834</v>
      </c>
    </row>
    <row r="1078" spans="1:17" x14ac:dyDescent="0.2">
      <c r="A1078" s="4" t="s">
        <v>27</v>
      </c>
      <c r="B1078" s="15">
        <v>2015</v>
      </c>
      <c r="C1078" s="15" t="s">
        <v>26</v>
      </c>
      <c r="D1078" s="15">
        <v>1</v>
      </c>
      <c r="E1078" s="16">
        <v>3</v>
      </c>
      <c r="F1078" s="16">
        <v>1</v>
      </c>
      <c r="G1078" s="6" t="str">
        <f t="shared" si="35"/>
        <v>31</v>
      </c>
      <c r="H1078" s="5">
        <v>38.270000000000003</v>
      </c>
      <c r="I1078" s="5">
        <v>156.9</v>
      </c>
      <c r="J1078" s="5">
        <v>9847.4425500370653</v>
      </c>
      <c r="K1078" s="5">
        <v>57.25</v>
      </c>
      <c r="L1078" s="5">
        <v>185.9</v>
      </c>
      <c r="M1078" s="5">
        <v>11667.556214479862</v>
      </c>
      <c r="N1078" s="5">
        <v>33.152838427947593</v>
      </c>
      <c r="O1078" s="5">
        <v>-29</v>
      </c>
      <c r="P1078" s="5">
        <v>-1820.113664442797</v>
      </c>
      <c r="Q1078" s="5">
        <v>-15.599784830554059</v>
      </c>
    </row>
    <row r="1079" spans="1:17" x14ac:dyDescent="0.2">
      <c r="A1079" s="4" t="s">
        <v>27</v>
      </c>
      <c r="B1079" s="15">
        <v>2015</v>
      </c>
      <c r="C1079" s="15" t="s">
        <v>26</v>
      </c>
      <c r="D1079" s="15">
        <v>2</v>
      </c>
      <c r="E1079" s="16">
        <v>3</v>
      </c>
      <c r="F1079" s="16">
        <v>1</v>
      </c>
      <c r="G1079" s="6" t="str">
        <f t="shared" si="35"/>
        <v>31</v>
      </c>
      <c r="H1079" s="5">
        <v>7.38</v>
      </c>
      <c r="I1079" s="5">
        <v>221.6</v>
      </c>
      <c r="J1079" s="5">
        <v>13908.178897949098</v>
      </c>
      <c r="K1079" s="5">
        <v>9.3800000000000008</v>
      </c>
      <c r="L1079" s="5">
        <v>267.89999999999998</v>
      </c>
      <c r="M1079" s="5">
        <v>16814.084507042251</v>
      </c>
      <c r="N1079" s="5">
        <v>21.321961620469089</v>
      </c>
      <c r="O1079" s="5">
        <v>-46.299999999999983</v>
      </c>
      <c r="P1079" s="5">
        <v>-2905.9056090931535</v>
      </c>
      <c r="Q1079" s="5">
        <v>-17.282568122433737</v>
      </c>
    </row>
    <row r="1080" spans="1:17" x14ac:dyDescent="0.2">
      <c r="A1080" s="4" t="s">
        <v>27</v>
      </c>
      <c r="B1080" s="15">
        <v>2015</v>
      </c>
      <c r="C1080" s="15" t="s">
        <v>26</v>
      </c>
      <c r="D1080" s="15">
        <v>3</v>
      </c>
      <c r="E1080" s="16">
        <v>3</v>
      </c>
      <c r="F1080" s="16">
        <v>1</v>
      </c>
      <c r="G1080" s="6" t="str">
        <f t="shared" si="35"/>
        <v>31</v>
      </c>
      <c r="H1080" s="5">
        <v>21.25</v>
      </c>
      <c r="I1080" s="5" t="s">
        <v>97</v>
      </c>
      <c r="J1080" s="5" t="s">
        <v>97</v>
      </c>
      <c r="K1080" s="5">
        <v>20</v>
      </c>
      <c r="L1080" s="5">
        <v>267.89999999999998</v>
      </c>
      <c r="M1080" s="5">
        <v>16814.084507042251</v>
      </c>
      <c r="N1080" s="5">
        <v>-6.25</v>
      </c>
      <c r="O1080" s="5" t="s">
        <v>97</v>
      </c>
      <c r="P1080" s="5" t="s">
        <v>97</v>
      </c>
      <c r="Q1080" s="5" t="s">
        <v>97</v>
      </c>
    </row>
    <row r="1081" spans="1:17" x14ac:dyDescent="0.2">
      <c r="A1081" s="4" t="s">
        <v>27</v>
      </c>
      <c r="B1081" s="15">
        <v>2015</v>
      </c>
      <c r="C1081" s="15" t="s">
        <v>26</v>
      </c>
      <c r="D1081" s="15">
        <v>4</v>
      </c>
      <c r="E1081" s="16">
        <v>3</v>
      </c>
      <c r="F1081" s="16">
        <v>1</v>
      </c>
      <c r="G1081" s="6" t="str">
        <f t="shared" si="35"/>
        <v>31</v>
      </c>
      <c r="H1081" s="5">
        <v>8</v>
      </c>
      <c r="I1081" s="5">
        <v>212.9</v>
      </c>
      <c r="J1081" s="5">
        <v>13362.144798616258</v>
      </c>
      <c r="K1081" s="5">
        <v>75.88</v>
      </c>
      <c r="L1081" s="5">
        <v>298</v>
      </c>
      <c r="M1081" s="5">
        <v>18703.23696565357</v>
      </c>
      <c r="N1081" s="5">
        <v>89.457037427517122</v>
      </c>
      <c r="O1081" s="5">
        <v>-85.1</v>
      </c>
      <c r="P1081" s="5">
        <v>-5341.0921670373118</v>
      </c>
      <c r="Q1081" s="5">
        <v>-28.557046979865774</v>
      </c>
    </row>
    <row r="1082" spans="1:17" x14ac:dyDescent="0.2">
      <c r="A1082" s="4" t="s">
        <v>27</v>
      </c>
      <c r="B1082" s="15">
        <v>2015</v>
      </c>
      <c r="C1082" s="15" t="s">
        <v>26</v>
      </c>
      <c r="D1082" s="15">
        <v>1</v>
      </c>
      <c r="E1082" s="16">
        <v>4</v>
      </c>
      <c r="F1082" s="16">
        <v>1</v>
      </c>
      <c r="G1082" s="6" t="str">
        <f t="shared" si="35"/>
        <v>41</v>
      </c>
      <c r="H1082" s="5">
        <v>56.5</v>
      </c>
      <c r="I1082" s="5">
        <v>202.7</v>
      </c>
      <c r="J1082" s="5">
        <v>12721.96688905362</v>
      </c>
      <c r="K1082" s="5">
        <v>57.25</v>
      </c>
      <c r="L1082" s="5">
        <v>185.9</v>
      </c>
      <c r="M1082" s="5">
        <v>11667.556214479862</v>
      </c>
      <c r="N1082" s="5">
        <v>1.3100436681222707</v>
      </c>
      <c r="O1082" s="5">
        <v>16.799999999999983</v>
      </c>
      <c r="P1082" s="5">
        <v>1054.4106745737572</v>
      </c>
      <c r="Q1082" s="5">
        <v>9.0371167294244117</v>
      </c>
    </row>
    <row r="1083" spans="1:17" x14ac:dyDescent="0.2">
      <c r="A1083" s="4" t="s">
        <v>27</v>
      </c>
      <c r="B1083" s="15">
        <v>2015</v>
      </c>
      <c r="C1083" s="15" t="s">
        <v>26</v>
      </c>
      <c r="D1083" s="15">
        <v>2</v>
      </c>
      <c r="E1083" s="16">
        <v>4</v>
      </c>
      <c r="F1083" s="16">
        <v>1</v>
      </c>
      <c r="G1083" s="6" t="str">
        <f t="shared" si="35"/>
        <v>41</v>
      </c>
      <c r="H1083" s="5">
        <v>11.38</v>
      </c>
      <c r="I1083" s="5">
        <v>283.2</v>
      </c>
      <c r="J1083" s="5">
        <v>17774.351371386212</v>
      </c>
      <c r="K1083" s="5">
        <v>9.3800000000000008</v>
      </c>
      <c r="L1083" s="5">
        <v>267.89999999999998</v>
      </c>
      <c r="M1083" s="5">
        <v>16814.084507042251</v>
      </c>
      <c r="N1083" s="5">
        <v>-21.321961620469082</v>
      </c>
      <c r="O1083" s="5">
        <v>15.300000000000011</v>
      </c>
      <c r="P1083" s="5">
        <v>960.26686434396106</v>
      </c>
      <c r="Q1083" s="5">
        <v>5.7110862262038236</v>
      </c>
    </row>
    <row r="1084" spans="1:17" x14ac:dyDescent="0.2">
      <c r="A1084" s="4" t="s">
        <v>27</v>
      </c>
      <c r="B1084" s="15">
        <v>2015</v>
      </c>
      <c r="C1084" s="15" t="s">
        <v>26</v>
      </c>
      <c r="D1084" s="15">
        <v>3</v>
      </c>
      <c r="E1084" s="16">
        <v>4</v>
      </c>
      <c r="F1084" s="16">
        <v>1</v>
      </c>
      <c r="G1084" s="6" t="str">
        <f t="shared" si="35"/>
        <v>41</v>
      </c>
      <c r="H1084" s="5">
        <v>26.88</v>
      </c>
      <c r="I1084" s="5">
        <v>295.39999999999998</v>
      </c>
      <c r="J1084" s="5">
        <v>18540.05436125525</v>
      </c>
      <c r="K1084" s="5">
        <v>20</v>
      </c>
      <c r="L1084" s="5">
        <v>267.89999999999998</v>
      </c>
      <c r="M1084" s="5">
        <v>16814.084507042251</v>
      </c>
      <c r="N1084" s="5">
        <v>-34.4</v>
      </c>
      <c r="O1084" s="5">
        <v>27.5</v>
      </c>
      <c r="P1084" s="5">
        <v>1725.9698542129991</v>
      </c>
      <c r="Q1084" s="5">
        <v>10.265024262784634</v>
      </c>
    </row>
    <row r="1085" spans="1:17" x14ac:dyDescent="0.2">
      <c r="A1085" s="4" t="s">
        <v>27</v>
      </c>
      <c r="B1085" s="15">
        <v>2015</v>
      </c>
      <c r="C1085" s="15" t="s">
        <v>26</v>
      </c>
      <c r="D1085" s="15">
        <v>4</v>
      </c>
      <c r="E1085" s="16">
        <v>4</v>
      </c>
      <c r="F1085" s="16">
        <v>1</v>
      </c>
      <c r="G1085" s="6" t="str">
        <f t="shared" si="35"/>
        <v>41</v>
      </c>
      <c r="H1085" s="5">
        <v>12.63</v>
      </c>
      <c r="I1085" s="5">
        <v>240.9</v>
      </c>
      <c r="J1085" s="5">
        <v>15119.495922905857</v>
      </c>
      <c r="K1085" s="5">
        <v>75.88</v>
      </c>
      <c r="L1085" s="5">
        <v>298</v>
      </c>
      <c r="M1085" s="5">
        <v>18703.23696565357</v>
      </c>
      <c r="N1085" s="5">
        <v>83.355297838692664</v>
      </c>
      <c r="O1085" s="5">
        <v>-57.099999999999994</v>
      </c>
      <c r="P1085" s="5">
        <v>-3583.7410427477134</v>
      </c>
      <c r="Q1085" s="5">
        <v>-19.161073825503351</v>
      </c>
    </row>
    <row r="1086" spans="1:17" x14ac:dyDescent="0.2">
      <c r="A1086" s="4" t="s">
        <v>27</v>
      </c>
      <c r="B1086" s="15">
        <v>2015</v>
      </c>
      <c r="C1086" s="15" t="s">
        <v>26</v>
      </c>
      <c r="D1086" s="15">
        <v>1</v>
      </c>
      <c r="E1086" s="16">
        <v>5</v>
      </c>
      <c r="F1086" s="16">
        <v>1</v>
      </c>
      <c r="G1086" s="6" t="str">
        <f t="shared" si="35"/>
        <v>51</v>
      </c>
      <c r="H1086" s="5">
        <v>29</v>
      </c>
      <c r="I1086" s="5">
        <v>202.7</v>
      </c>
      <c r="J1086" s="5">
        <v>12721.96688905362</v>
      </c>
      <c r="K1086" s="5">
        <v>57.25</v>
      </c>
      <c r="L1086" s="5">
        <v>185.9</v>
      </c>
      <c r="M1086" s="5">
        <v>11667.556214479862</v>
      </c>
      <c r="N1086" s="5">
        <v>49.344978165938862</v>
      </c>
      <c r="O1086" s="5">
        <v>16.799999999999983</v>
      </c>
      <c r="P1086" s="5">
        <v>1054.4106745737572</v>
      </c>
      <c r="Q1086" s="5">
        <v>9.0371167294244117</v>
      </c>
    </row>
    <row r="1087" spans="1:17" x14ac:dyDescent="0.2">
      <c r="A1087" s="4" t="s">
        <v>27</v>
      </c>
      <c r="B1087" s="15">
        <v>2015</v>
      </c>
      <c r="C1087" s="15" t="s">
        <v>26</v>
      </c>
      <c r="D1087" s="15">
        <v>2</v>
      </c>
      <c r="E1087" s="16">
        <v>5</v>
      </c>
      <c r="F1087" s="16">
        <v>1</v>
      </c>
      <c r="G1087" s="6" t="str">
        <f t="shared" si="35"/>
        <v>51</v>
      </c>
      <c r="H1087" s="5">
        <v>28.5</v>
      </c>
      <c r="I1087" s="5">
        <v>283.2</v>
      </c>
      <c r="J1087" s="5">
        <v>17774.351371386212</v>
      </c>
      <c r="K1087" s="5">
        <v>9.3800000000000008</v>
      </c>
      <c r="L1087" s="5">
        <v>267.89999999999998</v>
      </c>
      <c r="M1087" s="5">
        <v>16814.084507042251</v>
      </c>
      <c r="N1087" s="5">
        <v>-203.83795309168437</v>
      </c>
      <c r="O1087" s="5">
        <v>15.300000000000011</v>
      </c>
      <c r="P1087" s="5">
        <v>960.26686434396106</v>
      </c>
      <c r="Q1087" s="5">
        <v>5.7110862262038236</v>
      </c>
    </row>
    <row r="1088" spans="1:17" x14ac:dyDescent="0.2">
      <c r="A1088" s="4" t="s">
        <v>27</v>
      </c>
      <c r="B1088" s="15">
        <v>2015</v>
      </c>
      <c r="C1088" s="15" t="s">
        <v>26</v>
      </c>
      <c r="D1088" s="15">
        <v>3</v>
      </c>
      <c r="E1088" s="16">
        <v>5</v>
      </c>
      <c r="F1088" s="16">
        <v>1</v>
      </c>
      <c r="G1088" s="6" t="str">
        <f t="shared" si="35"/>
        <v>51</v>
      </c>
      <c r="H1088" s="5">
        <v>28.130000000000003</v>
      </c>
      <c r="I1088" s="5">
        <v>295.39999999999998</v>
      </c>
      <c r="J1088" s="5">
        <v>18540.05436125525</v>
      </c>
      <c r="K1088" s="5">
        <v>20</v>
      </c>
      <c r="L1088" s="5">
        <v>267.89999999999998</v>
      </c>
      <c r="M1088" s="5">
        <v>16814.084507042251</v>
      </c>
      <c r="N1088" s="5">
        <v>-40.650000000000013</v>
      </c>
      <c r="O1088" s="5">
        <v>27.5</v>
      </c>
      <c r="P1088" s="5">
        <v>1725.9698542129991</v>
      </c>
      <c r="Q1088" s="5">
        <v>10.265024262784634</v>
      </c>
    </row>
    <row r="1089" spans="1:17" x14ac:dyDescent="0.2">
      <c r="A1089" s="4" t="s">
        <v>27</v>
      </c>
      <c r="B1089" s="15">
        <v>2015</v>
      </c>
      <c r="C1089" s="15" t="s">
        <v>26</v>
      </c>
      <c r="D1089" s="15">
        <v>4</v>
      </c>
      <c r="E1089" s="16">
        <v>5</v>
      </c>
      <c r="F1089" s="16">
        <v>1</v>
      </c>
      <c r="G1089" s="6" t="str">
        <f t="shared" si="35"/>
        <v>51</v>
      </c>
      <c r="H1089" s="5">
        <v>24.38</v>
      </c>
      <c r="I1089" s="5">
        <v>240.9</v>
      </c>
      <c r="J1089" s="5">
        <v>15119.495922905857</v>
      </c>
      <c r="K1089" s="5">
        <v>75.88</v>
      </c>
      <c r="L1089" s="5">
        <v>298</v>
      </c>
      <c r="M1089" s="5">
        <v>18703.23696565357</v>
      </c>
      <c r="N1089" s="5">
        <v>67.870321560358462</v>
      </c>
      <c r="O1089" s="5">
        <v>-57.099999999999994</v>
      </c>
      <c r="P1089" s="5">
        <v>-3583.7410427477134</v>
      </c>
      <c r="Q1089" s="5">
        <v>-19.161073825503351</v>
      </c>
    </row>
    <row r="1090" spans="1:17" x14ac:dyDescent="0.2">
      <c r="A1090" s="4" t="s">
        <v>27</v>
      </c>
      <c r="B1090" s="15">
        <v>2015</v>
      </c>
      <c r="C1090" s="15" t="s">
        <v>26</v>
      </c>
      <c r="D1090" s="15">
        <v>1</v>
      </c>
      <c r="E1090" s="16">
        <v>6</v>
      </c>
      <c r="F1090" s="16">
        <v>1</v>
      </c>
      <c r="G1090" s="6" t="str">
        <f t="shared" ref="G1090:G1153" si="48">E1090&amp;F1090</f>
        <v>61</v>
      </c>
      <c r="H1090" s="5">
        <v>38.65</v>
      </c>
      <c r="I1090" s="5">
        <v>152.80000000000001</v>
      </c>
      <c r="J1090" s="5">
        <v>9590.1161354089454</v>
      </c>
      <c r="K1090" s="5">
        <v>57.25</v>
      </c>
      <c r="L1090" s="5">
        <v>185.9</v>
      </c>
      <c r="M1090" s="5">
        <v>11667.556214479862</v>
      </c>
      <c r="N1090" s="5">
        <v>32.489082969432317</v>
      </c>
      <c r="O1090" s="5">
        <v>-33.099999999999994</v>
      </c>
      <c r="P1090" s="5">
        <v>-2077.4400790709169</v>
      </c>
      <c r="Q1090" s="5">
        <v>-17.805271651425496</v>
      </c>
    </row>
    <row r="1091" spans="1:17" x14ac:dyDescent="0.2">
      <c r="A1091" s="4" t="s">
        <v>27</v>
      </c>
      <c r="B1091" s="15">
        <v>2015</v>
      </c>
      <c r="C1091" s="15" t="s">
        <v>26</v>
      </c>
      <c r="D1091" s="15">
        <v>2</v>
      </c>
      <c r="E1091" s="16">
        <v>6</v>
      </c>
      <c r="F1091" s="16">
        <v>1</v>
      </c>
      <c r="G1091" s="6" t="str">
        <f t="shared" si="48"/>
        <v>61</v>
      </c>
      <c r="H1091" s="5">
        <v>15</v>
      </c>
      <c r="I1091" s="5">
        <v>231.8</v>
      </c>
      <c r="J1091" s="5">
        <v>14548.356807511738</v>
      </c>
      <c r="K1091" s="5">
        <v>9.3800000000000008</v>
      </c>
      <c r="L1091" s="5">
        <v>267.89999999999998</v>
      </c>
      <c r="M1091" s="5">
        <v>16814.084507042251</v>
      </c>
      <c r="N1091" s="5">
        <v>-59.91471215351811</v>
      </c>
      <c r="O1091" s="5">
        <v>-36.099999999999966</v>
      </c>
      <c r="P1091" s="5">
        <v>-2265.7276995305128</v>
      </c>
      <c r="Q1091" s="5">
        <v>-13.47517730496452</v>
      </c>
    </row>
    <row r="1092" spans="1:17" x14ac:dyDescent="0.2">
      <c r="A1092" s="4" t="s">
        <v>27</v>
      </c>
      <c r="B1092" s="15">
        <v>2015</v>
      </c>
      <c r="C1092" s="15" t="s">
        <v>26</v>
      </c>
      <c r="D1092" s="15">
        <v>3</v>
      </c>
      <c r="E1092" s="16">
        <v>6</v>
      </c>
      <c r="F1092" s="16">
        <v>1</v>
      </c>
      <c r="G1092" s="6" t="str">
        <f t="shared" si="48"/>
        <v>61</v>
      </c>
      <c r="H1092" s="5">
        <v>35.5</v>
      </c>
      <c r="I1092" s="5">
        <v>289.3</v>
      </c>
      <c r="J1092" s="5">
        <v>18157.202866320731</v>
      </c>
      <c r="K1092" s="5">
        <v>20</v>
      </c>
      <c r="L1092" s="5">
        <v>267.89999999999998</v>
      </c>
      <c r="M1092" s="5">
        <v>16814.084507042251</v>
      </c>
      <c r="N1092" s="5">
        <v>-77.5</v>
      </c>
      <c r="O1092" s="5">
        <v>21.400000000000034</v>
      </c>
      <c r="P1092" s="5">
        <v>1343.1183592784801</v>
      </c>
      <c r="Q1092" s="5">
        <v>7.9880552444942285</v>
      </c>
    </row>
    <row r="1093" spans="1:17" s="7" customFormat="1" x14ac:dyDescent="0.2">
      <c r="A1093" s="4" t="s">
        <v>27</v>
      </c>
      <c r="B1093" s="14">
        <v>2015</v>
      </c>
      <c r="C1093" s="14" t="s">
        <v>26</v>
      </c>
      <c r="D1093" s="14">
        <v>4</v>
      </c>
      <c r="E1093" s="17">
        <v>6</v>
      </c>
      <c r="F1093" s="17">
        <v>1</v>
      </c>
      <c r="G1093" s="6" t="str">
        <f t="shared" si="48"/>
        <v>61</v>
      </c>
      <c r="H1093" s="9">
        <v>16.25</v>
      </c>
      <c r="I1093" s="9">
        <v>215.5</v>
      </c>
      <c r="J1093" s="9">
        <v>13525.327403014579</v>
      </c>
      <c r="K1093" s="9">
        <v>75.88</v>
      </c>
      <c r="L1093" s="9">
        <v>298</v>
      </c>
      <c r="M1093" s="9">
        <v>18703.23696565357</v>
      </c>
      <c r="N1093" s="9">
        <v>78.584607274644171</v>
      </c>
      <c r="O1093" s="9">
        <v>-82.5</v>
      </c>
      <c r="P1093" s="9">
        <v>-5177.9095626389917</v>
      </c>
      <c r="Q1093" s="9">
        <v>-27.684563758389263</v>
      </c>
    </row>
    <row r="1094" spans="1:17" x14ac:dyDescent="0.2">
      <c r="A1094" s="4" t="s">
        <v>27</v>
      </c>
      <c r="B1094" s="15">
        <v>2015</v>
      </c>
      <c r="C1094" s="15" t="s">
        <v>26</v>
      </c>
      <c r="D1094" s="15">
        <v>1</v>
      </c>
      <c r="E1094" s="16">
        <v>7</v>
      </c>
      <c r="F1094" s="15">
        <v>2</v>
      </c>
      <c r="G1094" s="6" t="str">
        <f t="shared" si="48"/>
        <v>72</v>
      </c>
      <c r="H1094" s="5">
        <v>13.25</v>
      </c>
      <c r="I1094" s="5">
        <v>191</v>
      </c>
      <c r="J1094" s="5">
        <v>11987.645169261181</v>
      </c>
      <c r="K1094" s="5">
        <v>57.25</v>
      </c>
      <c r="L1094" s="5">
        <v>185.9</v>
      </c>
      <c r="M1094" s="5">
        <v>11667.556214479862</v>
      </c>
      <c r="N1094" s="5">
        <v>76.855895196506552</v>
      </c>
      <c r="O1094" s="5">
        <v>5.0999999999999943</v>
      </c>
      <c r="P1094" s="5">
        <v>320.08895478131853</v>
      </c>
      <c r="Q1094" s="5">
        <v>2.7434104357181197</v>
      </c>
    </row>
    <row r="1095" spans="1:17" x14ac:dyDescent="0.2">
      <c r="A1095" s="4" t="s">
        <v>27</v>
      </c>
      <c r="B1095" s="15">
        <v>2015</v>
      </c>
      <c r="C1095" s="15" t="s">
        <v>26</v>
      </c>
      <c r="D1095" s="15">
        <v>2</v>
      </c>
      <c r="E1095" s="16">
        <v>7</v>
      </c>
      <c r="F1095" s="15">
        <v>2</v>
      </c>
      <c r="G1095" s="6" t="str">
        <f t="shared" si="48"/>
        <v>72</v>
      </c>
      <c r="H1095" s="5">
        <v>27.009999999999998</v>
      </c>
      <c r="I1095" s="5">
        <v>220</v>
      </c>
      <c r="J1095" s="5">
        <v>13807.758833703978</v>
      </c>
      <c r="K1095" s="5">
        <v>9.3800000000000008</v>
      </c>
      <c r="L1095" s="5">
        <v>267.89999999999998</v>
      </c>
      <c r="M1095" s="5">
        <v>16814.084507042251</v>
      </c>
      <c r="N1095" s="5">
        <v>-187.9530916844349</v>
      </c>
      <c r="O1095" s="5">
        <v>-47.899999999999977</v>
      </c>
      <c r="P1095" s="5">
        <v>-3006.3256733382732</v>
      </c>
      <c r="Q1095" s="5">
        <v>-17.879805897723024</v>
      </c>
    </row>
    <row r="1096" spans="1:17" x14ac:dyDescent="0.2">
      <c r="A1096" s="4" t="s">
        <v>27</v>
      </c>
      <c r="B1096" s="15">
        <v>2015</v>
      </c>
      <c r="C1096" s="15" t="s">
        <v>26</v>
      </c>
      <c r="D1096" s="15">
        <v>3</v>
      </c>
      <c r="E1096" s="16">
        <v>7</v>
      </c>
      <c r="F1096" s="15">
        <v>2</v>
      </c>
      <c r="G1096" s="6" t="str">
        <f t="shared" si="48"/>
        <v>72</v>
      </c>
      <c r="H1096" s="5">
        <v>32.94</v>
      </c>
      <c r="I1096" s="5">
        <v>273.5</v>
      </c>
      <c r="J1096" s="5">
        <v>17165.554731900174</v>
      </c>
      <c r="K1096" s="5">
        <v>20</v>
      </c>
      <c r="L1096" s="5">
        <v>267.89999999999998</v>
      </c>
      <c r="M1096" s="5">
        <v>16814.084507042251</v>
      </c>
      <c r="N1096" s="5">
        <v>-64.699999999999989</v>
      </c>
      <c r="O1096" s="5">
        <v>5.6000000000000227</v>
      </c>
      <c r="P1096" s="5">
        <v>351.47022485792331</v>
      </c>
      <c r="Q1096" s="5">
        <v>2.0903322135125282</v>
      </c>
    </row>
    <row r="1097" spans="1:17" x14ac:dyDescent="0.2">
      <c r="A1097" s="4" t="s">
        <v>27</v>
      </c>
      <c r="B1097" s="15">
        <v>2015</v>
      </c>
      <c r="C1097" s="15" t="s">
        <v>26</v>
      </c>
      <c r="D1097" s="15">
        <v>4</v>
      </c>
      <c r="E1097" s="16">
        <v>7</v>
      </c>
      <c r="F1097" s="15">
        <v>2</v>
      </c>
      <c r="G1097" s="6" t="str">
        <f t="shared" si="48"/>
        <v>72</v>
      </c>
      <c r="H1097" s="5">
        <v>10.25</v>
      </c>
      <c r="I1097" s="5">
        <v>235.3</v>
      </c>
      <c r="J1097" s="5">
        <v>14768.025698047937</v>
      </c>
      <c r="K1097" s="5">
        <v>75.88</v>
      </c>
      <c r="L1097" s="5">
        <v>298</v>
      </c>
      <c r="M1097" s="5">
        <v>18703.23696565357</v>
      </c>
      <c r="N1097" s="5">
        <v>86.491829204006322</v>
      </c>
      <c r="O1097" s="5">
        <v>-62.699999999999989</v>
      </c>
      <c r="P1097" s="5">
        <v>-3935.2112676056331</v>
      </c>
      <c r="Q1097" s="5">
        <v>-21.040268456375834</v>
      </c>
    </row>
    <row r="1098" spans="1:17" x14ac:dyDescent="0.2">
      <c r="A1098" s="4" t="s">
        <v>27</v>
      </c>
      <c r="B1098" s="15">
        <v>2015</v>
      </c>
      <c r="C1098" s="15" t="s">
        <v>26</v>
      </c>
      <c r="D1098" s="15">
        <v>1</v>
      </c>
      <c r="E1098" s="16">
        <v>8</v>
      </c>
      <c r="F1098" s="15">
        <v>2</v>
      </c>
      <c r="G1098" s="6" t="str">
        <f t="shared" si="48"/>
        <v>82</v>
      </c>
      <c r="H1098" s="5">
        <v>39.26</v>
      </c>
      <c r="I1098" s="5">
        <v>159.4</v>
      </c>
      <c r="J1098" s="5">
        <v>10004.348900420064</v>
      </c>
      <c r="K1098" s="5">
        <v>57.25</v>
      </c>
      <c r="L1098" s="5">
        <v>185.9</v>
      </c>
      <c r="M1098" s="5">
        <v>11667.556214479862</v>
      </c>
      <c r="N1098" s="5">
        <v>31.423580786026207</v>
      </c>
      <c r="O1098" s="5">
        <v>-26.5</v>
      </c>
      <c r="P1098" s="5">
        <v>-1663.2073140597986</v>
      </c>
      <c r="Q1098" s="5">
        <v>-14.254975793437341</v>
      </c>
    </row>
    <row r="1099" spans="1:17" x14ac:dyDescent="0.2">
      <c r="A1099" s="4" t="s">
        <v>27</v>
      </c>
      <c r="B1099" s="15">
        <v>2015</v>
      </c>
      <c r="C1099" s="15" t="s">
        <v>26</v>
      </c>
      <c r="D1099" s="15">
        <v>2</v>
      </c>
      <c r="E1099" s="16">
        <v>8</v>
      </c>
      <c r="F1099" s="15">
        <v>2</v>
      </c>
      <c r="G1099" s="6" t="str">
        <f t="shared" si="48"/>
        <v>82</v>
      </c>
      <c r="H1099" s="5">
        <v>2.64</v>
      </c>
      <c r="I1099" s="5">
        <v>185.4</v>
      </c>
      <c r="J1099" s="5">
        <v>11636.174944403261</v>
      </c>
      <c r="K1099" s="5">
        <v>9.3800000000000008</v>
      </c>
      <c r="L1099" s="5">
        <v>267.89999999999998</v>
      </c>
      <c r="M1099" s="5">
        <v>16814.084507042251</v>
      </c>
      <c r="N1099" s="5">
        <v>71.85501066098081</v>
      </c>
      <c r="O1099" s="5">
        <v>-82.499999999999972</v>
      </c>
      <c r="P1099" s="5">
        <v>-5177.9095626389899</v>
      </c>
      <c r="Q1099" s="5">
        <v>-30.795072788353856</v>
      </c>
    </row>
    <row r="1100" spans="1:17" x14ac:dyDescent="0.2">
      <c r="A1100" s="4" t="s">
        <v>27</v>
      </c>
      <c r="B1100" s="15">
        <v>2015</v>
      </c>
      <c r="C1100" s="15" t="s">
        <v>26</v>
      </c>
      <c r="D1100" s="15">
        <v>3</v>
      </c>
      <c r="E1100" s="16">
        <v>8</v>
      </c>
      <c r="F1100" s="15">
        <v>2</v>
      </c>
      <c r="G1100" s="6" t="str">
        <f t="shared" si="48"/>
        <v>82</v>
      </c>
      <c r="H1100" s="5">
        <v>12</v>
      </c>
      <c r="I1100" s="5">
        <v>287.8</v>
      </c>
      <c r="J1100" s="5">
        <v>18063.059056090933</v>
      </c>
      <c r="K1100" s="5">
        <v>20</v>
      </c>
      <c r="L1100" s="5">
        <v>267.89999999999998</v>
      </c>
      <c r="M1100" s="5">
        <v>16814.084507042251</v>
      </c>
      <c r="N1100" s="5">
        <v>40</v>
      </c>
      <c r="O1100" s="5">
        <v>19.900000000000034</v>
      </c>
      <c r="P1100" s="5">
        <v>1248.9745490486821</v>
      </c>
      <c r="Q1100" s="5">
        <v>7.428144830160532</v>
      </c>
    </row>
    <row r="1101" spans="1:17" x14ac:dyDescent="0.2">
      <c r="A1101" s="4" t="s">
        <v>27</v>
      </c>
      <c r="B1101" s="15">
        <v>2015</v>
      </c>
      <c r="C1101" s="15" t="s">
        <v>26</v>
      </c>
      <c r="D1101" s="15">
        <v>4</v>
      </c>
      <c r="E1101" s="16">
        <v>8</v>
      </c>
      <c r="F1101" s="15">
        <v>2</v>
      </c>
      <c r="G1101" s="6" t="str">
        <f t="shared" si="48"/>
        <v>82</v>
      </c>
      <c r="H1101" s="5">
        <v>71.38</v>
      </c>
      <c r="I1101" s="5">
        <v>285.2</v>
      </c>
      <c r="J1101" s="5">
        <v>17899.876451692609</v>
      </c>
      <c r="K1101" s="5">
        <v>75.88</v>
      </c>
      <c r="L1101" s="5">
        <v>298</v>
      </c>
      <c r="M1101" s="5">
        <v>18703.23696565357</v>
      </c>
      <c r="N1101" s="5">
        <v>5.9304164470216136</v>
      </c>
      <c r="O1101" s="5">
        <v>-12.800000000000011</v>
      </c>
      <c r="P1101" s="5">
        <v>-803.36051396096082</v>
      </c>
      <c r="Q1101" s="5">
        <v>-4.2953020134228295</v>
      </c>
    </row>
    <row r="1102" spans="1:17" x14ac:dyDescent="0.2">
      <c r="A1102" s="4" t="s">
        <v>27</v>
      </c>
      <c r="B1102" s="15">
        <v>2015</v>
      </c>
      <c r="C1102" s="15" t="s">
        <v>26</v>
      </c>
      <c r="D1102" s="15">
        <v>1</v>
      </c>
      <c r="E1102" s="16">
        <v>9</v>
      </c>
      <c r="F1102" s="15">
        <v>2</v>
      </c>
      <c r="G1102" s="6" t="str">
        <f t="shared" si="48"/>
        <v>92</v>
      </c>
      <c r="H1102" s="5">
        <v>0.88</v>
      </c>
      <c r="I1102" s="5">
        <v>209.9</v>
      </c>
      <c r="J1102" s="5">
        <v>13173.857178156659</v>
      </c>
      <c r="K1102" s="5">
        <v>57.25</v>
      </c>
      <c r="L1102" s="5">
        <v>185.9</v>
      </c>
      <c r="M1102" s="5">
        <v>11667.556214479862</v>
      </c>
      <c r="N1102" s="5">
        <v>98.462882096069862</v>
      </c>
      <c r="O1102" s="5">
        <v>24</v>
      </c>
      <c r="P1102" s="5">
        <v>1506.3009636767965</v>
      </c>
      <c r="Q1102" s="5">
        <v>12.910166756320592</v>
      </c>
    </row>
    <row r="1103" spans="1:17" x14ac:dyDescent="0.2">
      <c r="A1103" s="4" t="s">
        <v>27</v>
      </c>
      <c r="B1103" s="15">
        <v>2015</v>
      </c>
      <c r="C1103" s="15" t="s">
        <v>26</v>
      </c>
      <c r="D1103" s="15">
        <v>2</v>
      </c>
      <c r="E1103" s="16">
        <v>9</v>
      </c>
      <c r="F1103" s="15">
        <v>2</v>
      </c>
      <c r="G1103" s="6" t="str">
        <f t="shared" si="48"/>
        <v>92</v>
      </c>
      <c r="H1103" s="5">
        <v>3.63</v>
      </c>
      <c r="I1103" s="5">
        <v>218</v>
      </c>
      <c r="J1103" s="5">
        <v>13682.233753397579</v>
      </c>
      <c r="K1103" s="5">
        <v>9.3800000000000008</v>
      </c>
      <c r="L1103" s="5">
        <v>267.89999999999998</v>
      </c>
      <c r="M1103" s="5">
        <v>16814.084507042251</v>
      </c>
      <c r="N1103" s="5">
        <v>61.300639658848624</v>
      </c>
      <c r="O1103" s="5">
        <v>-49.899999999999977</v>
      </c>
      <c r="P1103" s="5">
        <v>-3131.8507536446723</v>
      </c>
      <c r="Q1103" s="5">
        <v>-18.626353116834625</v>
      </c>
    </row>
    <row r="1104" spans="1:17" x14ac:dyDescent="0.2">
      <c r="A1104" s="4" t="s">
        <v>27</v>
      </c>
      <c r="B1104" s="15">
        <v>2015</v>
      </c>
      <c r="C1104" s="15" t="s">
        <v>26</v>
      </c>
      <c r="D1104" s="15">
        <v>3</v>
      </c>
      <c r="E1104" s="16">
        <v>9</v>
      </c>
      <c r="F1104" s="15">
        <v>2</v>
      </c>
      <c r="G1104" s="6" t="str">
        <f t="shared" si="48"/>
        <v>92</v>
      </c>
      <c r="H1104" s="5">
        <v>18.13</v>
      </c>
      <c r="I1104" s="5">
        <v>249.6</v>
      </c>
      <c r="J1104" s="5">
        <v>15665.530022238694</v>
      </c>
      <c r="K1104" s="5">
        <v>20</v>
      </c>
      <c r="L1104" s="5">
        <v>267.89999999999998</v>
      </c>
      <c r="M1104" s="5">
        <v>16814.084507042251</v>
      </c>
      <c r="N1104" s="5">
        <v>9.350000000000005</v>
      </c>
      <c r="O1104" s="5">
        <v>-18.299999999999983</v>
      </c>
      <c r="P1104" s="5">
        <v>-1148.554484803557</v>
      </c>
      <c r="Q1104" s="5">
        <v>-6.8309070548712141</v>
      </c>
    </row>
    <row r="1105" spans="1:17" x14ac:dyDescent="0.2">
      <c r="A1105" s="4" t="s">
        <v>27</v>
      </c>
      <c r="B1105" s="15">
        <v>2015</v>
      </c>
      <c r="C1105" s="15" t="s">
        <v>26</v>
      </c>
      <c r="D1105" s="15">
        <v>4</v>
      </c>
      <c r="E1105" s="16">
        <v>9</v>
      </c>
      <c r="F1105" s="15">
        <v>2</v>
      </c>
      <c r="G1105" s="6" t="str">
        <f t="shared" si="48"/>
        <v>92</v>
      </c>
      <c r="H1105" s="5">
        <v>7</v>
      </c>
      <c r="I1105" s="5">
        <v>225.1</v>
      </c>
      <c r="J1105" s="5">
        <v>14127.847788485296</v>
      </c>
      <c r="K1105" s="5">
        <v>75.88</v>
      </c>
      <c r="L1105" s="5">
        <v>298</v>
      </c>
      <c r="M1105" s="5">
        <v>18703.23696565357</v>
      </c>
      <c r="N1105" s="5">
        <v>90.774907749077499</v>
      </c>
      <c r="O1105" s="5">
        <v>-72.900000000000006</v>
      </c>
      <c r="P1105" s="5">
        <v>-4575.3891771682738</v>
      </c>
      <c r="Q1105" s="5">
        <v>-24.463087248322154</v>
      </c>
    </row>
    <row r="1106" spans="1:17" x14ac:dyDescent="0.2">
      <c r="A1106" s="4" t="s">
        <v>27</v>
      </c>
      <c r="B1106" s="15">
        <v>2015</v>
      </c>
      <c r="C1106" s="15" t="s">
        <v>26</v>
      </c>
      <c r="D1106" s="15">
        <v>1</v>
      </c>
      <c r="E1106" s="16">
        <v>10</v>
      </c>
      <c r="F1106" s="15">
        <v>2</v>
      </c>
      <c r="G1106" s="6" t="str">
        <f t="shared" si="48"/>
        <v>102</v>
      </c>
      <c r="H1106" s="5">
        <v>50.52</v>
      </c>
      <c r="I1106" s="5">
        <v>157.4</v>
      </c>
      <c r="J1106" s="5">
        <v>9878.8238201136646</v>
      </c>
      <c r="K1106" s="5">
        <v>57.25</v>
      </c>
      <c r="L1106" s="5">
        <v>185.9</v>
      </c>
      <c r="M1106" s="5">
        <v>11667.556214479862</v>
      </c>
      <c r="N1106" s="5">
        <v>11.755458515283838</v>
      </c>
      <c r="O1106" s="5">
        <v>-28.5</v>
      </c>
      <c r="P1106" s="5">
        <v>-1788.7323943661977</v>
      </c>
      <c r="Q1106" s="5">
        <v>-15.330823023130719</v>
      </c>
    </row>
    <row r="1107" spans="1:17" x14ac:dyDescent="0.2">
      <c r="A1107" s="4" t="s">
        <v>27</v>
      </c>
      <c r="B1107" s="15">
        <v>2015</v>
      </c>
      <c r="C1107" s="15" t="s">
        <v>26</v>
      </c>
      <c r="D1107" s="15">
        <v>2</v>
      </c>
      <c r="E1107" s="16">
        <v>10</v>
      </c>
      <c r="F1107" s="15">
        <v>2</v>
      </c>
      <c r="G1107" s="6" t="str">
        <f t="shared" si="48"/>
        <v>102</v>
      </c>
      <c r="H1107" s="5">
        <v>20.63</v>
      </c>
      <c r="I1107" s="5">
        <v>303.10000000000002</v>
      </c>
      <c r="J1107" s="5">
        <v>19023.325920434891</v>
      </c>
      <c r="K1107" s="5">
        <v>9.3800000000000008</v>
      </c>
      <c r="L1107" s="5">
        <v>267.89999999999998</v>
      </c>
      <c r="M1107" s="5">
        <v>16814.084507042251</v>
      </c>
      <c r="N1107" s="5">
        <v>-119.93603411513855</v>
      </c>
      <c r="O1107" s="5">
        <v>35.200000000000045</v>
      </c>
      <c r="P1107" s="5">
        <v>2209.2414133926395</v>
      </c>
      <c r="Q1107" s="5">
        <v>13.139231056364334</v>
      </c>
    </row>
    <row r="1108" spans="1:17" x14ac:dyDescent="0.2">
      <c r="A1108" s="4" t="s">
        <v>27</v>
      </c>
      <c r="B1108" s="15">
        <v>2015</v>
      </c>
      <c r="C1108" s="15" t="s">
        <v>26</v>
      </c>
      <c r="D1108" s="15">
        <v>3</v>
      </c>
      <c r="E1108" s="16">
        <v>10</v>
      </c>
      <c r="F1108" s="15">
        <v>2</v>
      </c>
      <c r="G1108" s="6" t="str">
        <f t="shared" si="48"/>
        <v>102</v>
      </c>
      <c r="H1108" s="5">
        <v>22.5</v>
      </c>
      <c r="I1108" s="5">
        <v>293.89999999999998</v>
      </c>
      <c r="J1108" s="5">
        <v>18445.910551025449</v>
      </c>
      <c r="K1108" s="5">
        <v>20</v>
      </c>
      <c r="L1108" s="5">
        <v>267.89999999999998</v>
      </c>
      <c r="M1108" s="5">
        <v>16814.084507042251</v>
      </c>
      <c r="N1108" s="5">
        <v>-12.5</v>
      </c>
      <c r="O1108" s="5">
        <v>26</v>
      </c>
      <c r="P1108" s="5">
        <v>1631.8260439831975</v>
      </c>
      <c r="Q1108" s="5">
        <v>9.7051138484509156</v>
      </c>
    </row>
    <row r="1109" spans="1:17" x14ac:dyDescent="0.2">
      <c r="A1109" s="4" t="s">
        <v>27</v>
      </c>
      <c r="B1109" s="15">
        <v>2015</v>
      </c>
      <c r="C1109" s="15" t="s">
        <v>26</v>
      </c>
      <c r="D1109" s="15">
        <v>4</v>
      </c>
      <c r="E1109" s="16">
        <v>10</v>
      </c>
      <c r="F1109" s="15">
        <v>2</v>
      </c>
      <c r="G1109" s="6" t="str">
        <f t="shared" si="48"/>
        <v>102</v>
      </c>
      <c r="H1109" s="5">
        <v>17.5</v>
      </c>
      <c r="I1109" s="5">
        <v>248.1</v>
      </c>
      <c r="J1109" s="5">
        <v>15571.386212008894</v>
      </c>
      <c r="K1109" s="5">
        <v>75.88</v>
      </c>
      <c r="L1109" s="5">
        <v>298</v>
      </c>
      <c r="M1109" s="5">
        <v>18703.23696565357</v>
      </c>
      <c r="N1109" s="5">
        <v>76.937269372693734</v>
      </c>
      <c r="O1109" s="5">
        <v>-49.900000000000006</v>
      </c>
      <c r="P1109" s="5">
        <v>-3131.8507536446759</v>
      </c>
      <c r="Q1109" s="5">
        <v>-16.744966442953025</v>
      </c>
    </row>
    <row r="1110" spans="1:17" x14ac:dyDescent="0.2">
      <c r="A1110" s="4" t="s">
        <v>27</v>
      </c>
      <c r="B1110" s="15">
        <v>2015</v>
      </c>
      <c r="C1110" s="15" t="s">
        <v>26</v>
      </c>
      <c r="D1110" s="15">
        <v>1</v>
      </c>
      <c r="E1110" s="16">
        <v>11</v>
      </c>
      <c r="F1110" s="15">
        <v>2</v>
      </c>
      <c r="G1110" s="6" t="str">
        <f t="shared" si="48"/>
        <v>112</v>
      </c>
      <c r="H1110" s="5">
        <v>25.63</v>
      </c>
      <c r="I1110" s="5">
        <v>206.3</v>
      </c>
      <c r="J1110" s="5">
        <v>12947.91203360514</v>
      </c>
      <c r="K1110" s="5">
        <v>57.25</v>
      </c>
      <c r="L1110" s="5">
        <v>185.9</v>
      </c>
      <c r="M1110" s="5">
        <v>11667.556214479862</v>
      </c>
      <c r="N1110" s="5">
        <v>55.231441048034938</v>
      </c>
      <c r="O1110" s="5">
        <v>20.400000000000006</v>
      </c>
      <c r="P1110" s="5">
        <v>1280.3558191252778</v>
      </c>
      <c r="Q1110" s="5">
        <v>10.973641742872511</v>
      </c>
    </row>
    <row r="1111" spans="1:17" x14ac:dyDescent="0.2">
      <c r="A1111" s="4" t="s">
        <v>27</v>
      </c>
      <c r="B1111" s="15">
        <v>2015</v>
      </c>
      <c r="C1111" s="15" t="s">
        <v>26</v>
      </c>
      <c r="D1111" s="15">
        <v>2</v>
      </c>
      <c r="E1111" s="16">
        <v>11</v>
      </c>
      <c r="F1111" s="15">
        <v>2</v>
      </c>
      <c r="G1111" s="6" t="str">
        <f t="shared" si="48"/>
        <v>112</v>
      </c>
      <c r="H1111" s="5">
        <v>10.5</v>
      </c>
      <c r="I1111" s="5">
        <v>246.5</v>
      </c>
      <c r="J1111" s="5">
        <v>15470.966147763775</v>
      </c>
      <c r="K1111" s="5">
        <v>9.3800000000000008</v>
      </c>
      <c r="L1111" s="5">
        <v>267.89999999999998</v>
      </c>
      <c r="M1111" s="5">
        <v>16814.084507042251</v>
      </c>
      <c r="N1111" s="5">
        <v>-11.940298507462677</v>
      </c>
      <c r="O1111" s="5">
        <v>-21.399999999999977</v>
      </c>
      <c r="P1111" s="5">
        <v>-1343.1183592784764</v>
      </c>
      <c r="Q1111" s="5">
        <v>-7.9880552444942063</v>
      </c>
    </row>
    <row r="1112" spans="1:17" x14ac:dyDescent="0.2">
      <c r="A1112" s="4" t="s">
        <v>27</v>
      </c>
      <c r="B1112" s="15">
        <v>2015</v>
      </c>
      <c r="C1112" s="15" t="s">
        <v>26</v>
      </c>
      <c r="D1112" s="15">
        <v>3</v>
      </c>
      <c r="E1112" s="16">
        <v>11</v>
      </c>
      <c r="F1112" s="15">
        <v>2</v>
      </c>
      <c r="G1112" s="6" t="str">
        <f t="shared" si="48"/>
        <v>112</v>
      </c>
      <c r="H1112" s="5">
        <v>16.38</v>
      </c>
      <c r="I1112" s="5">
        <v>262.3</v>
      </c>
      <c r="J1112" s="5">
        <v>16462.614282184335</v>
      </c>
      <c r="K1112" s="5">
        <v>20</v>
      </c>
      <c r="L1112" s="5">
        <v>267.89999999999998</v>
      </c>
      <c r="M1112" s="5">
        <v>16814.084507042251</v>
      </c>
      <c r="N1112" s="5">
        <v>18.100000000000005</v>
      </c>
      <c r="O1112" s="5">
        <v>-5.5999999999999659</v>
      </c>
      <c r="P1112" s="5">
        <v>-351.47022485791604</v>
      </c>
      <c r="Q1112" s="5">
        <v>-2.0903322135124847</v>
      </c>
    </row>
    <row r="1113" spans="1:17" x14ac:dyDescent="0.2">
      <c r="A1113" s="4" t="s">
        <v>27</v>
      </c>
      <c r="B1113" s="15">
        <v>2015</v>
      </c>
      <c r="C1113" s="15" t="s">
        <v>26</v>
      </c>
      <c r="D1113" s="15">
        <v>4</v>
      </c>
      <c r="E1113" s="16">
        <v>11</v>
      </c>
      <c r="F1113" s="15">
        <v>2</v>
      </c>
      <c r="G1113" s="6" t="str">
        <f t="shared" si="48"/>
        <v>112</v>
      </c>
      <c r="H1113" s="5">
        <v>13.75</v>
      </c>
      <c r="I1113" s="5">
        <v>280.7</v>
      </c>
      <c r="J1113" s="5">
        <v>17617.445021003212</v>
      </c>
      <c r="K1113" s="5">
        <v>75.88</v>
      </c>
      <c r="L1113" s="5">
        <v>298</v>
      </c>
      <c r="M1113" s="5">
        <v>18703.23696565357</v>
      </c>
      <c r="N1113" s="5">
        <v>81.879283078545072</v>
      </c>
      <c r="O1113" s="5">
        <v>-17.300000000000011</v>
      </c>
      <c r="P1113" s="5">
        <v>-1085.7919446503583</v>
      </c>
      <c r="Q1113" s="5">
        <v>-5.8053691275167791</v>
      </c>
    </row>
    <row r="1114" spans="1:17" x14ac:dyDescent="0.2">
      <c r="A1114" s="4" t="s">
        <v>27</v>
      </c>
      <c r="B1114" s="15">
        <v>2015</v>
      </c>
      <c r="C1114" s="15" t="s">
        <v>26</v>
      </c>
      <c r="D1114" s="15">
        <v>1</v>
      </c>
      <c r="E1114" s="16">
        <v>12</v>
      </c>
      <c r="F1114" s="15">
        <v>2</v>
      </c>
      <c r="G1114" s="6" t="str">
        <f t="shared" si="48"/>
        <v>122</v>
      </c>
      <c r="H1114" s="5">
        <v>1.34</v>
      </c>
      <c r="I1114" s="5">
        <v>205.8</v>
      </c>
      <c r="J1114" s="5">
        <v>12916.530763528541</v>
      </c>
      <c r="K1114" s="5">
        <v>57.25</v>
      </c>
      <c r="L1114" s="5">
        <v>185.9</v>
      </c>
      <c r="M1114" s="5">
        <v>11667.556214479862</v>
      </c>
      <c r="N1114" s="5">
        <v>97.659388646288207</v>
      </c>
      <c r="O1114" s="5">
        <v>19.900000000000006</v>
      </c>
      <c r="P1114" s="5">
        <v>1248.9745490486785</v>
      </c>
      <c r="Q1114" s="5">
        <v>10.704679935449169</v>
      </c>
    </row>
    <row r="1115" spans="1:17" x14ac:dyDescent="0.2">
      <c r="A1115" s="4" t="s">
        <v>27</v>
      </c>
      <c r="B1115" s="15">
        <v>2015</v>
      </c>
      <c r="C1115" s="15" t="s">
        <v>26</v>
      </c>
      <c r="D1115" s="15">
        <v>2</v>
      </c>
      <c r="E1115" s="16">
        <v>12</v>
      </c>
      <c r="F1115" s="15">
        <v>2</v>
      </c>
      <c r="G1115" s="6" t="str">
        <f t="shared" si="48"/>
        <v>122</v>
      </c>
      <c r="H1115" s="5">
        <v>5.5</v>
      </c>
      <c r="I1115" s="5">
        <v>227.2</v>
      </c>
      <c r="J1115" s="5">
        <v>14259.649122807017</v>
      </c>
      <c r="K1115" s="5">
        <v>9.3800000000000008</v>
      </c>
      <c r="L1115" s="5">
        <v>267.89999999999998</v>
      </c>
      <c r="M1115" s="5">
        <v>16814.084507042251</v>
      </c>
      <c r="N1115" s="5">
        <v>41.364605543710027</v>
      </c>
      <c r="O1115" s="5">
        <v>-40.699999999999989</v>
      </c>
      <c r="P1115" s="5">
        <v>-2554.4353842352339</v>
      </c>
      <c r="Q1115" s="5">
        <v>-15.192235908921228</v>
      </c>
    </row>
    <row r="1116" spans="1:17" x14ac:dyDescent="0.2">
      <c r="A1116" s="4" t="s">
        <v>27</v>
      </c>
      <c r="B1116" s="15">
        <v>2015</v>
      </c>
      <c r="C1116" s="15" t="s">
        <v>26</v>
      </c>
      <c r="D1116" s="15">
        <v>3</v>
      </c>
      <c r="E1116" s="16">
        <v>12</v>
      </c>
      <c r="F1116" s="15">
        <v>2</v>
      </c>
      <c r="G1116" s="6" t="str">
        <f t="shared" si="48"/>
        <v>122</v>
      </c>
      <c r="H1116" s="5">
        <v>28</v>
      </c>
      <c r="I1116" s="5">
        <v>295.39999999999998</v>
      </c>
      <c r="J1116" s="5">
        <v>18540.05436125525</v>
      </c>
      <c r="K1116" s="5">
        <v>20</v>
      </c>
      <c r="L1116" s="5">
        <v>267.89999999999998</v>
      </c>
      <c r="M1116" s="5">
        <v>16814.084507042251</v>
      </c>
      <c r="N1116" s="5">
        <v>-40</v>
      </c>
      <c r="O1116" s="5">
        <v>27.5</v>
      </c>
      <c r="P1116" s="5">
        <v>1725.9698542129991</v>
      </c>
      <c r="Q1116" s="5">
        <v>10.265024262784634</v>
      </c>
    </row>
    <row r="1117" spans="1:17" x14ac:dyDescent="0.2">
      <c r="A1117" s="4" t="s">
        <v>27</v>
      </c>
      <c r="B1117" s="15">
        <v>2015</v>
      </c>
      <c r="C1117" s="15" t="s">
        <v>26</v>
      </c>
      <c r="D1117" s="15">
        <v>4</v>
      </c>
      <c r="E1117" s="16">
        <v>12</v>
      </c>
      <c r="F1117" s="15">
        <v>2</v>
      </c>
      <c r="G1117" s="6" t="str">
        <f t="shared" si="48"/>
        <v>122</v>
      </c>
      <c r="H1117" s="5">
        <v>19.75</v>
      </c>
      <c r="I1117" s="5">
        <v>286.3</v>
      </c>
      <c r="J1117" s="5">
        <v>17968.915245861132</v>
      </c>
      <c r="K1117" s="5">
        <v>75.88</v>
      </c>
      <c r="L1117" s="5">
        <v>298</v>
      </c>
      <c r="M1117" s="5">
        <v>18703.23696565357</v>
      </c>
      <c r="N1117" s="5">
        <v>73.97206114918292</v>
      </c>
      <c r="O1117" s="5">
        <v>-11.699999999999989</v>
      </c>
      <c r="P1117" s="5">
        <v>-734.32171979243867</v>
      </c>
      <c r="Q1117" s="5">
        <v>-3.9261744966442946</v>
      </c>
    </row>
    <row r="1118" spans="1:17" x14ac:dyDescent="0.2">
      <c r="A1118" s="4" t="s">
        <v>27</v>
      </c>
      <c r="B1118" s="15">
        <v>2015</v>
      </c>
      <c r="C1118" s="15" t="s">
        <v>26</v>
      </c>
      <c r="D1118" s="15">
        <v>1</v>
      </c>
      <c r="E1118" s="16">
        <v>13</v>
      </c>
      <c r="F1118" s="15">
        <v>2</v>
      </c>
      <c r="G1118" s="6" t="str">
        <f t="shared" si="48"/>
        <v>132</v>
      </c>
      <c r="H1118" s="5">
        <v>77.39</v>
      </c>
      <c r="I1118" s="5">
        <v>166.1</v>
      </c>
      <c r="J1118" s="5">
        <v>10424.857919446504</v>
      </c>
      <c r="K1118" s="5">
        <v>57.25</v>
      </c>
      <c r="L1118" s="5">
        <v>185.9</v>
      </c>
      <c r="M1118" s="5">
        <v>11667.556214479862</v>
      </c>
      <c r="N1118" s="5">
        <v>-35.179039301310041</v>
      </c>
      <c r="O1118" s="5">
        <v>-19.800000000000011</v>
      </c>
      <c r="P1118" s="5">
        <v>-1242.6982950333586</v>
      </c>
      <c r="Q1118" s="5">
        <v>-10.650887573964502</v>
      </c>
    </row>
    <row r="1119" spans="1:17" x14ac:dyDescent="0.2">
      <c r="A1119" s="4" t="s">
        <v>27</v>
      </c>
      <c r="B1119" s="15">
        <v>2015</v>
      </c>
      <c r="C1119" s="15" t="s">
        <v>26</v>
      </c>
      <c r="D1119" s="15">
        <v>2</v>
      </c>
      <c r="E1119" s="16">
        <v>13</v>
      </c>
      <c r="F1119" s="15">
        <v>2</v>
      </c>
      <c r="G1119" s="6" t="str">
        <f t="shared" si="48"/>
        <v>132</v>
      </c>
      <c r="H1119" s="5">
        <v>54.379999999999995</v>
      </c>
      <c r="I1119" s="5">
        <v>247.6</v>
      </c>
      <c r="J1119" s="5">
        <v>15540.004941932295</v>
      </c>
      <c r="K1119" s="5">
        <v>9.3800000000000008</v>
      </c>
      <c r="L1119" s="5">
        <v>267.89999999999998</v>
      </c>
      <c r="M1119" s="5">
        <v>16814.084507042251</v>
      </c>
      <c r="N1119" s="5">
        <v>-479.74413646055422</v>
      </c>
      <c r="O1119" s="5">
        <v>-20.299999999999983</v>
      </c>
      <c r="P1119" s="5">
        <v>-1274.0795651099561</v>
      </c>
      <c r="Q1119" s="5">
        <v>-7.5774542739828199</v>
      </c>
    </row>
    <row r="1120" spans="1:17" x14ac:dyDescent="0.2">
      <c r="A1120" s="4" t="s">
        <v>27</v>
      </c>
      <c r="B1120" s="15">
        <v>2015</v>
      </c>
      <c r="C1120" s="15" t="s">
        <v>26</v>
      </c>
      <c r="D1120" s="15">
        <v>3</v>
      </c>
      <c r="E1120" s="16">
        <v>13</v>
      </c>
      <c r="F1120" s="15">
        <v>2</v>
      </c>
      <c r="G1120" s="6" t="str">
        <f t="shared" si="48"/>
        <v>132</v>
      </c>
      <c r="H1120" s="5">
        <v>18.13</v>
      </c>
      <c r="I1120" s="5">
        <v>250.6</v>
      </c>
      <c r="J1120" s="5">
        <v>15728.292562391895</v>
      </c>
      <c r="K1120" s="5">
        <v>20</v>
      </c>
      <c r="L1120" s="5">
        <v>267.89999999999998</v>
      </c>
      <c r="M1120" s="5">
        <v>16814.084507042251</v>
      </c>
      <c r="N1120" s="5">
        <v>9.350000000000005</v>
      </c>
      <c r="O1120" s="5">
        <v>-17.299999999999983</v>
      </c>
      <c r="P1120" s="5">
        <v>-1085.7919446503565</v>
      </c>
      <c r="Q1120" s="5">
        <v>-6.4576334453154072</v>
      </c>
    </row>
    <row r="1121" spans="1:17" x14ac:dyDescent="0.2">
      <c r="A1121" s="4" t="s">
        <v>27</v>
      </c>
      <c r="B1121" s="15">
        <v>2015</v>
      </c>
      <c r="C1121" s="15" t="s">
        <v>26</v>
      </c>
      <c r="D1121" s="15">
        <v>4</v>
      </c>
      <c r="E1121" s="16">
        <v>13</v>
      </c>
      <c r="F1121" s="15">
        <v>2</v>
      </c>
      <c r="G1121" s="6" t="str">
        <f t="shared" si="48"/>
        <v>132</v>
      </c>
      <c r="H1121" s="5">
        <v>30.63</v>
      </c>
      <c r="I1121" s="5">
        <v>268.39999999999998</v>
      </c>
      <c r="J1121" s="5">
        <v>16845.46577711885</v>
      </c>
      <c r="K1121" s="5">
        <v>75.88</v>
      </c>
      <c r="L1121" s="5">
        <v>298</v>
      </c>
      <c r="M1121" s="5">
        <v>18703.23696565357</v>
      </c>
      <c r="N1121" s="5">
        <v>59.633632050606224</v>
      </c>
      <c r="O1121" s="5">
        <v>-29.600000000000023</v>
      </c>
      <c r="P1121" s="5">
        <v>-1857.7711885347198</v>
      </c>
      <c r="Q1121" s="5">
        <v>-9.9328859060402834</v>
      </c>
    </row>
    <row r="1122" spans="1:17" x14ac:dyDescent="0.2">
      <c r="A1122" s="4" t="s">
        <v>27</v>
      </c>
      <c r="B1122" s="15">
        <v>2015</v>
      </c>
      <c r="C1122" s="15" t="s">
        <v>26</v>
      </c>
      <c r="D1122" s="15">
        <v>1</v>
      </c>
      <c r="E1122" s="16">
        <v>14</v>
      </c>
      <c r="F1122" s="15">
        <v>2</v>
      </c>
      <c r="G1122" s="6" t="str">
        <f t="shared" si="48"/>
        <v>142</v>
      </c>
      <c r="H1122" s="5">
        <v>1.76</v>
      </c>
      <c r="I1122" s="5">
        <v>167.1</v>
      </c>
      <c r="J1122" s="5">
        <v>10487.620459599702</v>
      </c>
      <c r="K1122" s="5">
        <v>57.25</v>
      </c>
      <c r="L1122" s="5">
        <v>185.9</v>
      </c>
      <c r="M1122" s="5">
        <v>11667.556214479862</v>
      </c>
      <c r="N1122" s="5">
        <v>96.925764192139738</v>
      </c>
      <c r="O1122" s="5">
        <v>-18.800000000000011</v>
      </c>
      <c r="P1122" s="5">
        <v>-1179.9357548801599</v>
      </c>
      <c r="Q1122" s="5">
        <v>-10.11296395911782</v>
      </c>
    </row>
    <row r="1123" spans="1:17" x14ac:dyDescent="0.2">
      <c r="A1123" s="4" t="s">
        <v>27</v>
      </c>
      <c r="B1123" s="15">
        <v>2015</v>
      </c>
      <c r="C1123" s="15" t="s">
        <v>26</v>
      </c>
      <c r="D1123" s="15">
        <v>2</v>
      </c>
      <c r="E1123" s="16">
        <v>14</v>
      </c>
      <c r="F1123" s="15">
        <v>2</v>
      </c>
      <c r="G1123" s="6" t="str">
        <f t="shared" si="48"/>
        <v>142</v>
      </c>
      <c r="H1123" s="5">
        <v>23.13</v>
      </c>
      <c r="I1123" s="5">
        <v>283.2</v>
      </c>
      <c r="J1123" s="5">
        <v>17774.351371386212</v>
      </c>
      <c r="K1123" s="5">
        <v>9.3800000000000008</v>
      </c>
      <c r="L1123" s="5">
        <v>267.89999999999998</v>
      </c>
      <c r="M1123" s="5">
        <v>16814.084507042251</v>
      </c>
      <c r="N1123" s="5">
        <v>-146.58848614072491</v>
      </c>
      <c r="O1123" s="5">
        <v>15.300000000000011</v>
      </c>
      <c r="P1123" s="5">
        <v>960.26686434396106</v>
      </c>
      <c r="Q1123" s="5">
        <v>5.7110862262038236</v>
      </c>
    </row>
    <row r="1124" spans="1:17" x14ac:dyDescent="0.2">
      <c r="A1124" s="4" t="s">
        <v>27</v>
      </c>
      <c r="B1124" s="15">
        <v>2015</v>
      </c>
      <c r="C1124" s="15" t="s">
        <v>26</v>
      </c>
      <c r="D1124" s="15">
        <v>3</v>
      </c>
      <c r="E1124" s="16">
        <v>14</v>
      </c>
      <c r="F1124" s="15">
        <v>2</v>
      </c>
      <c r="G1124" s="6" t="str">
        <f t="shared" si="48"/>
        <v>142</v>
      </c>
      <c r="H1124" s="5">
        <v>16.63</v>
      </c>
      <c r="I1124" s="5">
        <v>332.6</v>
      </c>
      <c r="J1124" s="5">
        <v>20874.820854954287</v>
      </c>
      <c r="K1124" s="5">
        <v>20</v>
      </c>
      <c r="L1124" s="5">
        <v>267.89999999999998</v>
      </c>
      <c r="M1124" s="5">
        <v>16814.084507042251</v>
      </c>
      <c r="N1124" s="5">
        <v>16.850000000000005</v>
      </c>
      <c r="O1124" s="5">
        <v>64.700000000000045</v>
      </c>
      <c r="P1124" s="5">
        <v>4060.7363479120359</v>
      </c>
      <c r="Q1124" s="5">
        <v>24.150802538260564</v>
      </c>
    </row>
    <row r="1125" spans="1:17" x14ac:dyDescent="0.2">
      <c r="A1125" s="4" t="s">
        <v>27</v>
      </c>
      <c r="B1125" s="15">
        <v>2015</v>
      </c>
      <c r="C1125" s="15" t="s">
        <v>26</v>
      </c>
      <c r="D1125" s="15">
        <v>4</v>
      </c>
      <c r="E1125" s="16">
        <v>14</v>
      </c>
      <c r="F1125" s="15">
        <v>2</v>
      </c>
      <c r="G1125" s="6" t="str">
        <f t="shared" si="48"/>
        <v>142</v>
      </c>
      <c r="H1125" s="5">
        <v>15</v>
      </c>
      <c r="I1125" s="5">
        <v>286.3</v>
      </c>
      <c r="J1125" s="5">
        <v>17968.915245861132</v>
      </c>
      <c r="K1125" s="5">
        <v>75.88</v>
      </c>
      <c r="L1125" s="5">
        <v>298</v>
      </c>
      <c r="M1125" s="5">
        <v>18703.23696565357</v>
      </c>
      <c r="N1125" s="5">
        <v>80.231945176594621</v>
      </c>
      <c r="O1125" s="5">
        <v>-11.699999999999989</v>
      </c>
      <c r="P1125" s="5">
        <v>-734.32171979243867</v>
      </c>
      <c r="Q1125" s="5">
        <v>-3.9261744966442946</v>
      </c>
    </row>
    <row r="1126" spans="1:17" x14ac:dyDescent="0.2">
      <c r="A1126" s="4" t="s">
        <v>27</v>
      </c>
      <c r="B1126" s="15">
        <v>2015</v>
      </c>
      <c r="C1126" s="15" t="s">
        <v>26</v>
      </c>
      <c r="D1126" s="15">
        <v>1</v>
      </c>
      <c r="E1126" s="15">
        <v>15</v>
      </c>
      <c r="F1126" s="15">
        <v>3</v>
      </c>
      <c r="G1126" s="6" t="str">
        <f t="shared" si="48"/>
        <v>153</v>
      </c>
      <c r="H1126" s="5">
        <v>50.63</v>
      </c>
      <c r="I1126" s="5">
        <v>159.9</v>
      </c>
      <c r="J1126" s="5">
        <v>10035.730170496665</v>
      </c>
      <c r="K1126" s="5">
        <v>57.25</v>
      </c>
      <c r="L1126" s="5">
        <v>185.9</v>
      </c>
      <c r="M1126" s="5">
        <v>11667.556214479862</v>
      </c>
      <c r="N1126" s="5">
        <v>11.563318777292572</v>
      </c>
      <c r="O1126" s="5">
        <v>-26</v>
      </c>
      <c r="P1126" s="5">
        <v>-1631.8260439831975</v>
      </c>
      <c r="Q1126" s="5">
        <v>-13.986013986013985</v>
      </c>
    </row>
    <row r="1127" spans="1:17" x14ac:dyDescent="0.2">
      <c r="A1127" s="4" t="s">
        <v>27</v>
      </c>
      <c r="B1127" s="15">
        <v>2015</v>
      </c>
      <c r="C1127" s="15" t="s">
        <v>26</v>
      </c>
      <c r="D1127" s="15">
        <v>2</v>
      </c>
      <c r="E1127" s="15">
        <v>15</v>
      </c>
      <c r="F1127" s="15">
        <v>3</v>
      </c>
      <c r="G1127" s="6" t="str">
        <f t="shared" si="48"/>
        <v>153</v>
      </c>
      <c r="H1127" s="5">
        <v>13.63</v>
      </c>
      <c r="I1127" s="5">
        <v>270</v>
      </c>
      <c r="J1127" s="5">
        <v>16945.885841363972</v>
      </c>
      <c r="K1127" s="5">
        <v>9.3800000000000008</v>
      </c>
      <c r="L1127" s="5">
        <v>267.89999999999998</v>
      </c>
      <c r="M1127" s="5">
        <v>16814.084507042251</v>
      </c>
      <c r="N1127" s="5">
        <v>-45.309168443496802</v>
      </c>
      <c r="O1127" s="5">
        <v>2.1000000000000227</v>
      </c>
      <c r="P1127" s="5">
        <v>131.80133432172079</v>
      </c>
      <c r="Q1127" s="5">
        <v>0.78387458006719535</v>
      </c>
    </row>
    <row r="1128" spans="1:17" x14ac:dyDescent="0.2">
      <c r="A1128" s="4" t="s">
        <v>27</v>
      </c>
      <c r="B1128" s="15">
        <v>2015</v>
      </c>
      <c r="C1128" s="15" t="s">
        <v>26</v>
      </c>
      <c r="D1128" s="15">
        <v>3</v>
      </c>
      <c r="E1128" s="15">
        <v>15</v>
      </c>
      <c r="F1128" s="15">
        <v>3</v>
      </c>
      <c r="G1128" s="6" t="str">
        <f t="shared" si="48"/>
        <v>153</v>
      </c>
      <c r="H1128" s="5">
        <v>17.38</v>
      </c>
      <c r="I1128" s="5">
        <v>232.3</v>
      </c>
      <c r="J1128" s="5">
        <v>14579.738077588338</v>
      </c>
      <c r="K1128" s="5">
        <v>20</v>
      </c>
      <c r="L1128" s="5">
        <v>267.89999999999998</v>
      </c>
      <c r="M1128" s="5">
        <v>16814.084507042251</v>
      </c>
      <c r="N1128" s="5">
        <v>13.100000000000007</v>
      </c>
      <c r="O1128" s="5">
        <v>-35.599999999999966</v>
      </c>
      <c r="P1128" s="5">
        <v>-2234.3464294539135</v>
      </c>
      <c r="Q1128" s="5">
        <v>-13.288540500186622</v>
      </c>
    </row>
    <row r="1129" spans="1:17" x14ac:dyDescent="0.2">
      <c r="A1129" s="4" t="s">
        <v>27</v>
      </c>
      <c r="B1129" s="15">
        <v>2015</v>
      </c>
      <c r="C1129" s="15" t="s">
        <v>26</v>
      </c>
      <c r="D1129" s="15">
        <v>4</v>
      </c>
      <c r="E1129" s="15">
        <v>15</v>
      </c>
      <c r="F1129" s="15">
        <v>3</v>
      </c>
      <c r="G1129" s="6" t="str">
        <f t="shared" si="48"/>
        <v>153</v>
      </c>
      <c r="H1129" s="5">
        <v>6.63</v>
      </c>
      <c r="I1129" s="5">
        <v>241.9</v>
      </c>
      <c r="J1129" s="5">
        <v>15182.258463059055</v>
      </c>
      <c r="K1129" s="5">
        <v>75.88</v>
      </c>
      <c r="L1129" s="5">
        <v>298</v>
      </c>
      <c r="M1129" s="5">
        <v>18703.23696565357</v>
      </c>
      <c r="N1129" s="5">
        <v>91.26251976805483</v>
      </c>
      <c r="O1129" s="5">
        <v>-56.099999999999994</v>
      </c>
      <c r="P1129" s="5">
        <v>-3520.9785025945148</v>
      </c>
      <c r="Q1129" s="5">
        <v>-18.825503355704701</v>
      </c>
    </row>
    <row r="1130" spans="1:17" x14ac:dyDescent="0.2">
      <c r="A1130" s="4" t="s">
        <v>27</v>
      </c>
      <c r="B1130" s="15">
        <v>2015</v>
      </c>
      <c r="C1130" s="15" t="s">
        <v>26</v>
      </c>
      <c r="D1130" s="15">
        <v>1</v>
      </c>
      <c r="E1130" s="15">
        <v>16</v>
      </c>
      <c r="F1130" s="15">
        <v>3</v>
      </c>
      <c r="G1130" s="6" t="str">
        <f t="shared" si="48"/>
        <v>163</v>
      </c>
      <c r="H1130" s="5">
        <v>0.01</v>
      </c>
      <c r="I1130" s="5">
        <v>186.4</v>
      </c>
      <c r="J1130" s="5">
        <v>11698.937484556462</v>
      </c>
      <c r="K1130" s="5">
        <v>57.25</v>
      </c>
      <c r="L1130" s="5">
        <v>185.9</v>
      </c>
      <c r="M1130" s="5">
        <v>11667.556214479862</v>
      </c>
      <c r="N1130" s="5">
        <v>99.982532751091696</v>
      </c>
      <c r="O1130" s="5">
        <v>0.5</v>
      </c>
      <c r="P1130" s="5">
        <v>31.381270076599321</v>
      </c>
      <c r="Q1130" s="5">
        <v>0.26896180742334047</v>
      </c>
    </row>
    <row r="1131" spans="1:17" x14ac:dyDescent="0.2">
      <c r="A1131" s="4" t="s">
        <v>27</v>
      </c>
      <c r="B1131" s="15">
        <v>2015</v>
      </c>
      <c r="C1131" s="15" t="s">
        <v>26</v>
      </c>
      <c r="D1131" s="15">
        <v>2</v>
      </c>
      <c r="E1131" s="15">
        <v>16</v>
      </c>
      <c r="F1131" s="15">
        <v>3</v>
      </c>
      <c r="G1131" s="6" t="str">
        <f t="shared" si="48"/>
        <v>163</v>
      </c>
      <c r="H1131" s="5">
        <v>3.5</v>
      </c>
      <c r="I1131" s="5">
        <v>198.7</v>
      </c>
      <c r="J1131" s="5">
        <v>12470.916728440819</v>
      </c>
      <c r="K1131" s="5">
        <v>9.3800000000000008</v>
      </c>
      <c r="L1131" s="5">
        <v>267.89999999999998</v>
      </c>
      <c r="M1131" s="5">
        <v>16814.084507042251</v>
      </c>
      <c r="N1131" s="5">
        <v>62.68656716417911</v>
      </c>
      <c r="O1131" s="5">
        <v>-69.199999999999989</v>
      </c>
      <c r="P1131" s="5">
        <v>-4343.1677786014316</v>
      </c>
      <c r="Q1131" s="5">
        <v>-25.830533781261661</v>
      </c>
    </row>
    <row r="1132" spans="1:17" x14ac:dyDescent="0.2">
      <c r="A1132" s="4" t="s">
        <v>27</v>
      </c>
      <c r="B1132" s="15">
        <v>2015</v>
      </c>
      <c r="C1132" s="15" t="s">
        <v>26</v>
      </c>
      <c r="D1132" s="15">
        <v>3</v>
      </c>
      <c r="E1132" s="15">
        <v>16</v>
      </c>
      <c r="F1132" s="15">
        <v>3</v>
      </c>
      <c r="G1132" s="6" t="str">
        <f t="shared" si="48"/>
        <v>163</v>
      </c>
      <c r="H1132" s="5">
        <v>8.0299999999999994</v>
      </c>
      <c r="I1132" s="5">
        <v>300.5</v>
      </c>
      <c r="J1132" s="5">
        <v>18860.14331603657</v>
      </c>
      <c r="K1132" s="5">
        <v>20</v>
      </c>
      <c r="L1132" s="5">
        <v>267.89999999999998</v>
      </c>
      <c r="M1132" s="5">
        <v>16814.084507042251</v>
      </c>
      <c r="N1132" s="5">
        <v>59.85</v>
      </c>
      <c r="O1132" s="5">
        <v>32.600000000000023</v>
      </c>
      <c r="P1132" s="5">
        <v>2046.0588089943194</v>
      </c>
      <c r="Q1132" s="5">
        <v>12.168719671519241</v>
      </c>
    </row>
    <row r="1133" spans="1:17" x14ac:dyDescent="0.2">
      <c r="A1133" s="4" t="s">
        <v>27</v>
      </c>
      <c r="B1133" s="15">
        <v>2015</v>
      </c>
      <c r="C1133" s="15" t="s">
        <v>26</v>
      </c>
      <c r="D1133" s="15">
        <v>4</v>
      </c>
      <c r="E1133" s="15">
        <v>16</v>
      </c>
      <c r="F1133" s="15">
        <v>3</v>
      </c>
      <c r="G1133" s="6" t="str">
        <f t="shared" si="48"/>
        <v>163</v>
      </c>
      <c r="H1133" s="5">
        <v>96.01</v>
      </c>
      <c r="I1133" s="5">
        <v>313.3</v>
      </c>
      <c r="J1133" s="5">
        <v>19663.503829997531</v>
      </c>
      <c r="K1133" s="5">
        <v>75.88</v>
      </c>
      <c r="L1133" s="5">
        <v>298</v>
      </c>
      <c r="M1133" s="5">
        <v>18703.23696565357</v>
      </c>
      <c r="N1133" s="5">
        <v>-26.528729573010029</v>
      </c>
      <c r="O1133" s="5">
        <v>15.300000000000011</v>
      </c>
      <c r="P1133" s="5">
        <v>960.26686434396106</v>
      </c>
      <c r="Q1133" s="5">
        <v>5.1342281879194767</v>
      </c>
    </row>
    <row r="1134" spans="1:17" x14ac:dyDescent="0.2">
      <c r="A1134" s="4" t="s">
        <v>27</v>
      </c>
      <c r="B1134" s="15">
        <v>2015</v>
      </c>
      <c r="C1134" s="15" t="s">
        <v>26</v>
      </c>
      <c r="D1134" s="15">
        <v>1</v>
      </c>
      <c r="E1134" s="15">
        <v>17</v>
      </c>
      <c r="F1134" s="15">
        <v>3</v>
      </c>
      <c r="G1134" s="6" t="str">
        <f t="shared" si="48"/>
        <v>173</v>
      </c>
      <c r="H1134" s="5">
        <v>0.28000000000000003</v>
      </c>
      <c r="I1134" s="5">
        <v>177.8</v>
      </c>
      <c r="J1134" s="5">
        <v>11159.179639238942</v>
      </c>
      <c r="K1134" s="5">
        <v>57.25</v>
      </c>
      <c r="L1134" s="5">
        <v>185.9</v>
      </c>
      <c r="M1134" s="5">
        <v>11667.556214479862</v>
      </c>
      <c r="N1134" s="5">
        <v>99.510917030567683</v>
      </c>
      <c r="O1134" s="5">
        <v>-8.0999999999999943</v>
      </c>
      <c r="P1134" s="5">
        <v>-508.37657524091992</v>
      </c>
      <c r="Q1134" s="5">
        <v>-4.3571812802582093</v>
      </c>
    </row>
    <row r="1135" spans="1:17" x14ac:dyDescent="0.2">
      <c r="A1135" s="4" t="s">
        <v>27</v>
      </c>
      <c r="B1135" s="15">
        <v>2015</v>
      </c>
      <c r="C1135" s="15" t="s">
        <v>26</v>
      </c>
      <c r="D1135" s="15">
        <v>2</v>
      </c>
      <c r="E1135" s="15">
        <v>17</v>
      </c>
      <c r="F1135" s="15">
        <v>3</v>
      </c>
      <c r="G1135" s="6" t="str">
        <f t="shared" si="48"/>
        <v>173</v>
      </c>
      <c r="H1135" s="5">
        <v>3.25</v>
      </c>
      <c r="I1135" s="5">
        <v>150.80000000000001</v>
      </c>
      <c r="J1135" s="5">
        <v>9464.5910551025463</v>
      </c>
      <c r="K1135" s="5">
        <v>9.3800000000000008</v>
      </c>
      <c r="L1135" s="5">
        <v>267.89999999999998</v>
      </c>
      <c r="M1135" s="5">
        <v>16814.084507042251</v>
      </c>
      <c r="N1135" s="5">
        <v>65.351812366737732</v>
      </c>
      <c r="O1135" s="5">
        <v>-117.09999999999997</v>
      </c>
      <c r="P1135" s="5">
        <v>-7349.4934519397048</v>
      </c>
      <c r="Q1135" s="5">
        <v>-43.710339678984681</v>
      </c>
    </row>
    <row r="1136" spans="1:17" x14ac:dyDescent="0.2">
      <c r="A1136" s="4" t="s">
        <v>27</v>
      </c>
      <c r="B1136" s="15">
        <v>2015</v>
      </c>
      <c r="C1136" s="15" t="s">
        <v>26</v>
      </c>
      <c r="D1136" s="15">
        <v>3</v>
      </c>
      <c r="E1136" s="15">
        <v>17</v>
      </c>
      <c r="F1136" s="15">
        <v>3</v>
      </c>
      <c r="G1136" s="6" t="str">
        <f t="shared" si="48"/>
        <v>173</v>
      </c>
      <c r="H1136" s="5">
        <v>9.8800000000000008</v>
      </c>
      <c r="I1136" s="5">
        <v>298</v>
      </c>
      <c r="J1136" s="5">
        <v>18703.23696565357</v>
      </c>
      <c r="K1136" s="5">
        <v>20</v>
      </c>
      <c r="L1136" s="5">
        <v>267.89999999999998</v>
      </c>
      <c r="M1136" s="5">
        <v>16814.084507042251</v>
      </c>
      <c r="N1136" s="5">
        <v>50.6</v>
      </c>
      <c r="O1136" s="5">
        <v>30.100000000000023</v>
      </c>
      <c r="P1136" s="5">
        <v>1889.1524586113192</v>
      </c>
      <c r="Q1136" s="5">
        <v>11.235535647629726</v>
      </c>
    </row>
    <row r="1137" spans="1:17" x14ac:dyDescent="0.2">
      <c r="A1137" s="4" t="s">
        <v>27</v>
      </c>
      <c r="B1137" s="15">
        <v>2015</v>
      </c>
      <c r="C1137" s="15" t="s">
        <v>26</v>
      </c>
      <c r="D1137" s="15">
        <v>4</v>
      </c>
      <c r="E1137" s="15">
        <v>17</v>
      </c>
      <c r="F1137" s="15">
        <v>3</v>
      </c>
      <c r="G1137" s="6" t="str">
        <f t="shared" si="48"/>
        <v>173</v>
      </c>
      <c r="H1137" s="5">
        <v>10.38</v>
      </c>
      <c r="I1137" s="5">
        <v>234.3</v>
      </c>
      <c r="J1137" s="5">
        <v>14705.263157894737</v>
      </c>
      <c r="K1137" s="5">
        <v>75.88</v>
      </c>
      <c r="L1137" s="5">
        <v>298</v>
      </c>
      <c r="M1137" s="5">
        <v>18703.23696565357</v>
      </c>
      <c r="N1137" s="5">
        <v>86.320506062203478</v>
      </c>
      <c r="O1137" s="5">
        <v>-63.699999999999989</v>
      </c>
      <c r="P1137" s="5">
        <v>-3997.9738077588336</v>
      </c>
      <c r="Q1137" s="5">
        <v>-21.375838926174495</v>
      </c>
    </row>
    <row r="1138" spans="1:17" x14ac:dyDescent="0.2">
      <c r="A1138" s="4" t="s">
        <v>27</v>
      </c>
      <c r="B1138" s="15">
        <v>2015</v>
      </c>
      <c r="C1138" s="15" t="s">
        <v>26</v>
      </c>
      <c r="D1138" s="15">
        <v>1</v>
      </c>
      <c r="E1138" s="15">
        <v>18</v>
      </c>
      <c r="F1138" s="15">
        <v>3</v>
      </c>
      <c r="G1138" s="6" t="str">
        <f t="shared" si="48"/>
        <v>183</v>
      </c>
      <c r="H1138" s="5">
        <v>52.13</v>
      </c>
      <c r="I1138" s="5">
        <v>184.9</v>
      </c>
      <c r="J1138" s="5">
        <v>11604.793674326662</v>
      </c>
      <c r="K1138" s="5">
        <v>57.25</v>
      </c>
      <c r="L1138" s="5">
        <v>185.9</v>
      </c>
      <c r="M1138" s="5">
        <v>11667.556214479862</v>
      </c>
      <c r="N1138" s="5">
        <v>8.9432314410480309</v>
      </c>
      <c r="O1138" s="5">
        <v>-1</v>
      </c>
      <c r="P1138" s="5">
        <v>-62.762540153200462</v>
      </c>
      <c r="Q1138" s="5">
        <v>-0.53792361484669649</v>
      </c>
    </row>
    <row r="1139" spans="1:17" x14ac:dyDescent="0.2">
      <c r="A1139" s="4" t="s">
        <v>27</v>
      </c>
      <c r="B1139" s="15">
        <v>2015</v>
      </c>
      <c r="C1139" s="15" t="s">
        <v>26</v>
      </c>
      <c r="D1139" s="15">
        <v>2</v>
      </c>
      <c r="E1139" s="15">
        <v>18</v>
      </c>
      <c r="F1139" s="15">
        <v>3</v>
      </c>
      <c r="G1139" s="6" t="str">
        <f t="shared" si="48"/>
        <v>183</v>
      </c>
      <c r="H1139" s="5">
        <v>17.5</v>
      </c>
      <c r="I1139" s="5">
        <v>220</v>
      </c>
      <c r="J1139" s="5">
        <v>13807.758833703978</v>
      </c>
      <c r="K1139" s="5">
        <v>9.3800000000000008</v>
      </c>
      <c r="L1139" s="5">
        <v>267.89999999999998</v>
      </c>
      <c r="M1139" s="5">
        <v>16814.084507042251</v>
      </c>
      <c r="N1139" s="5">
        <v>-86.567164179104466</v>
      </c>
      <c r="O1139" s="5">
        <v>-47.899999999999977</v>
      </c>
      <c r="P1139" s="5">
        <v>-3006.3256733382732</v>
      </c>
      <c r="Q1139" s="5">
        <v>-17.879805897723024</v>
      </c>
    </row>
    <row r="1140" spans="1:17" x14ac:dyDescent="0.2">
      <c r="A1140" s="4" t="s">
        <v>27</v>
      </c>
      <c r="B1140" s="15">
        <v>2015</v>
      </c>
      <c r="C1140" s="15" t="s">
        <v>26</v>
      </c>
      <c r="D1140" s="15">
        <v>3</v>
      </c>
      <c r="E1140" s="15">
        <v>18</v>
      </c>
      <c r="F1140" s="15">
        <v>3</v>
      </c>
      <c r="G1140" s="6" t="str">
        <f t="shared" si="48"/>
        <v>183</v>
      </c>
      <c r="H1140" s="5">
        <v>23.13</v>
      </c>
      <c r="I1140" s="5">
        <v>322.89999999999998</v>
      </c>
      <c r="J1140" s="5">
        <v>20266.024215468246</v>
      </c>
      <c r="K1140" s="5">
        <v>20</v>
      </c>
      <c r="L1140" s="5">
        <v>267.89999999999998</v>
      </c>
      <c r="M1140" s="5">
        <v>16814.084507042251</v>
      </c>
      <c r="N1140" s="5">
        <v>-15.649999999999995</v>
      </c>
      <c r="O1140" s="5">
        <v>55</v>
      </c>
      <c r="P1140" s="5">
        <v>3451.9397084259945</v>
      </c>
      <c r="Q1140" s="5">
        <v>20.530048525569246</v>
      </c>
    </row>
    <row r="1141" spans="1:17" x14ac:dyDescent="0.2">
      <c r="A1141" s="4" t="s">
        <v>27</v>
      </c>
      <c r="B1141" s="15">
        <v>2015</v>
      </c>
      <c r="C1141" s="15" t="s">
        <v>26</v>
      </c>
      <c r="D1141" s="15">
        <v>4</v>
      </c>
      <c r="E1141" s="15">
        <v>18</v>
      </c>
      <c r="F1141" s="15">
        <v>3</v>
      </c>
      <c r="G1141" s="6" t="str">
        <f t="shared" si="48"/>
        <v>183</v>
      </c>
      <c r="H1141" s="5">
        <v>25</v>
      </c>
      <c r="I1141" s="5">
        <v>252.1</v>
      </c>
      <c r="J1141" s="5">
        <v>15822.436372621694</v>
      </c>
      <c r="K1141" s="5">
        <v>75.88</v>
      </c>
      <c r="L1141" s="5">
        <v>298</v>
      </c>
      <c r="M1141" s="5">
        <v>18703.23696565357</v>
      </c>
      <c r="N1141" s="5">
        <v>67.053241960991045</v>
      </c>
      <c r="O1141" s="5">
        <v>-45.900000000000006</v>
      </c>
      <c r="P1141" s="5">
        <v>-2880.8005930318759</v>
      </c>
      <c r="Q1141" s="5">
        <v>-15.402684563758392</v>
      </c>
    </row>
    <row r="1142" spans="1:17" x14ac:dyDescent="0.2">
      <c r="A1142" s="4" t="s">
        <v>27</v>
      </c>
      <c r="B1142" s="15">
        <v>2015</v>
      </c>
      <c r="C1142" s="15" t="s">
        <v>26</v>
      </c>
      <c r="D1142" s="15">
        <v>1</v>
      </c>
      <c r="E1142" s="15">
        <v>19</v>
      </c>
      <c r="F1142" s="15">
        <v>3</v>
      </c>
      <c r="G1142" s="6" t="str">
        <f t="shared" si="48"/>
        <v>193</v>
      </c>
      <c r="H1142" s="5">
        <v>63.39</v>
      </c>
      <c r="I1142" s="5">
        <v>173.2</v>
      </c>
      <c r="J1142" s="5">
        <v>10870.471954534221</v>
      </c>
      <c r="K1142" s="5">
        <v>57.25</v>
      </c>
      <c r="L1142" s="5">
        <v>185.9</v>
      </c>
      <c r="M1142" s="5">
        <v>11667.556214479862</v>
      </c>
      <c r="N1142" s="5">
        <v>-10.724890829694324</v>
      </c>
      <c r="O1142" s="5">
        <v>-12.700000000000017</v>
      </c>
      <c r="P1142" s="5">
        <v>-797.08425994564095</v>
      </c>
      <c r="Q1142" s="5">
        <v>-6.8316299085530039</v>
      </c>
    </row>
    <row r="1143" spans="1:17" x14ac:dyDescent="0.2">
      <c r="A1143" s="4" t="s">
        <v>27</v>
      </c>
      <c r="B1143" s="15">
        <v>2015</v>
      </c>
      <c r="C1143" s="15" t="s">
        <v>26</v>
      </c>
      <c r="D1143" s="15">
        <v>2</v>
      </c>
      <c r="E1143" s="15">
        <v>19</v>
      </c>
      <c r="F1143" s="15">
        <v>3</v>
      </c>
      <c r="G1143" s="6" t="str">
        <f t="shared" si="48"/>
        <v>193</v>
      </c>
      <c r="H1143" s="5">
        <v>1.51</v>
      </c>
      <c r="I1143" s="5">
        <v>184.9</v>
      </c>
      <c r="J1143" s="5">
        <v>11604.793674326662</v>
      </c>
      <c r="K1143" s="5">
        <v>9.3800000000000008</v>
      </c>
      <c r="L1143" s="5">
        <v>267.89999999999998</v>
      </c>
      <c r="M1143" s="5">
        <v>16814.084507042251</v>
      </c>
      <c r="N1143" s="5">
        <v>83.901918976545844</v>
      </c>
      <c r="O1143" s="5">
        <v>-82.999999999999972</v>
      </c>
      <c r="P1143" s="5">
        <v>-5209.2908327155892</v>
      </c>
      <c r="Q1143" s="5">
        <v>-30.981709593131757</v>
      </c>
    </row>
    <row r="1144" spans="1:17" x14ac:dyDescent="0.2">
      <c r="A1144" s="4" t="s">
        <v>27</v>
      </c>
      <c r="B1144" s="15">
        <v>2015</v>
      </c>
      <c r="C1144" s="15" t="s">
        <v>26</v>
      </c>
      <c r="D1144" s="15">
        <v>3</v>
      </c>
      <c r="E1144" s="15">
        <v>19</v>
      </c>
      <c r="F1144" s="15">
        <v>3</v>
      </c>
      <c r="G1144" s="6" t="str">
        <f t="shared" si="48"/>
        <v>193</v>
      </c>
      <c r="H1144" s="5">
        <v>24.009999999999998</v>
      </c>
      <c r="I1144" s="5">
        <v>295.39999999999998</v>
      </c>
      <c r="J1144" s="5">
        <v>18540.05436125525</v>
      </c>
      <c r="K1144" s="5">
        <v>20</v>
      </c>
      <c r="L1144" s="5">
        <v>267.89999999999998</v>
      </c>
      <c r="M1144" s="5">
        <v>16814.084507042251</v>
      </c>
      <c r="N1144" s="5">
        <v>-20.04999999999999</v>
      </c>
      <c r="O1144" s="5">
        <v>27.5</v>
      </c>
      <c r="P1144" s="5">
        <v>1725.9698542129991</v>
      </c>
      <c r="Q1144" s="5">
        <v>10.265024262784634</v>
      </c>
    </row>
    <row r="1145" spans="1:17" s="7" customFormat="1" x14ac:dyDescent="0.2">
      <c r="A1145" s="4" t="s">
        <v>27</v>
      </c>
      <c r="B1145" s="14">
        <v>2015</v>
      </c>
      <c r="C1145" s="14" t="s">
        <v>26</v>
      </c>
      <c r="D1145" s="14">
        <v>4</v>
      </c>
      <c r="E1145" s="14">
        <v>19</v>
      </c>
      <c r="F1145" s="14">
        <v>3</v>
      </c>
      <c r="G1145" s="6" t="str">
        <f t="shared" si="48"/>
        <v>193</v>
      </c>
      <c r="H1145" s="9">
        <v>3.4</v>
      </c>
      <c r="I1145" s="9">
        <v>250.1</v>
      </c>
      <c r="J1145" s="9">
        <v>15696.911292315295</v>
      </c>
      <c r="K1145" s="9">
        <v>75.88</v>
      </c>
      <c r="L1145" s="9">
        <v>298</v>
      </c>
      <c r="M1145" s="9">
        <v>18703.23696565357</v>
      </c>
      <c r="N1145" s="9">
        <v>95.519240906694762</v>
      </c>
      <c r="O1145" s="9">
        <v>-47.900000000000006</v>
      </c>
      <c r="P1145" s="9">
        <v>-3006.325673338275</v>
      </c>
      <c r="Q1145" s="9">
        <v>-16.073825503355703</v>
      </c>
    </row>
    <row r="1146" spans="1:17" x14ac:dyDescent="0.2">
      <c r="A1146" s="4" t="s">
        <v>65</v>
      </c>
      <c r="B1146" s="4">
        <v>2015</v>
      </c>
      <c r="C1146" s="4" t="s">
        <v>64</v>
      </c>
      <c r="D1146" s="4">
        <v>1</v>
      </c>
      <c r="E1146" s="4">
        <v>1</v>
      </c>
      <c r="F1146" s="4">
        <v>0</v>
      </c>
      <c r="G1146" s="6" t="str">
        <f t="shared" si="48"/>
        <v>10</v>
      </c>
      <c r="H1146" s="5">
        <v>7</v>
      </c>
      <c r="I1146" s="5">
        <v>216.3</v>
      </c>
      <c r="J1146" s="5">
        <v>13575.537435137139</v>
      </c>
      <c r="K1146" s="5">
        <v>7</v>
      </c>
      <c r="L1146" s="5">
        <v>216.3</v>
      </c>
      <c r="M1146" s="5">
        <v>13575.537435137139</v>
      </c>
      <c r="N1146" s="5">
        <v>0</v>
      </c>
      <c r="O1146" s="5">
        <v>0</v>
      </c>
      <c r="P1146" s="5">
        <v>0</v>
      </c>
      <c r="Q1146" s="5">
        <v>0</v>
      </c>
    </row>
    <row r="1147" spans="1:17" x14ac:dyDescent="0.2">
      <c r="A1147" s="4" t="s">
        <v>65</v>
      </c>
      <c r="B1147" s="4">
        <v>2015</v>
      </c>
      <c r="C1147" s="4" t="s">
        <v>64</v>
      </c>
      <c r="D1147" s="4">
        <v>2</v>
      </c>
      <c r="E1147" s="4">
        <v>1</v>
      </c>
      <c r="F1147" s="4">
        <v>0</v>
      </c>
      <c r="G1147" s="6" t="str">
        <f t="shared" si="48"/>
        <v>10</v>
      </c>
      <c r="H1147" s="5">
        <v>7</v>
      </c>
      <c r="I1147" s="5">
        <v>216.3</v>
      </c>
      <c r="J1147" s="5">
        <v>13575.537435137139</v>
      </c>
      <c r="K1147" s="5">
        <v>7</v>
      </c>
      <c r="L1147" s="5">
        <v>216.3</v>
      </c>
      <c r="M1147" s="5">
        <v>13575.537435137139</v>
      </c>
      <c r="N1147" s="5">
        <v>0</v>
      </c>
      <c r="O1147" s="5">
        <v>0</v>
      </c>
      <c r="P1147" s="5">
        <v>0</v>
      </c>
      <c r="Q1147" s="5">
        <v>0</v>
      </c>
    </row>
    <row r="1148" spans="1:17" x14ac:dyDescent="0.2">
      <c r="A1148" s="4" t="s">
        <v>65</v>
      </c>
      <c r="B1148" s="4">
        <v>2015</v>
      </c>
      <c r="C1148" s="4" t="s">
        <v>64</v>
      </c>
      <c r="D1148" s="4">
        <v>3</v>
      </c>
      <c r="E1148" s="4">
        <v>1</v>
      </c>
      <c r="F1148" s="4">
        <v>0</v>
      </c>
      <c r="G1148" s="6" t="str">
        <f t="shared" si="48"/>
        <v>10</v>
      </c>
      <c r="H1148" s="5">
        <v>7</v>
      </c>
      <c r="I1148" s="5">
        <v>216.3</v>
      </c>
      <c r="J1148" s="5">
        <v>13575.537435137139</v>
      </c>
      <c r="K1148" s="5">
        <v>7</v>
      </c>
      <c r="L1148" s="5">
        <v>216.3</v>
      </c>
      <c r="M1148" s="5">
        <v>13575.537435137139</v>
      </c>
      <c r="N1148" s="5">
        <v>0</v>
      </c>
      <c r="O1148" s="5">
        <v>0</v>
      </c>
      <c r="P1148" s="5">
        <v>0</v>
      </c>
      <c r="Q1148" s="5">
        <v>0</v>
      </c>
    </row>
    <row r="1149" spans="1:17" x14ac:dyDescent="0.2">
      <c r="A1149" s="4" t="s">
        <v>65</v>
      </c>
      <c r="B1149" s="4">
        <v>2015</v>
      </c>
      <c r="C1149" s="4" t="s">
        <v>64</v>
      </c>
      <c r="D1149" s="4">
        <v>4</v>
      </c>
      <c r="E1149" s="4">
        <v>1</v>
      </c>
      <c r="F1149" s="4">
        <v>0</v>
      </c>
      <c r="G1149" s="6" t="str">
        <f t="shared" si="48"/>
        <v>10</v>
      </c>
      <c r="H1149" s="5">
        <v>7</v>
      </c>
      <c r="I1149" s="5">
        <v>216.3</v>
      </c>
      <c r="J1149" s="5">
        <v>13575.537435137139</v>
      </c>
      <c r="K1149" s="5">
        <v>7</v>
      </c>
      <c r="L1149" s="5">
        <v>216.3</v>
      </c>
      <c r="M1149" s="5">
        <v>13575.537435137139</v>
      </c>
      <c r="N1149" s="5">
        <v>0</v>
      </c>
      <c r="O1149" s="5">
        <v>0</v>
      </c>
      <c r="P1149" s="5">
        <v>0</v>
      </c>
      <c r="Q1149" s="5">
        <v>0</v>
      </c>
    </row>
    <row r="1150" spans="1:17" x14ac:dyDescent="0.2">
      <c r="A1150" s="4" t="s">
        <v>94</v>
      </c>
      <c r="B1150" s="4">
        <v>2015</v>
      </c>
      <c r="C1150" s="4" t="s">
        <v>64</v>
      </c>
      <c r="D1150" s="4">
        <v>1</v>
      </c>
      <c r="E1150" s="4">
        <v>1</v>
      </c>
      <c r="F1150" s="4">
        <v>0</v>
      </c>
      <c r="G1150" s="6" t="str">
        <f t="shared" si="48"/>
        <v>10</v>
      </c>
      <c r="H1150" s="5">
        <v>10.9</v>
      </c>
      <c r="I1150" s="5">
        <v>126.4</v>
      </c>
      <c r="J1150" s="5">
        <v>7933.1850753644676</v>
      </c>
      <c r="K1150" s="5">
        <v>10.9</v>
      </c>
      <c r="L1150" s="5">
        <v>126.4</v>
      </c>
      <c r="M1150" s="5">
        <v>7933.1850753644676</v>
      </c>
      <c r="N1150" s="5">
        <v>0</v>
      </c>
      <c r="O1150" s="5">
        <v>0</v>
      </c>
      <c r="P1150" s="5">
        <v>0</v>
      </c>
      <c r="Q1150" s="5">
        <v>0</v>
      </c>
    </row>
    <row r="1151" spans="1:17" x14ac:dyDescent="0.2">
      <c r="A1151" s="4" t="s">
        <v>94</v>
      </c>
      <c r="B1151" s="4">
        <v>2015</v>
      </c>
      <c r="C1151" s="4" t="s">
        <v>64</v>
      </c>
      <c r="D1151" s="4">
        <v>2</v>
      </c>
      <c r="E1151" s="4">
        <v>1</v>
      </c>
      <c r="F1151" s="4">
        <v>0</v>
      </c>
      <c r="G1151" s="6" t="str">
        <f t="shared" si="48"/>
        <v>10</v>
      </c>
      <c r="H1151" s="5">
        <v>10.9</v>
      </c>
      <c r="I1151" s="5">
        <v>126.4</v>
      </c>
      <c r="J1151" s="5">
        <v>7933.1850753644676</v>
      </c>
      <c r="K1151" s="5">
        <v>10.9</v>
      </c>
      <c r="L1151" s="5">
        <v>126.4</v>
      </c>
      <c r="M1151" s="5">
        <v>7933.1850753644676</v>
      </c>
      <c r="N1151" s="5">
        <v>0</v>
      </c>
      <c r="O1151" s="5">
        <v>0</v>
      </c>
      <c r="P1151" s="5">
        <v>0</v>
      </c>
      <c r="Q1151" s="5">
        <v>0</v>
      </c>
    </row>
    <row r="1152" spans="1:17" x14ac:dyDescent="0.2">
      <c r="A1152" s="4" t="s">
        <v>94</v>
      </c>
      <c r="B1152" s="4">
        <v>2015</v>
      </c>
      <c r="C1152" s="4" t="s">
        <v>64</v>
      </c>
      <c r="D1152" s="4">
        <v>3</v>
      </c>
      <c r="E1152" s="4">
        <v>1</v>
      </c>
      <c r="F1152" s="4">
        <v>0</v>
      </c>
      <c r="G1152" s="6" t="str">
        <f t="shared" si="48"/>
        <v>10</v>
      </c>
      <c r="H1152" s="5">
        <v>10.9</v>
      </c>
      <c r="I1152" s="5">
        <v>126.4</v>
      </c>
      <c r="J1152" s="5">
        <v>7933.1850753644676</v>
      </c>
      <c r="K1152" s="5">
        <v>10.9</v>
      </c>
      <c r="L1152" s="5">
        <v>126.4</v>
      </c>
      <c r="M1152" s="5">
        <v>7933.1850753644676</v>
      </c>
      <c r="N1152" s="5">
        <v>0</v>
      </c>
      <c r="O1152" s="5">
        <v>0</v>
      </c>
      <c r="P1152" s="5">
        <v>0</v>
      </c>
      <c r="Q1152" s="5">
        <v>0</v>
      </c>
    </row>
    <row r="1153" spans="1:17" x14ac:dyDescent="0.2">
      <c r="A1153" s="4" t="s">
        <v>94</v>
      </c>
      <c r="B1153" s="4">
        <v>2015</v>
      </c>
      <c r="C1153" s="4" t="s">
        <v>64</v>
      </c>
      <c r="D1153" s="4">
        <v>4</v>
      </c>
      <c r="E1153" s="4">
        <v>1</v>
      </c>
      <c r="F1153" s="4">
        <v>0</v>
      </c>
      <c r="G1153" s="6" t="str">
        <f t="shared" si="48"/>
        <v>10</v>
      </c>
      <c r="H1153" s="5">
        <v>10.9</v>
      </c>
      <c r="I1153" s="5">
        <v>126.4</v>
      </c>
      <c r="J1153" s="5">
        <v>7933.1850753644676</v>
      </c>
      <c r="K1153" s="5">
        <v>10.9</v>
      </c>
      <c r="L1153" s="5">
        <v>126.4</v>
      </c>
      <c r="M1153" s="5">
        <v>7933.1850753644676</v>
      </c>
      <c r="N1153" s="5">
        <v>0</v>
      </c>
      <c r="O1153" s="5">
        <v>0</v>
      </c>
      <c r="P1153" s="5">
        <v>0</v>
      </c>
      <c r="Q1153" s="5">
        <v>0</v>
      </c>
    </row>
    <row r="1154" spans="1:17" x14ac:dyDescent="0.2">
      <c r="A1154" s="4" t="s">
        <v>91</v>
      </c>
      <c r="B1154" s="4">
        <v>2015</v>
      </c>
      <c r="C1154" s="4" t="s">
        <v>64</v>
      </c>
      <c r="D1154" s="4">
        <v>1</v>
      </c>
      <c r="E1154" s="4">
        <v>1</v>
      </c>
      <c r="F1154" s="4">
        <v>0</v>
      </c>
      <c r="G1154" s="6" t="str">
        <f t="shared" ref="G1154:G1217" si="49">E1154&amp;F1154</f>
        <v>10</v>
      </c>
      <c r="H1154" s="5">
        <v>30</v>
      </c>
      <c r="I1154" s="5">
        <v>195.3</v>
      </c>
      <c r="J1154" s="5">
        <v>12257.52409191994</v>
      </c>
      <c r="K1154" s="5">
        <v>30</v>
      </c>
      <c r="L1154" s="5">
        <v>195.3</v>
      </c>
      <c r="M1154" s="5">
        <v>12257.52409191994</v>
      </c>
      <c r="N1154" s="5">
        <v>0</v>
      </c>
      <c r="O1154" s="5">
        <v>0</v>
      </c>
      <c r="P1154" s="5">
        <v>0</v>
      </c>
      <c r="Q1154" s="5">
        <v>0</v>
      </c>
    </row>
    <row r="1155" spans="1:17" x14ac:dyDescent="0.2">
      <c r="A1155" s="4" t="s">
        <v>91</v>
      </c>
      <c r="B1155" s="4">
        <v>2015</v>
      </c>
      <c r="C1155" s="4" t="s">
        <v>64</v>
      </c>
      <c r="D1155" s="4">
        <v>2</v>
      </c>
      <c r="E1155" s="4">
        <v>1</v>
      </c>
      <c r="F1155" s="4">
        <v>0</v>
      </c>
      <c r="G1155" s="6" t="str">
        <f t="shared" si="49"/>
        <v>10</v>
      </c>
      <c r="H1155" s="5">
        <v>30</v>
      </c>
      <c r="I1155" s="5">
        <v>195.3</v>
      </c>
      <c r="J1155" s="5">
        <v>12257.52409191994</v>
      </c>
      <c r="K1155" s="5">
        <v>30</v>
      </c>
      <c r="L1155" s="5">
        <v>195.3</v>
      </c>
      <c r="M1155" s="5">
        <v>12257.52409191994</v>
      </c>
      <c r="N1155" s="5">
        <v>0</v>
      </c>
      <c r="O1155" s="5">
        <v>0</v>
      </c>
      <c r="P1155" s="5">
        <v>0</v>
      </c>
      <c r="Q1155" s="5">
        <v>0</v>
      </c>
    </row>
    <row r="1156" spans="1:17" x14ac:dyDescent="0.2">
      <c r="A1156" s="4" t="s">
        <v>91</v>
      </c>
      <c r="B1156" s="4">
        <v>2015</v>
      </c>
      <c r="C1156" s="4" t="s">
        <v>64</v>
      </c>
      <c r="D1156" s="4">
        <v>3</v>
      </c>
      <c r="E1156" s="4">
        <v>1</v>
      </c>
      <c r="F1156" s="4">
        <v>0</v>
      </c>
      <c r="G1156" s="6" t="str">
        <f t="shared" si="49"/>
        <v>10</v>
      </c>
      <c r="H1156" s="5">
        <v>30</v>
      </c>
      <c r="I1156" s="5">
        <v>195.3</v>
      </c>
      <c r="J1156" s="5">
        <v>12257.52409191994</v>
      </c>
      <c r="K1156" s="5">
        <v>30</v>
      </c>
      <c r="L1156" s="5">
        <v>195.3</v>
      </c>
      <c r="M1156" s="5">
        <v>12257.52409191994</v>
      </c>
      <c r="N1156" s="5">
        <v>0</v>
      </c>
      <c r="O1156" s="5">
        <v>0</v>
      </c>
      <c r="P1156" s="5">
        <v>0</v>
      </c>
      <c r="Q1156" s="5">
        <v>0</v>
      </c>
    </row>
    <row r="1157" spans="1:17" x14ac:dyDescent="0.2">
      <c r="A1157" s="4" t="s">
        <v>91</v>
      </c>
      <c r="B1157" s="4">
        <v>2015</v>
      </c>
      <c r="C1157" s="4" t="s">
        <v>64</v>
      </c>
      <c r="D1157" s="4">
        <v>4</v>
      </c>
      <c r="E1157" s="4">
        <v>1</v>
      </c>
      <c r="F1157" s="4">
        <v>0</v>
      </c>
      <c r="G1157" s="6" t="str">
        <f t="shared" si="49"/>
        <v>10</v>
      </c>
      <c r="H1157" s="5">
        <v>30</v>
      </c>
      <c r="I1157" s="5">
        <v>195.3</v>
      </c>
      <c r="J1157" s="5">
        <v>12257.52409191994</v>
      </c>
      <c r="K1157" s="5">
        <v>30</v>
      </c>
      <c r="L1157" s="5">
        <v>195.3</v>
      </c>
      <c r="M1157" s="5">
        <v>12257.52409191994</v>
      </c>
      <c r="N1157" s="5">
        <v>0</v>
      </c>
      <c r="O1157" s="5">
        <v>0</v>
      </c>
      <c r="P1157" s="5">
        <v>0</v>
      </c>
      <c r="Q1157" s="5">
        <v>0</v>
      </c>
    </row>
    <row r="1158" spans="1:17" x14ac:dyDescent="0.2">
      <c r="A1158" s="4" t="s">
        <v>91</v>
      </c>
      <c r="B1158" s="4">
        <v>2015</v>
      </c>
      <c r="C1158" s="4" t="s">
        <v>64</v>
      </c>
      <c r="D1158" s="4">
        <v>5</v>
      </c>
      <c r="E1158" s="4">
        <v>1</v>
      </c>
      <c r="F1158" s="4">
        <v>0</v>
      </c>
      <c r="G1158" s="6" t="str">
        <f t="shared" si="49"/>
        <v>10</v>
      </c>
      <c r="H1158" s="5">
        <v>30</v>
      </c>
      <c r="I1158" s="5">
        <v>195.3</v>
      </c>
      <c r="J1158" s="5">
        <v>12257.52409191994</v>
      </c>
      <c r="K1158" s="5">
        <v>30</v>
      </c>
      <c r="L1158" s="5">
        <v>195.3</v>
      </c>
      <c r="M1158" s="5">
        <v>12257.52409191994</v>
      </c>
      <c r="N1158" s="5">
        <v>0</v>
      </c>
      <c r="O1158" s="5">
        <v>0</v>
      </c>
      <c r="P1158" s="5">
        <v>0</v>
      </c>
      <c r="Q1158" s="5">
        <v>0</v>
      </c>
    </row>
    <row r="1159" spans="1:17" x14ac:dyDescent="0.2">
      <c r="A1159" s="4" t="s">
        <v>91</v>
      </c>
      <c r="B1159" s="4">
        <v>2015</v>
      </c>
      <c r="C1159" s="4" t="s">
        <v>64</v>
      </c>
      <c r="D1159" s="4">
        <v>6</v>
      </c>
      <c r="E1159" s="4">
        <v>1</v>
      </c>
      <c r="F1159" s="4">
        <v>0</v>
      </c>
      <c r="G1159" s="6" t="str">
        <f t="shared" si="49"/>
        <v>10</v>
      </c>
      <c r="H1159" s="5">
        <v>30</v>
      </c>
      <c r="I1159" s="5">
        <v>195.3</v>
      </c>
      <c r="J1159" s="5">
        <v>12257.52409191994</v>
      </c>
      <c r="K1159" s="5">
        <v>30</v>
      </c>
      <c r="L1159" s="5">
        <v>195.3</v>
      </c>
      <c r="M1159" s="5">
        <v>12257.52409191994</v>
      </c>
      <c r="N1159" s="5">
        <v>0</v>
      </c>
      <c r="O1159" s="5">
        <v>0</v>
      </c>
      <c r="P1159" s="5">
        <v>0</v>
      </c>
      <c r="Q1159" s="5">
        <v>0</v>
      </c>
    </row>
    <row r="1160" spans="1:17" x14ac:dyDescent="0.2">
      <c r="A1160" s="4" t="s">
        <v>65</v>
      </c>
      <c r="B1160" s="4">
        <v>2015</v>
      </c>
      <c r="C1160" s="4" t="s">
        <v>64</v>
      </c>
      <c r="D1160" s="4">
        <v>1</v>
      </c>
      <c r="E1160" s="4">
        <v>2</v>
      </c>
      <c r="F1160" s="4">
        <v>1</v>
      </c>
      <c r="G1160" s="6" t="str">
        <f t="shared" si="49"/>
        <v>21</v>
      </c>
      <c r="H1160" s="5">
        <v>5</v>
      </c>
      <c r="I1160" s="5">
        <v>207.12187499999999</v>
      </c>
      <c r="J1160" s="5">
        <v>12999.49499629355</v>
      </c>
      <c r="K1160" s="5">
        <v>7</v>
      </c>
      <c r="L1160" s="5">
        <v>216.3</v>
      </c>
      <c r="M1160" s="5">
        <v>13575.537435137139</v>
      </c>
      <c r="N1160" s="5">
        <v>28.571428571428569</v>
      </c>
      <c r="O1160" s="5">
        <v>-9.1781250000000227</v>
      </c>
      <c r="P1160" s="5">
        <v>-576.04243884358948</v>
      </c>
      <c r="Q1160" s="5">
        <v>-4.243238557558958</v>
      </c>
    </row>
    <row r="1161" spans="1:17" x14ac:dyDescent="0.2">
      <c r="A1161" s="4" t="s">
        <v>65</v>
      </c>
      <c r="B1161" s="4">
        <v>2015</v>
      </c>
      <c r="C1161" s="4" t="s">
        <v>64</v>
      </c>
      <c r="D1161" s="4">
        <v>2</v>
      </c>
      <c r="E1161" s="4">
        <v>2</v>
      </c>
      <c r="F1161" s="4">
        <v>1</v>
      </c>
      <c r="G1161" s="6" t="str">
        <f t="shared" si="49"/>
        <v>21</v>
      </c>
      <c r="H1161" s="5">
        <v>5</v>
      </c>
      <c r="I1161" s="5">
        <v>235.64067426136364</v>
      </c>
      <c r="J1161" s="5">
        <v>14789.407280055933</v>
      </c>
      <c r="K1161" s="5">
        <v>7</v>
      </c>
      <c r="L1161" s="5">
        <v>216.3</v>
      </c>
      <c r="M1161" s="5">
        <v>13575.537435137139</v>
      </c>
      <c r="N1161" s="5">
        <v>28.571428571428569</v>
      </c>
      <c r="O1161" s="5">
        <v>19.340674261363631</v>
      </c>
      <c r="P1161" s="5">
        <v>1213.8698449187941</v>
      </c>
      <c r="Q1161" s="5">
        <v>8.9415969770520665</v>
      </c>
    </row>
    <row r="1162" spans="1:17" x14ac:dyDescent="0.2">
      <c r="A1162" s="4" t="s">
        <v>65</v>
      </c>
      <c r="B1162" s="4">
        <v>2015</v>
      </c>
      <c r="C1162" s="4" t="s">
        <v>64</v>
      </c>
      <c r="D1162" s="4">
        <v>3</v>
      </c>
      <c r="E1162" s="4">
        <v>2</v>
      </c>
      <c r="F1162" s="4">
        <v>1</v>
      </c>
      <c r="G1162" s="6" t="str">
        <f t="shared" si="49"/>
        <v>21</v>
      </c>
      <c r="H1162" s="5">
        <v>6</v>
      </c>
      <c r="I1162" s="5">
        <v>215.2828953030303</v>
      </c>
      <c r="J1162" s="5">
        <v>13511.70136075357</v>
      </c>
      <c r="K1162" s="5">
        <v>7</v>
      </c>
      <c r="L1162" s="5">
        <v>216.3</v>
      </c>
      <c r="M1162" s="5">
        <v>13575.537435137139</v>
      </c>
      <c r="N1162" s="5">
        <v>14.285714285714285</v>
      </c>
      <c r="O1162" s="5">
        <v>-1.0171046969697102</v>
      </c>
      <c r="P1162" s="5">
        <v>-63.836074383569212</v>
      </c>
      <c r="Q1162" s="5">
        <v>-0.47022870872385719</v>
      </c>
    </row>
    <row r="1163" spans="1:17" x14ac:dyDescent="0.2">
      <c r="A1163" s="4" t="s">
        <v>65</v>
      </c>
      <c r="B1163" s="4">
        <v>2015</v>
      </c>
      <c r="C1163" s="4" t="s">
        <v>64</v>
      </c>
      <c r="D1163" s="4">
        <v>4</v>
      </c>
      <c r="E1163" s="4">
        <v>2</v>
      </c>
      <c r="F1163" s="4">
        <v>1</v>
      </c>
      <c r="G1163" s="6" t="str">
        <f t="shared" si="49"/>
        <v>21</v>
      </c>
      <c r="H1163" s="5">
        <v>2</v>
      </c>
      <c r="I1163" s="5">
        <v>217.61605000000003</v>
      </c>
      <c r="J1163" s="5">
        <v>13658.136076105759</v>
      </c>
      <c r="K1163" s="5">
        <v>7</v>
      </c>
      <c r="L1163" s="5">
        <v>216.3</v>
      </c>
      <c r="M1163" s="5">
        <v>13575.537435137139</v>
      </c>
      <c r="N1163" s="5">
        <v>71.428571428571431</v>
      </c>
      <c r="O1163" s="5">
        <v>1.3160500000000184</v>
      </c>
      <c r="P1163" s="5">
        <v>82.598640968619293</v>
      </c>
      <c r="Q1163" s="5">
        <v>0.60843735552473821</v>
      </c>
    </row>
    <row r="1164" spans="1:17" x14ac:dyDescent="0.2">
      <c r="A1164" s="4" t="s">
        <v>94</v>
      </c>
      <c r="B1164" s="4">
        <v>2015</v>
      </c>
      <c r="C1164" s="4" t="s">
        <v>64</v>
      </c>
      <c r="D1164" s="4">
        <v>1</v>
      </c>
      <c r="E1164" s="4">
        <v>2</v>
      </c>
      <c r="F1164" s="4">
        <v>1</v>
      </c>
      <c r="G1164" s="6" t="str">
        <f t="shared" si="49"/>
        <v>21</v>
      </c>
      <c r="H1164" s="5">
        <v>6</v>
      </c>
      <c r="I1164" s="5">
        <v>125.9</v>
      </c>
      <c r="J1164" s="5">
        <v>7901.8038052878674</v>
      </c>
      <c r="K1164" s="5">
        <v>10.9</v>
      </c>
      <c r="L1164" s="5">
        <v>126.4</v>
      </c>
      <c r="M1164" s="5">
        <v>7933.1850753644676</v>
      </c>
      <c r="N1164" s="5">
        <v>44.954128440366972</v>
      </c>
      <c r="O1164" s="5">
        <v>-0.5</v>
      </c>
      <c r="P1164" s="5">
        <v>-31.381270076600231</v>
      </c>
      <c r="Q1164" s="5">
        <v>-0.39556962025316805</v>
      </c>
    </row>
    <row r="1165" spans="1:17" x14ac:dyDescent="0.2">
      <c r="A1165" s="4" t="s">
        <v>94</v>
      </c>
      <c r="B1165" s="4">
        <v>2015</v>
      </c>
      <c r="C1165" s="4" t="s">
        <v>64</v>
      </c>
      <c r="D1165" s="4">
        <v>2</v>
      </c>
      <c r="E1165" s="4">
        <v>2</v>
      </c>
      <c r="F1165" s="4">
        <v>1</v>
      </c>
      <c r="G1165" s="6" t="str">
        <f t="shared" si="49"/>
        <v>21</v>
      </c>
      <c r="H1165" s="5">
        <v>3</v>
      </c>
      <c r="I1165" s="5">
        <v>128.30000000000001</v>
      </c>
      <c r="J1165" s="5">
        <v>8052.4339016555477</v>
      </c>
      <c r="K1165" s="5">
        <v>10.9</v>
      </c>
      <c r="L1165" s="5">
        <v>126.4</v>
      </c>
      <c r="M1165" s="5">
        <v>7933.1850753644676</v>
      </c>
      <c r="N1165" s="5">
        <v>72.477064220183479</v>
      </c>
      <c r="O1165" s="5">
        <v>1.9000000000000057</v>
      </c>
      <c r="P1165" s="5">
        <v>119.24882629108015</v>
      </c>
      <c r="Q1165" s="5">
        <v>1.5031645569620296</v>
      </c>
    </row>
    <row r="1166" spans="1:17" x14ac:dyDescent="0.2">
      <c r="A1166" s="4" t="s">
        <v>94</v>
      </c>
      <c r="B1166" s="4">
        <v>2015</v>
      </c>
      <c r="C1166" s="4" t="s">
        <v>64</v>
      </c>
      <c r="D1166" s="4">
        <v>3</v>
      </c>
      <c r="E1166" s="4">
        <v>2</v>
      </c>
      <c r="F1166" s="4">
        <v>1</v>
      </c>
      <c r="G1166" s="6" t="str">
        <f t="shared" si="49"/>
        <v>21</v>
      </c>
      <c r="H1166" s="5">
        <v>5</v>
      </c>
      <c r="I1166" s="5">
        <v>126.1</v>
      </c>
      <c r="J1166" s="5">
        <v>7914.3563133185071</v>
      </c>
      <c r="K1166" s="5">
        <v>10.9</v>
      </c>
      <c r="L1166" s="5">
        <v>126.4</v>
      </c>
      <c r="M1166" s="5">
        <v>7933.1850753644676</v>
      </c>
      <c r="N1166" s="5">
        <v>54.128440366972477</v>
      </c>
      <c r="O1166" s="5">
        <v>-0.30000000000001137</v>
      </c>
      <c r="P1166" s="5">
        <v>-18.828762045960502</v>
      </c>
      <c r="Q1166" s="5">
        <v>-0.23734177215190541</v>
      </c>
    </row>
    <row r="1167" spans="1:17" x14ac:dyDescent="0.2">
      <c r="A1167" s="4" t="s">
        <v>94</v>
      </c>
      <c r="B1167" s="4">
        <v>2015</v>
      </c>
      <c r="C1167" s="4" t="s">
        <v>64</v>
      </c>
      <c r="D1167" s="4">
        <v>4</v>
      </c>
      <c r="E1167" s="4">
        <v>2</v>
      </c>
      <c r="F1167" s="4">
        <v>1</v>
      </c>
      <c r="G1167" s="6" t="str">
        <f t="shared" si="49"/>
        <v>21</v>
      </c>
      <c r="H1167" s="5">
        <v>15</v>
      </c>
      <c r="I1167" s="5">
        <v>134.80000000000001</v>
      </c>
      <c r="J1167" s="5">
        <v>8460.390412651348</v>
      </c>
      <c r="K1167" s="5">
        <v>10.9</v>
      </c>
      <c r="L1167" s="5">
        <v>126.4</v>
      </c>
      <c r="M1167" s="5">
        <v>7933.1850753644676</v>
      </c>
      <c r="N1167" s="5">
        <v>-37.614678899082563</v>
      </c>
      <c r="O1167" s="5">
        <v>8.4000000000000057</v>
      </c>
      <c r="P1167" s="5">
        <v>527.20533728688042</v>
      </c>
      <c r="Q1167" s="5">
        <v>6.6455696202531804</v>
      </c>
    </row>
    <row r="1168" spans="1:17" x14ac:dyDescent="0.2">
      <c r="A1168" s="4" t="s">
        <v>91</v>
      </c>
      <c r="B1168" s="4">
        <v>2015</v>
      </c>
      <c r="C1168" s="4" t="s">
        <v>64</v>
      </c>
      <c r="D1168" s="4">
        <v>1</v>
      </c>
      <c r="E1168" s="4">
        <v>2</v>
      </c>
      <c r="F1168" s="4">
        <v>1</v>
      </c>
      <c r="G1168" s="6" t="str">
        <f t="shared" si="49"/>
        <v>21</v>
      </c>
      <c r="H1168" s="5">
        <v>40</v>
      </c>
      <c r="I1168" s="5">
        <v>206.51260964659835</v>
      </c>
      <c r="J1168" s="5">
        <v>12961.255955086726</v>
      </c>
      <c r="K1168" s="5">
        <v>30</v>
      </c>
      <c r="L1168" s="5">
        <v>195.3</v>
      </c>
      <c r="M1168" s="5">
        <v>12257.52409191994</v>
      </c>
      <c r="N1168" s="5">
        <v>-33.333333333333329</v>
      </c>
      <c r="O1168" s="5">
        <v>11.212609646598338</v>
      </c>
      <c r="P1168" s="5">
        <v>703.73186316678584</v>
      </c>
      <c r="Q1168" s="5">
        <v>5.7412235773673093</v>
      </c>
    </row>
    <row r="1169" spans="1:17" x14ac:dyDescent="0.2">
      <c r="A1169" s="4" t="s">
        <v>91</v>
      </c>
      <c r="B1169" s="4">
        <v>2015</v>
      </c>
      <c r="C1169" s="4" t="s">
        <v>64</v>
      </c>
      <c r="D1169" s="4">
        <v>2</v>
      </c>
      <c r="E1169" s="4">
        <v>2</v>
      </c>
      <c r="F1169" s="4">
        <v>1</v>
      </c>
      <c r="G1169" s="6" t="str">
        <f t="shared" si="49"/>
        <v>21</v>
      </c>
      <c r="H1169" s="5">
        <v>30</v>
      </c>
      <c r="I1169" s="5">
        <v>199.16778289397948</v>
      </c>
      <c r="J1169" s="5">
        <v>12500.275971107187</v>
      </c>
      <c r="K1169" s="5">
        <v>30</v>
      </c>
      <c r="L1169" s="5">
        <v>195.3</v>
      </c>
      <c r="M1169" s="5">
        <v>12257.52409191994</v>
      </c>
      <c r="N1169" s="5">
        <v>0</v>
      </c>
      <c r="O1169" s="5">
        <v>3.8677828939794665</v>
      </c>
      <c r="P1169" s="5">
        <v>242.75187918724623</v>
      </c>
      <c r="Q1169" s="5">
        <v>1.9804315893392064</v>
      </c>
    </row>
    <row r="1170" spans="1:17" x14ac:dyDescent="0.2">
      <c r="A1170" s="4" t="s">
        <v>91</v>
      </c>
      <c r="B1170" s="4">
        <v>2015</v>
      </c>
      <c r="C1170" s="4" t="s">
        <v>64</v>
      </c>
      <c r="D1170" s="4">
        <v>3</v>
      </c>
      <c r="E1170" s="4">
        <v>2</v>
      </c>
      <c r="F1170" s="4">
        <v>1</v>
      </c>
      <c r="G1170" s="6" t="str">
        <f t="shared" si="49"/>
        <v>21</v>
      </c>
      <c r="H1170" s="5">
        <v>25</v>
      </c>
      <c r="I1170" s="5">
        <v>186.02256129849198</v>
      </c>
      <c r="J1170" s="5">
        <v>11675.248472897692</v>
      </c>
      <c r="K1170" s="5">
        <v>30</v>
      </c>
      <c r="L1170" s="5">
        <v>195.3</v>
      </c>
      <c r="M1170" s="5">
        <v>12257.52409191994</v>
      </c>
      <c r="N1170" s="5">
        <v>16.666666666666664</v>
      </c>
      <c r="O1170" s="5">
        <v>-9.2774387015080322</v>
      </c>
      <c r="P1170" s="5">
        <v>-582.27561902224807</v>
      </c>
      <c r="Q1170" s="5">
        <v>-4.7503526377409235</v>
      </c>
    </row>
    <row r="1171" spans="1:17" x14ac:dyDescent="0.2">
      <c r="A1171" s="4" t="s">
        <v>91</v>
      </c>
      <c r="B1171" s="4">
        <v>2015</v>
      </c>
      <c r="C1171" s="4" t="s">
        <v>64</v>
      </c>
      <c r="D1171" s="4">
        <v>4</v>
      </c>
      <c r="E1171" s="4">
        <v>2</v>
      </c>
      <c r="F1171" s="4">
        <v>1</v>
      </c>
      <c r="G1171" s="6" t="str">
        <f t="shared" si="49"/>
        <v>21</v>
      </c>
      <c r="H1171" s="5">
        <v>40</v>
      </c>
      <c r="I1171" s="5">
        <v>189.2618567975135</v>
      </c>
      <c r="J1171" s="5">
        <v>11878.55488672311</v>
      </c>
      <c r="K1171" s="5">
        <v>30</v>
      </c>
      <c r="L1171" s="5">
        <v>195.3</v>
      </c>
      <c r="M1171" s="5">
        <v>12257.52409191994</v>
      </c>
      <c r="N1171" s="5">
        <v>-33.333333333333329</v>
      </c>
      <c r="O1171" s="5">
        <v>-6.0381432024865092</v>
      </c>
      <c r="P1171" s="5">
        <v>-378.96920519683044</v>
      </c>
      <c r="Q1171" s="5">
        <v>-3.0917271902132653</v>
      </c>
    </row>
    <row r="1172" spans="1:17" x14ac:dyDescent="0.2">
      <c r="A1172" s="4" t="s">
        <v>91</v>
      </c>
      <c r="B1172" s="4">
        <v>2015</v>
      </c>
      <c r="C1172" s="4" t="s">
        <v>64</v>
      </c>
      <c r="D1172" s="4">
        <v>5</v>
      </c>
      <c r="E1172" s="4">
        <v>2</v>
      </c>
      <c r="F1172" s="4">
        <v>1</v>
      </c>
      <c r="G1172" s="6" t="str">
        <f t="shared" si="49"/>
        <v>21</v>
      </c>
      <c r="H1172" s="5">
        <v>25</v>
      </c>
      <c r="I1172" s="5">
        <v>201.99213767698859</v>
      </c>
      <c r="J1172" s="5">
        <v>12677.53965158268</v>
      </c>
      <c r="K1172" s="5">
        <v>30</v>
      </c>
      <c r="L1172" s="5">
        <v>195.3</v>
      </c>
      <c r="M1172" s="5">
        <v>12257.52409191994</v>
      </c>
      <c r="N1172" s="5">
        <v>16.666666666666664</v>
      </c>
      <c r="O1172" s="5">
        <v>6.6921376769885796</v>
      </c>
      <c r="P1172" s="5">
        <v>420.01555966273918</v>
      </c>
      <c r="Q1172" s="5">
        <v>3.4265937926208934</v>
      </c>
    </row>
    <row r="1173" spans="1:17" x14ac:dyDescent="0.2">
      <c r="A1173" s="4" t="s">
        <v>91</v>
      </c>
      <c r="B1173" s="4">
        <v>2015</v>
      </c>
      <c r="C1173" s="4" t="s">
        <v>64</v>
      </c>
      <c r="D1173" s="4">
        <v>6</v>
      </c>
      <c r="E1173" s="4">
        <v>2</v>
      </c>
      <c r="F1173" s="4">
        <v>1</v>
      </c>
      <c r="G1173" s="6" t="str">
        <f t="shared" si="49"/>
        <v>21</v>
      </c>
      <c r="H1173" s="5">
        <v>20</v>
      </c>
      <c r="I1173" s="5">
        <v>199.29188902958441</v>
      </c>
      <c r="J1173" s="5">
        <v>12508.065187426349</v>
      </c>
      <c r="K1173" s="5">
        <v>30</v>
      </c>
      <c r="L1173" s="5">
        <v>195.3</v>
      </c>
      <c r="M1173" s="5">
        <v>12257.52409191994</v>
      </c>
      <c r="N1173" s="5">
        <v>33.333333333333329</v>
      </c>
      <c r="O1173" s="5">
        <v>3.9918890295843994</v>
      </c>
      <c r="P1173" s="5">
        <v>250.54109550640896</v>
      </c>
      <c r="Q1173" s="5">
        <v>2.0439779977390669</v>
      </c>
    </row>
    <row r="1174" spans="1:17" x14ac:dyDescent="0.2">
      <c r="A1174" s="4" t="s">
        <v>65</v>
      </c>
      <c r="B1174" s="4">
        <v>2015</v>
      </c>
      <c r="C1174" s="4" t="s">
        <v>64</v>
      </c>
      <c r="D1174" s="4">
        <v>1</v>
      </c>
      <c r="E1174" s="4">
        <v>4</v>
      </c>
      <c r="F1174" s="4">
        <v>1</v>
      </c>
      <c r="G1174" s="6" t="str">
        <f t="shared" si="49"/>
        <v>41</v>
      </c>
      <c r="H1174" s="5">
        <v>5</v>
      </c>
      <c r="I1174" s="5">
        <v>183.0505472727273</v>
      </c>
      <c r="J1174" s="5">
        <v>11488.717323269764</v>
      </c>
      <c r="K1174" s="5">
        <v>7</v>
      </c>
      <c r="L1174" s="5">
        <v>216.3</v>
      </c>
      <c r="M1174" s="5">
        <v>13575.537435137139</v>
      </c>
      <c r="N1174" s="5">
        <v>28.571428571428569</v>
      </c>
      <c r="O1174" s="5">
        <v>-33.249452727272711</v>
      </c>
      <c r="P1174" s="5">
        <v>-2086.8201118673751</v>
      </c>
      <c r="Q1174" s="5">
        <v>-15.371915269196812</v>
      </c>
    </row>
    <row r="1175" spans="1:17" x14ac:dyDescent="0.2">
      <c r="A1175" s="4" t="s">
        <v>65</v>
      </c>
      <c r="B1175" s="4">
        <v>2015</v>
      </c>
      <c r="C1175" s="4" t="s">
        <v>64</v>
      </c>
      <c r="D1175" s="4">
        <v>2</v>
      </c>
      <c r="E1175" s="4">
        <v>4</v>
      </c>
      <c r="F1175" s="4">
        <v>1</v>
      </c>
      <c r="G1175" s="6" t="str">
        <f t="shared" si="49"/>
        <v>41</v>
      </c>
      <c r="H1175" s="5">
        <v>8</v>
      </c>
      <c r="I1175" s="5">
        <v>219.96343124999999</v>
      </c>
      <c r="J1175" s="5">
        <v>13805.463686063749</v>
      </c>
      <c r="K1175" s="5">
        <v>7</v>
      </c>
      <c r="L1175" s="5">
        <v>216.3</v>
      </c>
      <c r="M1175" s="5">
        <v>13575.537435137139</v>
      </c>
      <c r="N1175" s="5">
        <v>-14.285714285714285</v>
      </c>
      <c r="O1175" s="5">
        <v>3.6634312499999737</v>
      </c>
      <c r="P1175" s="5">
        <v>229.92625092661001</v>
      </c>
      <c r="Q1175" s="5">
        <v>1.6936806518723824</v>
      </c>
    </row>
    <row r="1176" spans="1:17" x14ac:dyDescent="0.2">
      <c r="A1176" s="4" t="s">
        <v>65</v>
      </c>
      <c r="B1176" s="4">
        <v>2015</v>
      </c>
      <c r="C1176" s="4" t="s">
        <v>64</v>
      </c>
      <c r="D1176" s="4">
        <v>3</v>
      </c>
      <c r="E1176" s="4">
        <v>4</v>
      </c>
      <c r="F1176" s="4">
        <v>1</v>
      </c>
      <c r="G1176" s="6" t="str">
        <f t="shared" si="49"/>
        <v>41</v>
      </c>
      <c r="H1176" s="5">
        <v>5</v>
      </c>
      <c r="I1176" s="5">
        <v>209.67533205492427</v>
      </c>
      <c r="J1176" s="5">
        <v>13159.756447232707</v>
      </c>
      <c r="K1176" s="5">
        <v>7</v>
      </c>
      <c r="L1176" s="5">
        <v>216.3</v>
      </c>
      <c r="M1176" s="5">
        <v>13575.537435137139</v>
      </c>
      <c r="N1176" s="5">
        <v>28.571428571428569</v>
      </c>
      <c r="O1176" s="5">
        <v>-6.6246679450757426</v>
      </c>
      <c r="P1176" s="5">
        <v>-415.78098790443255</v>
      </c>
      <c r="Q1176" s="5">
        <v>-3.0627221197761174</v>
      </c>
    </row>
    <row r="1177" spans="1:17" x14ac:dyDescent="0.2">
      <c r="A1177" s="4" t="s">
        <v>65</v>
      </c>
      <c r="B1177" s="4">
        <v>2015</v>
      </c>
      <c r="C1177" s="4" t="s">
        <v>64</v>
      </c>
      <c r="D1177" s="4">
        <v>4</v>
      </c>
      <c r="E1177" s="4">
        <v>4</v>
      </c>
      <c r="F1177" s="4">
        <v>1</v>
      </c>
      <c r="G1177" s="6" t="str">
        <f t="shared" si="49"/>
        <v>41</v>
      </c>
      <c r="H1177" s="5">
        <v>2</v>
      </c>
      <c r="I1177" s="5">
        <v>193.19951914772727</v>
      </c>
      <c r="J1177" s="5">
        <v>12125.692578088147</v>
      </c>
      <c r="K1177" s="5">
        <v>7</v>
      </c>
      <c r="L1177" s="5">
        <v>216.3</v>
      </c>
      <c r="M1177" s="5">
        <v>13575.537435137139</v>
      </c>
      <c r="N1177" s="5">
        <v>71.428571428571431</v>
      </c>
      <c r="O1177" s="5">
        <v>-23.100480852272739</v>
      </c>
      <c r="P1177" s="5">
        <v>-1449.8448570489927</v>
      </c>
      <c r="Q1177" s="5">
        <v>-10.679833958517213</v>
      </c>
    </row>
    <row r="1178" spans="1:17" x14ac:dyDescent="0.2">
      <c r="A1178" s="4" t="s">
        <v>94</v>
      </c>
      <c r="B1178" s="4">
        <v>2015</v>
      </c>
      <c r="C1178" s="4" t="s">
        <v>64</v>
      </c>
      <c r="D1178" s="4">
        <v>1</v>
      </c>
      <c r="E1178" s="4">
        <v>4</v>
      </c>
      <c r="F1178" s="4">
        <v>1</v>
      </c>
      <c r="G1178" s="6" t="str">
        <f t="shared" si="49"/>
        <v>41</v>
      </c>
      <c r="H1178" s="5">
        <v>10</v>
      </c>
      <c r="I1178" s="5">
        <v>123.8</v>
      </c>
      <c r="J1178" s="5">
        <v>7770.0024709661475</v>
      </c>
      <c r="K1178" s="5">
        <v>10.9</v>
      </c>
      <c r="L1178" s="5">
        <v>126.4</v>
      </c>
      <c r="M1178" s="5">
        <v>7933.1850753644676</v>
      </c>
      <c r="N1178" s="5">
        <v>8.256880733944957</v>
      </c>
      <c r="O1178" s="5">
        <v>-2.6000000000000085</v>
      </c>
      <c r="P1178" s="5">
        <v>-163.18260439832011</v>
      </c>
      <c r="Q1178" s="5">
        <v>-2.0569620253164604</v>
      </c>
    </row>
    <row r="1179" spans="1:17" x14ac:dyDescent="0.2">
      <c r="A1179" s="4" t="s">
        <v>94</v>
      </c>
      <c r="B1179" s="4">
        <v>2015</v>
      </c>
      <c r="C1179" s="4" t="s">
        <v>64</v>
      </c>
      <c r="D1179" s="4">
        <v>2</v>
      </c>
      <c r="E1179" s="4">
        <v>4</v>
      </c>
      <c r="F1179" s="4">
        <v>1</v>
      </c>
      <c r="G1179" s="6" t="str">
        <f t="shared" si="49"/>
        <v>41</v>
      </c>
      <c r="H1179" s="5">
        <v>5</v>
      </c>
      <c r="I1179" s="5">
        <v>123.9</v>
      </c>
      <c r="J1179" s="5">
        <v>7776.2787249814683</v>
      </c>
      <c r="K1179" s="5">
        <v>10.9</v>
      </c>
      <c r="L1179" s="5">
        <v>126.4</v>
      </c>
      <c r="M1179" s="5">
        <v>7933.1850753644676</v>
      </c>
      <c r="N1179" s="5">
        <v>54.128440366972477</v>
      </c>
      <c r="O1179" s="5">
        <v>-2.5</v>
      </c>
      <c r="P1179" s="5">
        <v>-156.90635038299934</v>
      </c>
      <c r="Q1179" s="5">
        <v>-1.9778481012658173</v>
      </c>
    </row>
    <row r="1180" spans="1:17" x14ac:dyDescent="0.2">
      <c r="A1180" s="4" t="s">
        <v>94</v>
      </c>
      <c r="B1180" s="4">
        <v>2015</v>
      </c>
      <c r="C1180" s="4" t="s">
        <v>64</v>
      </c>
      <c r="D1180" s="4">
        <v>3</v>
      </c>
      <c r="E1180" s="4">
        <v>4</v>
      </c>
      <c r="F1180" s="4">
        <v>1</v>
      </c>
      <c r="G1180" s="6" t="str">
        <f t="shared" si="49"/>
        <v>41</v>
      </c>
      <c r="H1180" s="5">
        <v>10</v>
      </c>
      <c r="I1180" s="5">
        <v>132.5</v>
      </c>
      <c r="J1180" s="5">
        <v>8316.0365702989875</v>
      </c>
      <c r="K1180" s="5">
        <v>10.9</v>
      </c>
      <c r="L1180" s="5">
        <v>126.4</v>
      </c>
      <c r="M1180" s="5">
        <v>7933.1850753644676</v>
      </c>
      <c r="N1180" s="5">
        <v>8.256880733944957</v>
      </c>
      <c r="O1180" s="5">
        <v>6.0999999999999943</v>
      </c>
      <c r="P1180" s="5">
        <v>382.85149493451991</v>
      </c>
      <c r="Q1180" s="5">
        <v>4.8259493670886142</v>
      </c>
    </row>
    <row r="1181" spans="1:17" x14ac:dyDescent="0.2">
      <c r="A1181" s="4" t="s">
        <v>94</v>
      </c>
      <c r="B1181" s="4">
        <v>2015</v>
      </c>
      <c r="C1181" s="4" t="s">
        <v>64</v>
      </c>
      <c r="D1181" s="4">
        <v>4</v>
      </c>
      <c r="E1181" s="4">
        <v>4</v>
      </c>
      <c r="F1181" s="4">
        <v>1</v>
      </c>
      <c r="G1181" s="6" t="str">
        <f t="shared" si="49"/>
        <v>41</v>
      </c>
      <c r="H1181" s="5">
        <v>8</v>
      </c>
      <c r="I1181" s="5">
        <v>132</v>
      </c>
      <c r="J1181" s="5">
        <v>8284.6553002223864</v>
      </c>
      <c r="K1181" s="5">
        <v>10.9</v>
      </c>
      <c r="L1181" s="5">
        <v>126.4</v>
      </c>
      <c r="M1181" s="5">
        <v>7933.1850753644676</v>
      </c>
      <c r="N1181" s="5">
        <v>26.605504587155966</v>
      </c>
      <c r="O1181" s="5">
        <v>5.5999999999999943</v>
      </c>
      <c r="P1181" s="5">
        <v>351.47022485791877</v>
      </c>
      <c r="Q1181" s="5">
        <v>4.4303797468354347</v>
      </c>
    </row>
    <row r="1182" spans="1:17" x14ac:dyDescent="0.2">
      <c r="A1182" s="4" t="s">
        <v>91</v>
      </c>
      <c r="B1182" s="4">
        <v>2015</v>
      </c>
      <c r="C1182" s="4" t="s">
        <v>64</v>
      </c>
      <c r="D1182" s="4">
        <v>1</v>
      </c>
      <c r="E1182" s="4">
        <v>4</v>
      </c>
      <c r="F1182" s="4">
        <v>1</v>
      </c>
      <c r="G1182" s="6" t="str">
        <f t="shared" si="49"/>
        <v>41</v>
      </c>
      <c r="H1182" s="5">
        <v>25</v>
      </c>
      <c r="I1182" s="5">
        <v>209.89356164383557</v>
      </c>
      <c r="J1182" s="5">
        <v>13173.453090569368</v>
      </c>
      <c r="K1182" s="5">
        <v>30</v>
      </c>
      <c r="L1182" s="5">
        <v>195.3</v>
      </c>
      <c r="M1182" s="5">
        <v>12257.52409191994</v>
      </c>
      <c r="N1182" s="5">
        <v>16.666666666666664</v>
      </c>
      <c r="O1182" s="5">
        <v>14.593561643835557</v>
      </c>
      <c r="P1182" s="5">
        <v>915.92899864942774</v>
      </c>
      <c r="Q1182" s="5">
        <v>7.4723817940786326</v>
      </c>
    </row>
    <row r="1183" spans="1:17" x14ac:dyDescent="0.2">
      <c r="A1183" s="4" t="s">
        <v>91</v>
      </c>
      <c r="B1183" s="4">
        <v>2015</v>
      </c>
      <c r="C1183" s="4" t="s">
        <v>64</v>
      </c>
      <c r="D1183" s="4">
        <v>2</v>
      </c>
      <c r="E1183" s="4">
        <v>4</v>
      </c>
      <c r="F1183" s="4">
        <v>1</v>
      </c>
      <c r="G1183" s="6" t="str">
        <f t="shared" si="49"/>
        <v>41</v>
      </c>
      <c r="H1183" s="5">
        <v>40</v>
      </c>
      <c r="I1183" s="5">
        <v>191.32653159894093</v>
      </c>
      <c r="J1183" s="5">
        <v>12008.139121851</v>
      </c>
      <c r="K1183" s="5">
        <v>30</v>
      </c>
      <c r="L1183" s="5">
        <v>195.3</v>
      </c>
      <c r="M1183" s="5">
        <v>12257.52409191994</v>
      </c>
      <c r="N1183" s="5">
        <v>-33.333333333333329</v>
      </c>
      <c r="O1183" s="5">
        <v>-3.9734684010590797</v>
      </c>
      <c r="P1183" s="5">
        <v>-249.38497006894067</v>
      </c>
      <c r="Q1183" s="5">
        <v>-2.0345460322883082</v>
      </c>
    </row>
    <row r="1184" spans="1:17" x14ac:dyDescent="0.2">
      <c r="A1184" s="4" t="s">
        <v>91</v>
      </c>
      <c r="B1184" s="4">
        <v>2015</v>
      </c>
      <c r="C1184" s="4" t="s">
        <v>64</v>
      </c>
      <c r="D1184" s="4">
        <v>3</v>
      </c>
      <c r="E1184" s="4">
        <v>4</v>
      </c>
      <c r="F1184" s="4">
        <v>1</v>
      </c>
      <c r="G1184" s="6" t="str">
        <f t="shared" si="49"/>
        <v>41</v>
      </c>
      <c r="H1184" s="5">
        <v>35</v>
      </c>
      <c r="I1184" s="5">
        <v>189.36841257050762</v>
      </c>
      <c r="J1184" s="5">
        <v>11885.242597704209</v>
      </c>
      <c r="K1184" s="5">
        <v>30</v>
      </c>
      <c r="L1184" s="5">
        <v>195.3</v>
      </c>
      <c r="M1184" s="5">
        <v>12257.52409191994</v>
      </c>
      <c r="N1184" s="5">
        <v>-16.666666666666664</v>
      </c>
      <c r="O1184" s="5">
        <v>-5.9315874294923958</v>
      </c>
      <c r="P1184" s="5">
        <v>-372.28149421573107</v>
      </c>
      <c r="Q1184" s="5">
        <v>-3.0371671425972231</v>
      </c>
    </row>
    <row r="1185" spans="1:17" x14ac:dyDescent="0.2">
      <c r="A1185" s="4" t="s">
        <v>91</v>
      </c>
      <c r="B1185" s="4">
        <v>2015</v>
      </c>
      <c r="C1185" s="4" t="s">
        <v>64</v>
      </c>
      <c r="D1185" s="4">
        <v>4</v>
      </c>
      <c r="E1185" s="4">
        <v>4</v>
      </c>
      <c r="F1185" s="4">
        <v>1</v>
      </c>
      <c r="G1185" s="6" t="str">
        <f t="shared" si="49"/>
        <v>41</v>
      </c>
      <c r="H1185" s="5">
        <v>30</v>
      </c>
      <c r="I1185" s="5">
        <v>194.8052641878669</v>
      </c>
      <c r="J1185" s="5">
        <v>12226.47321564571</v>
      </c>
      <c r="K1185" s="5">
        <v>30</v>
      </c>
      <c r="L1185" s="5">
        <v>195.3</v>
      </c>
      <c r="M1185" s="5">
        <v>12257.52409191994</v>
      </c>
      <c r="N1185" s="5">
        <v>0</v>
      </c>
      <c r="O1185" s="5">
        <v>-0.49473581213311491</v>
      </c>
      <c r="P1185" s="5">
        <v>-31.050876274230177</v>
      </c>
      <c r="Q1185" s="5">
        <v>-0.25332094835284608</v>
      </c>
    </row>
    <row r="1186" spans="1:17" x14ac:dyDescent="0.2">
      <c r="A1186" s="4" t="s">
        <v>91</v>
      </c>
      <c r="B1186" s="4">
        <v>2015</v>
      </c>
      <c r="C1186" s="4" t="s">
        <v>64</v>
      </c>
      <c r="D1186" s="4">
        <v>5</v>
      </c>
      <c r="E1186" s="4">
        <v>4</v>
      </c>
      <c r="F1186" s="4">
        <v>1</v>
      </c>
      <c r="G1186" s="6" t="str">
        <f t="shared" si="49"/>
        <v>41</v>
      </c>
      <c r="H1186" s="5">
        <v>25</v>
      </c>
      <c r="I1186" s="5">
        <v>198.73278462069754</v>
      </c>
      <c r="J1186" s="5">
        <v>12472.974374513757</v>
      </c>
      <c r="K1186" s="5">
        <v>30</v>
      </c>
      <c r="L1186" s="5">
        <v>195.3</v>
      </c>
      <c r="M1186" s="5">
        <v>12257.52409191994</v>
      </c>
      <c r="N1186" s="5">
        <v>16.666666666666664</v>
      </c>
      <c r="O1186" s="5">
        <v>3.4327846206975323</v>
      </c>
      <c r="P1186" s="5">
        <v>215.45028259381615</v>
      </c>
      <c r="Q1186" s="5">
        <v>1.7576982184831211</v>
      </c>
    </row>
    <row r="1187" spans="1:17" x14ac:dyDescent="0.2">
      <c r="A1187" s="4" t="s">
        <v>91</v>
      </c>
      <c r="B1187" s="4">
        <v>2015</v>
      </c>
      <c r="C1187" s="4" t="s">
        <v>64</v>
      </c>
      <c r="D1187" s="4">
        <v>6</v>
      </c>
      <c r="E1187" s="4">
        <v>4</v>
      </c>
      <c r="F1187" s="4">
        <v>1</v>
      </c>
      <c r="G1187" s="6" t="str">
        <f t="shared" si="49"/>
        <v>41</v>
      </c>
      <c r="H1187" s="5">
        <v>10</v>
      </c>
      <c r="I1187" s="5">
        <v>189.49126510878321</v>
      </c>
      <c r="J1187" s="5">
        <v>11892.953135070653</v>
      </c>
      <c r="K1187" s="5">
        <v>30</v>
      </c>
      <c r="L1187" s="5">
        <v>195.3</v>
      </c>
      <c r="M1187" s="5">
        <v>12257.52409191994</v>
      </c>
      <c r="N1187" s="5">
        <v>66.666666666666657</v>
      </c>
      <c r="O1187" s="5">
        <v>-5.8087348912168011</v>
      </c>
      <c r="P1187" s="5">
        <v>-364.57095684928754</v>
      </c>
      <c r="Q1187" s="5">
        <v>-2.9742626171104956</v>
      </c>
    </row>
    <row r="1188" spans="1:17" x14ac:dyDescent="0.2">
      <c r="A1188" s="4" t="s">
        <v>65</v>
      </c>
      <c r="B1188" s="4">
        <v>2015</v>
      </c>
      <c r="C1188" s="4" t="s">
        <v>64</v>
      </c>
      <c r="D1188" s="4">
        <v>1</v>
      </c>
      <c r="E1188" s="4">
        <v>5</v>
      </c>
      <c r="F1188" s="4">
        <v>1</v>
      </c>
      <c r="G1188" s="6" t="str">
        <f t="shared" si="49"/>
        <v>51</v>
      </c>
      <c r="H1188" s="5">
        <v>8</v>
      </c>
      <c r="I1188" s="5">
        <v>229.62681739583331</v>
      </c>
      <c r="J1188" s="5">
        <v>14411.96234705749</v>
      </c>
      <c r="K1188" s="5">
        <v>7</v>
      </c>
      <c r="L1188" s="5">
        <v>216.3</v>
      </c>
      <c r="M1188" s="5">
        <v>13575.537435137139</v>
      </c>
      <c r="N1188" s="5">
        <v>-14.285714285714285</v>
      </c>
      <c r="O1188" s="5">
        <v>13.326817395833302</v>
      </c>
      <c r="P1188" s="5">
        <v>836.4249119203505</v>
      </c>
      <c r="Q1188" s="5">
        <v>6.1612655551702726</v>
      </c>
    </row>
    <row r="1189" spans="1:17" x14ac:dyDescent="0.2">
      <c r="A1189" s="4" t="s">
        <v>65</v>
      </c>
      <c r="B1189" s="4">
        <v>2015</v>
      </c>
      <c r="C1189" s="4" t="s">
        <v>64</v>
      </c>
      <c r="D1189" s="4">
        <v>2</v>
      </c>
      <c r="E1189" s="4">
        <v>5</v>
      </c>
      <c r="F1189" s="4">
        <v>1</v>
      </c>
      <c r="G1189" s="6" t="str">
        <f t="shared" si="49"/>
        <v>51</v>
      </c>
      <c r="H1189" s="5">
        <v>5</v>
      </c>
      <c r="I1189" s="5">
        <v>216.87961666666666</v>
      </c>
      <c r="J1189" s="5">
        <v>13611.915649452269</v>
      </c>
      <c r="K1189" s="5">
        <v>7</v>
      </c>
      <c r="L1189" s="5">
        <v>216.3</v>
      </c>
      <c r="M1189" s="5">
        <v>13575.537435137139</v>
      </c>
      <c r="N1189" s="5">
        <v>28.571428571428569</v>
      </c>
      <c r="O1189" s="5">
        <v>0.57961666666665224</v>
      </c>
      <c r="P1189" s="5">
        <v>36.378214315129298</v>
      </c>
      <c r="Q1189" s="5">
        <v>0.26796887039604561</v>
      </c>
    </row>
    <row r="1190" spans="1:17" x14ac:dyDescent="0.2">
      <c r="A1190" s="4" t="s">
        <v>65</v>
      </c>
      <c r="B1190" s="4">
        <v>2015</v>
      </c>
      <c r="C1190" s="4" t="s">
        <v>64</v>
      </c>
      <c r="D1190" s="4">
        <v>3</v>
      </c>
      <c r="E1190" s="4">
        <v>5</v>
      </c>
      <c r="F1190" s="4">
        <v>1</v>
      </c>
      <c r="G1190" s="6" t="str">
        <f t="shared" si="49"/>
        <v>51</v>
      </c>
      <c r="H1190" s="5">
        <v>1</v>
      </c>
      <c r="I1190" s="5">
        <v>216.01932863636361</v>
      </c>
      <c r="J1190" s="5">
        <v>13557.921787407056</v>
      </c>
      <c r="K1190" s="5">
        <v>7</v>
      </c>
      <c r="L1190" s="5">
        <v>216.3</v>
      </c>
      <c r="M1190" s="5">
        <v>13575.537435137139</v>
      </c>
      <c r="N1190" s="5">
        <v>85.714285714285708</v>
      </c>
      <c r="O1190" s="5">
        <v>-0.28067136363640088</v>
      </c>
      <c r="P1190" s="5">
        <v>-17.615647730082856</v>
      </c>
      <c r="Q1190" s="5">
        <v>-0.12976022359519132</v>
      </c>
    </row>
    <row r="1191" spans="1:17" x14ac:dyDescent="0.2">
      <c r="A1191" s="4" t="s">
        <v>65</v>
      </c>
      <c r="B1191" s="4">
        <v>2015</v>
      </c>
      <c r="C1191" s="4" t="s">
        <v>64</v>
      </c>
      <c r="D1191" s="4">
        <v>4</v>
      </c>
      <c r="E1191" s="4">
        <v>5</v>
      </c>
      <c r="F1191" s="4">
        <v>1</v>
      </c>
      <c r="G1191" s="6" t="str">
        <f t="shared" si="49"/>
        <v>51</v>
      </c>
      <c r="H1191" s="5">
        <v>8</v>
      </c>
      <c r="I1191" s="5">
        <v>198.46878333333333</v>
      </c>
      <c r="J1191" s="5">
        <v>12456.404983115064</v>
      </c>
      <c r="K1191" s="5">
        <v>7</v>
      </c>
      <c r="L1191" s="5">
        <v>216.3</v>
      </c>
      <c r="M1191" s="5">
        <v>13575.537435137139</v>
      </c>
      <c r="N1191" s="5">
        <v>-14.285714285714285</v>
      </c>
      <c r="O1191" s="5">
        <v>-17.831216666666677</v>
      </c>
      <c r="P1191" s="5">
        <v>-1119.1324520220751</v>
      </c>
      <c r="Q1191" s="5">
        <v>-8.2437432578209364</v>
      </c>
    </row>
    <row r="1192" spans="1:17" x14ac:dyDescent="0.2">
      <c r="A1192" s="4" t="s">
        <v>94</v>
      </c>
      <c r="B1192" s="4">
        <v>2015</v>
      </c>
      <c r="C1192" s="4" t="s">
        <v>64</v>
      </c>
      <c r="D1192" s="4">
        <v>1</v>
      </c>
      <c r="E1192" s="4">
        <v>5</v>
      </c>
      <c r="F1192" s="4">
        <v>1</v>
      </c>
      <c r="G1192" s="6" t="str">
        <f t="shared" si="49"/>
        <v>51</v>
      </c>
      <c r="H1192" s="5">
        <v>10</v>
      </c>
      <c r="I1192" s="5">
        <v>130</v>
      </c>
      <c r="J1192" s="5">
        <v>8159.1302199159873</v>
      </c>
      <c r="K1192" s="5">
        <v>10.9</v>
      </c>
      <c r="L1192" s="5">
        <v>126.4</v>
      </c>
      <c r="M1192" s="5">
        <v>7933.1850753644676</v>
      </c>
      <c r="N1192" s="5">
        <v>8.256880733944957</v>
      </c>
      <c r="O1192" s="5">
        <v>3.5999999999999943</v>
      </c>
      <c r="P1192" s="5">
        <v>225.94514455151966</v>
      </c>
      <c r="Q1192" s="5">
        <v>2.8481012658227849</v>
      </c>
    </row>
    <row r="1193" spans="1:17" x14ac:dyDescent="0.2">
      <c r="A1193" s="4" t="s">
        <v>94</v>
      </c>
      <c r="B1193" s="4">
        <v>2015</v>
      </c>
      <c r="C1193" s="4" t="s">
        <v>64</v>
      </c>
      <c r="D1193" s="4">
        <v>2</v>
      </c>
      <c r="E1193" s="4">
        <v>5</v>
      </c>
      <c r="F1193" s="4">
        <v>1</v>
      </c>
      <c r="G1193" s="6" t="str">
        <f t="shared" si="49"/>
        <v>51</v>
      </c>
      <c r="H1193" s="5">
        <v>8</v>
      </c>
      <c r="I1193" s="5">
        <v>125.9</v>
      </c>
      <c r="J1193" s="5">
        <v>7901.8038052878674</v>
      </c>
      <c r="K1193" s="5">
        <v>10.9</v>
      </c>
      <c r="L1193" s="5">
        <v>126.4</v>
      </c>
      <c r="M1193" s="5">
        <v>7933.1850753644676</v>
      </c>
      <c r="N1193" s="5">
        <v>26.605504587155966</v>
      </c>
      <c r="O1193" s="5">
        <v>-0.5</v>
      </c>
      <c r="P1193" s="5">
        <v>-31.381270076600231</v>
      </c>
      <c r="Q1193" s="5">
        <v>-0.39556962025316805</v>
      </c>
    </row>
    <row r="1194" spans="1:17" x14ac:dyDescent="0.2">
      <c r="A1194" s="4" t="s">
        <v>94</v>
      </c>
      <c r="B1194" s="4">
        <v>2015</v>
      </c>
      <c r="C1194" s="4" t="s">
        <v>64</v>
      </c>
      <c r="D1194" s="4">
        <v>3</v>
      </c>
      <c r="E1194" s="4">
        <v>5</v>
      </c>
      <c r="F1194" s="4">
        <v>1</v>
      </c>
      <c r="G1194" s="6" t="str">
        <f t="shared" si="49"/>
        <v>51</v>
      </c>
      <c r="H1194" s="5">
        <v>10</v>
      </c>
      <c r="I1194" s="5">
        <v>129.9</v>
      </c>
      <c r="J1194" s="5">
        <v>8152.8539659006674</v>
      </c>
      <c r="K1194" s="5">
        <v>10.9</v>
      </c>
      <c r="L1194" s="5">
        <v>126.4</v>
      </c>
      <c r="M1194" s="5">
        <v>7933.1850753644676</v>
      </c>
      <c r="N1194" s="5">
        <v>8.256880733944957</v>
      </c>
      <c r="O1194" s="5">
        <v>3.5</v>
      </c>
      <c r="P1194" s="5">
        <v>219.6688905361998</v>
      </c>
      <c r="Q1194" s="5">
        <v>2.7689873417721538</v>
      </c>
    </row>
    <row r="1195" spans="1:17" x14ac:dyDescent="0.2">
      <c r="A1195" s="4" t="s">
        <v>94</v>
      </c>
      <c r="B1195" s="4">
        <v>2015</v>
      </c>
      <c r="C1195" s="4" t="s">
        <v>64</v>
      </c>
      <c r="D1195" s="4">
        <v>4</v>
      </c>
      <c r="E1195" s="4">
        <v>5</v>
      </c>
      <c r="F1195" s="4">
        <v>1</v>
      </c>
      <c r="G1195" s="6" t="str">
        <f t="shared" si="49"/>
        <v>51</v>
      </c>
      <c r="H1195" s="5">
        <v>6</v>
      </c>
      <c r="I1195" s="5">
        <v>124.5</v>
      </c>
      <c r="J1195" s="5">
        <v>7813.9362490733874</v>
      </c>
      <c r="K1195" s="5">
        <v>10.9</v>
      </c>
      <c r="L1195" s="5">
        <v>126.4</v>
      </c>
      <c r="M1195" s="5">
        <v>7933.1850753644676</v>
      </c>
      <c r="N1195" s="5">
        <v>44.954128440366972</v>
      </c>
      <c r="O1195" s="5">
        <v>-1.9000000000000057</v>
      </c>
      <c r="P1195" s="5">
        <v>-119.24882629108015</v>
      </c>
      <c r="Q1195" s="5">
        <v>-1.5031645569620296</v>
      </c>
    </row>
    <row r="1196" spans="1:17" x14ac:dyDescent="0.2">
      <c r="A1196" s="4" t="s">
        <v>91</v>
      </c>
      <c r="B1196" s="4">
        <v>2015</v>
      </c>
      <c r="C1196" s="4" t="s">
        <v>64</v>
      </c>
      <c r="D1196" s="4">
        <v>1</v>
      </c>
      <c r="E1196" s="4">
        <v>5</v>
      </c>
      <c r="F1196" s="4">
        <v>1</v>
      </c>
      <c r="G1196" s="6" t="str">
        <f t="shared" si="49"/>
        <v>51</v>
      </c>
      <c r="H1196" s="5">
        <v>25</v>
      </c>
      <c r="I1196" s="5">
        <v>200.45334695522041</v>
      </c>
      <c r="J1196" s="5">
        <v>12580.961237120331</v>
      </c>
      <c r="K1196" s="5">
        <v>30</v>
      </c>
      <c r="L1196" s="5">
        <v>195.3</v>
      </c>
      <c r="M1196" s="5">
        <v>12257.52409191994</v>
      </c>
      <c r="N1196" s="5">
        <v>16.666666666666664</v>
      </c>
      <c r="O1196" s="5">
        <v>5.1533469552203996</v>
      </c>
      <c r="P1196" s="5">
        <v>323.43714520039066</v>
      </c>
      <c r="Q1196" s="5">
        <v>2.6386825167539159</v>
      </c>
    </row>
    <row r="1197" spans="1:17" s="7" customFormat="1" x14ac:dyDescent="0.2">
      <c r="A1197" s="7" t="s">
        <v>91</v>
      </c>
      <c r="B1197" s="7">
        <v>2015</v>
      </c>
      <c r="C1197" s="7" t="s">
        <v>64</v>
      </c>
      <c r="D1197" s="7">
        <v>2</v>
      </c>
      <c r="E1197" s="7">
        <v>5</v>
      </c>
      <c r="F1197" s="7">
        <v>1</v>
      </c>
      <c r="G1197" s="6" t="str">
        <f t="shared" si="49"/>
        <v>51</v>
      </c>
      <c r="H1197" s="9">
        <v>35</v>
      </c>
      <c r="I1197" s="9">
        <v>186.02256129849198</v>
      </c>
      <c r="J1197" s="9">
        <v>11675.248472897692</v>
      </c>
      <c r="K1197" s="9">
        <v>30</v>
      </c>
      <c r="L1197" s="9">
        <v>195.3</v>
      </c>
      <c r="M1197" s="9">
        <v>12257.52409191994</v>
      </c>
      <c r="N1197" s="9">
        <v>-16.666666666666664</v>
      </c>
      <c r="O1197" s="9">
        <v>-9.2774387015080322</v>
      </c>
      <c r="P1197" s="9">
        <v>-582.27561902224807</v>
      </c>
      <c r="Q1197" s="9">
        <v>-4.7503526377409235</v>
      </c>
    </row>
    <row r="1198" spans="1:17" x14ac:dyDescent="0.2">
      <c r="A1198" s="4" t="s">
        <v>91</v>
      </c>
      <c r="B1198" s="4">
        <v>2015</v>
      </c>
      <c r="C1198" s="4" t="s">
        <v>64</v>
      </c>
      <c r="D1198" s="4">
        <v>3</v>
      </c>
      <c r="E1198" s="4">
        <v>5</v>
      </c>
      <c r="F1198" s="4">
        <v>1</v>
      </c>
      <c r="G1198" s="6" t="str">
        <f t="shared" si="49"/>
        <v>51</v>
      </c>
      <c r="H1198" s="5">
        <v>45</v>
      </c>
      <c r="I1198" s="5">
        <v>190.28103142626912</v>
      </c>
      <c r="J1198" s="5">
        <v>11942.520875283508</v>
      </c>
      <c r="K1198" s="5">
        <v>30</v>
      </c>
      <c r="L1198" s="5">
        <v>195.3</v>
      </c>
      <c r="M1198" s="5">
        <v>12257.52409191994</v>
      </c>
      <c r="N1198" s="5">
        <v>-50</v>
      </c>
      <c r="O1198" s="5">
        <v>-5.0189685737308878</v>
      </c>
      <c r="P1198" s="5">
        <v>-315.00321663643263</v>
      </c>
      <c r="Q1198" s="5">
        <v>-2.5698763818386468</v>
      </c>
    </row>
    <row r="1199" spans="1:17" x14ac:dyDescent="0.2">
      <c r="A1199" s="4" t="s">
        <v>91</v>
      </c>
      <c r="B1199" s="4">
        <v>2015</v>
      </c>
      <c r="C1199" s="4" t="s">
        <v>64</v>
      </c>
      <c r="D1199" s="4">
        <v>4</v>
      </c>
      <c r="E1199" s="4">
        <v>5</v>
      </c>
      <c r="F1199" s="4">
        <v>1</v>
      </c>
      <c r="G1199" s="6" t="str">
        <f t="shared" si="49"/>
        <v>51</v>
      </c>
      <c r="H1199" s="5">
        <v>18</v>
      </c>
      <c r="I1199" s="5">
        <v>193.39872798434439</v>
      </c>
      <c r="J1199" s="5">
        <v>12138.195430695199</v>
      </c>
      <c r="K1199" s="5">
        <v>30</v>
      </c>
      <c r="L1199" s="5">
        <v>195.3</v>
      </c>
      <c r="M1199" s="5">
        <v>12257.52409191994</v>
      </c>
      <c r="N1199" s="5">
        <v>40</v>
      </c>
      <c r="O1199" s="5">
        <v>-1.9012720156556213</v>
      </c>
      <c r="P1199" s="5">
        <v>-119.32866122474115</v>
      </c>
      <c r="Q1199" s="5">
        <v>-0.97351357688459805</v>
      </c>
    </row>
    <row r="1200" spans="1:17" x14ac:dyDescent="0.2">
      <c r="A1200" s="4" t="s">
        <v>91</v>
      </c>
      <c r="B1200" s="4">
        <v>2015</v>
      </c>
      <c r="C1200" s="4" t="s">
        <v>64</v>
      </c>
      <c r="D1200" s="4">
        <v>5</v>
      </c>
      <c r="E1200" s="4">
        <v>5</v>
      </c>
      <c r="F1200" s="4">
        <v>1</v>
      </c>
      <c r="G1200" s="6" t="str">
        <f t="shared" si="49"/>
        <v>51</v>
      </c>
      <c r="H1200" s="5">
        <v>20</v>
      </c>
      <c r="I1200" s="5">
        <v>201.67247035800619</v>
      </c>
      <c r="J1200" s="5">
        <v>12657.47651863938</v>
      </c>
      <c r="K1200" s="5">
        <v>30</v>
      </c>
      <c r="L1200" s="5">
        <v>195.3</v>
      </c>
      <c r="M1200" s="5">
        <v>12257.52409191994</v>
      </c>
      <c r="N1200" s="5">
        <v>33.333333333333329</v>
      </c>
      <c r="O1200" s="5">
        <v>6.3724703580061828</v>
      </c>
      <c r="P1200" s="5">
        <v>399.95242671943925</v>
      </c>
      <c r="Q1200" s="5">
        <v>3.2629136497727513</v>
      </c>
    </row>
    <row r="1201" spans="1:17" x14ac:dyDescent="0.2">
      <c r="A1201" s="4" t="s">
        <v>91</v>
      </c>
      <c r="B1201" s="4">
        <v>2015</v>
      </c>
      <c r="C1201" s="4" t="s">
        <v>64</v>
      </c>
      <c r="D1201" s="4">
        <v>6</v>
      </c>
      <c r="E1201" s="4">
        <v>5</v>
      </c>
      <c r="F1201" s="4">
        <v>1</v>
      </c>
      <c r="G1201" s="6" t="str">
        <f t="shared" si="49"/>
        <v>51</v>
      </c>
      <c r="H1201" s="5">
        <v>30</v>
      </c>
      <c r="I1201" s="5">
        <v>201.85424197076088</v>
      </c>
      <c r="J1201" s="5">
        <v>12668.884966783608</v>
      </c>
      <c r="K1201" s="5">
        <v>30</v>
      </c>
      <c r="L1201" s="5">
        <v>195.3</v>
      </c>
      <c r="M1201" s="5">
        <v>12257.52409191994</v>
      </c>
      <c r="N1201" s="5">
        <v>0</v>
      </c>
      <c r="O1201" s="5">
        <v>6.5542419707608701</v>
      </c>
      <c r="P1201" s="5">
        <v>411.36087486366705</v>
      </c>
      <c r="Q1201" s="5">
        <v>3.3559866721765843</v>
      </c>
    </row>
    <row r="1202" spans="1:17" x14ac:dyDescent="0.2">
      <c r="A1202" s="4" t="s">
        <v>65</v>
      </c>
      <c r="B1202" s="4">
        <v>2015</v>
      </c>
      <c r="C1202" s="4" t="s">
        <v>64</v>
      </c>
      <c r="D1202" s="4">
        <v>1</v>
      </c>
      <c r="E1202" s="4">
        <v>6</v>
      </c>
      <c r="F1202" s="4">
        <v>1</v>
      </c>
      <c r="G1202" s="6" t="str">
        <f t="shared" si="49"/>
        <v>61</v>
      </c>
      <c r="H1202" s="5">
        <v>8</v>
      </c>
      <c r="I1202" s="5">
        <v>215.46721285037876</v>
      </c>
      <c r="J1202" s="5">
        <v>13523.269598219966</v>
      </c>
      <c r="K1202" s="5">
        <v>7</v>
      </c>
      <c r="L1202" s="5">
        <v>216.3</v>
      </c>
      <c r="M1202" s="5">
        <v>13575.537435137139</v>
      </c>
      <c r="N1202" s="5">
        <v>-14.285714285714285</v>
      </c>
      <c r="O1202" s="5">
        <v>-0.83278714962125377</v>
      </c>
      <c r="P1202" s="5">
        <v>-52.267836917173554</v>
      </c>
      <c r="Q1202" s="5">
        <v>-0.3850148634402521</v>
      </c>
    </row>
    <row r="1203" spans="1:17" x14ac:dyDescent="0.2">
      <c r="A1203" s="4" t="s">
        <v>65</v>
      </c>
      <c r="B1203" s="4">
        <v>2015</v>
      </c>
      <c r="C1203" s="4" t="s">
        <v>64</v>
      </c>
      <c r="D1203" s="4">
        <v>2</v>
      </c>
      <c r="E1203" s="4">
        <v>6</v>
      </c>
      <c r="F1203" s="4">
        <v>1</v>
      </c>
      <c r="G1203" s="6" t="str">
        <f t="shared" si="49"/>
        <v>61</v>
      </c>
      <c r="H1203" s="5">
        <v>8</v>
      </c>
      <c r="I1203" s="5">
        <v>229.14708965909094</v>
      </c>
      <c r="J1203" s="5">
        <v>14381.853415717593</v>
      </c>
      <c r="K1203" s="5">
        <v>7</v>
      </c>
      <c r="L1203" s="5">
        <v>216.3</v>
      </c>
      <c r="M1203" s="5">
        <v>13575.537435137139</v>
      </c>
      <c r="N1203" s="5">
        <v>-14.285714285714285</v>
      </c>
      <c r="O1203" s="5">
        <v>12.847089659090926</v>
      </c>
      <c r="P1203" s="5">
        <v>806.31598058045347</v>
      </c>
      <c r="Q1203" s="5">
        <v>5.9394774198293687</v>
      </c>
    </row>
    <row r="1204" spans="1:17" x14ac:dyDescent="0.2">
      <c r="A1204" s="4" t="s">
        <v>65</v>
      </c>
      <c r="B1204" s="4">
        <v>2015</v>
      </c>
      <c r="C1204" s="4" t="s">
        <v>64</v>
      </c>
      <c r="D1204" s="4">
        <v>3</v>
      </c>
      <c r="E1204" s="4">
        <v>6</v>
      </c>
      <c r="F1204" s="4">
        <v>1</v>
      </c>
      <c r="G1204" s="6" t="str">
        <f t="shared" si="49"/>
        <v>61</v>
      </c>
      <c r="H1204" s="5">
        <v>8</v>
      </c>
      <c r="I1204" s="5">
        <v>195.41384028409092</v>
      </c>
      <c r="J1204" s="5">
        <v>12264.668997321249</v>
      </c>
      <c r="K1204" s="5">
        <v>7</v>
      </c>
      <c r="L1204" s="5">
        <v>216.3</v>
      </c>
      <c r="M1204" s="5">
        <v>13575.537435137139</v>
      </c>
      <c r="N1204" s="5">
        <v>-14.285714285714285</v>
      </c>
      <c r="O1204" s="5">
        <v>-20.886159715909088</v>
      </c>
      <c r="P1204" s="5">
        <v>-1310.8684378158905</v>
      </c>
      <c r="Q1204" s="5">
        <v>-9.6561071270962042</v>
      </c>
    </row>
    <row r="1205" spans="1:17" x14ac:dyDescent="0.2">
      <c r="A1205" s="4" t="s">
        <v>65</v>
      </c>
      <c r="B1205" s="4">
        <v>2015</v>
      </c>
      <c r="C1205" s="4" t="s">
        <v>64</v>
      </c>
      <c r="D1205" s="4">
        <v>4</v>
      </c>
      <c r="E1205" s="4">
        <v>6</v>
      </c>
      <c r="F1205" s="4">
        <v>1</v>
      </c>
      <c r="G1205" s="6" t="str">
        <f t="shared" si="49"/>
        <v>61</v>
      </c>
      <c r="H1205" s="5">
        <v>5</v>
      </c>
      <c r="I1205" s="5">
        <v>242.37903926136369</v>
      </c>
      <c r="J1205" s="5">
        <v>15212.324183935354</v>
      </c>
      <c r="K1205" s="5">
        <v>7</v>
      </c>
      <c r="L1205" s="5">
        <v>216.3</v>
      </c>
      <c r="M1205" s="5">
        <v>13575.537435137139</v>
      </c>
      <c r="N1205" s="5">
        <v>28.571428571428569</v>
      </c>
      <c r="O1205" s="5">
        <v>26.079039261363675</v>
      </c>
      <c r="P1205" s="5">
        <v>1636.7867487982148</v>
      </c>
      <c r="Q1205" s="5">
        <v>12.05688361597951</v>
      </c>
    </row>
    <row r="1206" spans="1:17" x14ac:dyDescent="0.2">
      <c r="A1206" s="4" t="s">
        <v>94</v>
      </c>
      <c r="B1206" s="4">
        <v>2015</v>
      </c>
      <c r="C1206" s="4" t="s">
        <v>64</v>
      </c>
      <c r="D1206" s="4">
        <v>1</v>
      </c>
      <c r="E1206" s="4">
        <v>6</v>
      </c>
      <c r="F1206" s="4">
        <v>1</v>
      </c>
      <c r="G1206" s="6" t="str">
        <f t="shared" si="49"/>
        <v>61</v>
      </c>
      <c r="H1206" s="5">
        <v>5</v>
      </c>
      <c r="I1206" s="5">
        <v>128.80000000000001</v>
      </c>
      <c r="J1206" s="5">
        <v>8083.815171732148</v>
      </c>
      <c r="K1206" s="5">
        <v>10.9</v>
      </c>
      <c r="L1206" s="5">
        <v>126.4</v>
      </c>
      <c r="M1206" s="5">
        <v>7933.1850753644676</v>
      </c>
      <c r="N1206" s="5">
        <v>54.128440366972477</v>
      </c>
      <c r="O1206" s="5">
        <v>2.4000000000000057</v>
      </c>
      <c r="P1206" s="5">
        <v>150.63009636768038</v>
      </c>
      <c r="Q1206" s="5">
        <v>1.8987341772151975</v>
      </c>
    </row>
    <row r="1207" spans="1:17" x14ac:dyDescent="0.2">
      <c r="A1207" s="4" t="s">
        <v>94</v>
      </c>
      <c r="B1207" s="4">
        <v>2015</v>
      </c>
      <c r="C1207" s="4" t="s">
        <v>64</v>
      </c>
      <c r="D1207" s="4">
        <v>2</v>
      </c>
      <c r="E1207" s="4">
        <v>6</v>
      </c>
      <c r="F1207" s="4">
        <v>1</v>
      </c>
      <c r="G1207" s="6" t="str">
        <f t="shared" si="49"/>
        <v>61</v>
      </c>
      <c r="H1207" s="5">
        <v>10</v>
      </c>
      <c r="I1207" s="5">
        <v>125.9</v>
      </c>
      <c r="J1207" s="5">
        <v>7901.8038052878674</v>
      </c>
      <c r="K1207" s="5">
        <v>10.9</v>
      </c>
      <c r="L1207" s="5">
        <v>126.4</v>
      </c>
      <c r="M1207" s="5">
        <v>7933.1850753644676</v>
      </c>
      <c r="N1207" s="5">
        <v>8.256880733944957</v>
      </c>
      <c r="O1207" s="5">
        <v>-0.5</v>
      </c>
      <c r="P1207" s="5">
        <v>-31.381270076600231</v>
      </c>
      <c r="Q1207" s="5">
        <v>-0.39556962025316805</v>
      </c>
    </row>
    <row r="1208" spans="1:17" x14ac:dyDescent="0.2">
      <c r="A1208" s="4" t="s">
        <v>94</v>
      </c>
      <c r="B1208" s="4">
        <v>2015</v>
      </c>
      <c r="C1208" s="4" t="s">
        <v>64</v>
      </c>
      <c r="D1208" s="4">
        <v>3</v>
      </c>
      <c r="E1208" s="4">
        <v>6</v>
      </c>
      <c r="F1208" s="4">
        <v>1</v>
      </c>
      <c r="G1208" s="6" t="str">
        <f t="shared" si="49"/>
        <v>61</v>
      </c>
      <c r="H1208" s="5">
        <v>10</v>
      </c>
      <c r="I1208" s="5">
        <v>129.9</v>
      </c>
      <c r="J1208" s="5">
        <v>8152.8539659006674</v>
      </c>
      <c r="K1208" s="5">
        <v>10.9</v>
      </c>
      <c r="L1208" s="5">
        <v>126.4</v>
      </c>
      <c r="M1208" s="5">
        <v>7933.1850753644676</v>
      </c>
      <c r="N1208" s="5">
        <v>8.256880733944957</v>
      </c>
      <c r="O1208" s="5">
        <v>3.5</v>
      </c>
      <c r="P1208" s="5">
        <v>219.6688905361998</v>
      </c>
      <c r="Q1208" s="5">
        <v>2.7689873417721538</v>
      </c>
    </row>
    <row r="1209" spans="1:17" x14ac:dyDescent="0.2">
      <c r="A1209" s="4" t="s">
        <v>94</v>
      </c>
      <c r="B1209" s="4">
        <v>2015</v>
      </c>
      <c r="C1209" s="4" t="s">
        <v>64</v>
      </c>
      <c r="D1209" s="4">
        <v>4</v>
      </c>
      <c r="E1209" s="4">
        <v>6</v>
      </c>
      <c r="F1209" s="4">
        <v>1</v>
      </c>
      <c r="G1209" s="6" t="str">
        <f t="shared" si="49"/>
        <v>61</v>
      </c>
      <c r="H1209" s="5">
        <v>8</v>
      </c>
      <c r="I1209" s="5">
        <v>133.6</v>
      </c>
      <c r="J1209" s="5">
        <v>8385.075364467506</v>
      </c>
      <c r="K1209" s="5">
        <v>10.9</v>
      </c>
      <c r="L1209" s="5">
        <v>126.4</v>
      </c>
      <c r="M1209" s="5">
        <v>7933.1850753644676</v>
      </c>
      <c r="N1209" s="5">
        <v>26.605504587155966</v>
      </c>
      <c r="O1209" s="5">
        <v>7.1999999999999886</v>
      </c>
      <c r="P1209" s="5">
        <v>451.89028910303841</v>
      </c>
      <c r="Q1209" s="5">
        <v>5.6962025316455582</v>
      </c>
    </row>
    <row r="1210" spans="1:17" x14ac:dyDescent="0.2">
      <c r="A1210" s="4" t="s">
        <v>91</v>
      </c>
      <c r="B1210" s="4">
        <v>2015</v>
      </c>
      <c r="C1210" s="4" t="s">
        <v>64</v>
      </c>
      <c r="D1210" s="4">
        <v>1</v>
      </c>
      <c r="E1210" s="4">
        <v>6</v>
      </c>
      <c r="F1210" s="4">
        <v>1</v>
      </c>
      <c r="G1210" s="6" t="str">
        <f t="shared" si="49"/>
        <v>61</v>
      </c>
      <c r="H1210" s="5">
        <v>25</v>
      </c>
      <c r="I1210" s="5">
        <v>207.25724646022792</v>
      </c>
      <c r="J1210" s="5">
        <v>13007.991253001703</v>
      </c>
      <c r="K1210" s="5">
        <v>30</v>
      </c>
      <c r="L1210" s="5">
        <v>195.3</v>
      </c>
      <c r="M1210" s="5">
        <v>12257.52409191994</v>
      </c>
      <c r="N1210" s="5">
        <v>16.666666666666664</v>
      </c>
      <c r="O1210" s="5">
        <v>11.957246460227907</v>
      </c>
      <c r="P1210" s="5">
        <v>750.46716108176224</v>
      </c>
      <c r="Q1210" s="5">
        <v>6.1225020277664726</v>
      </c>
    </row>
    <row r="1211" spans="1:17" x14ac:dyDescent="0.2">
      <c r="A1211" s="4" t="s">
        <v>91</v>
      </c>
      <c r="B1211" s="4">
        <v>2015</v>
      </c>
      <c r="C1211" s="4" t="s">
        <v>64</v>
      </c>
      <c r="D1211" s="4">
        <v>2</v>
      </c>
      <c r="E1211" s="4">
        <v>6</v>
      </c>
      <c r="F1211" s="4">
        <v>1</v>
      </c>
      <c r="G1211" s="6" t="str">
        <f t="shared" si="49"/>
        <v>61</v>
      </c>
      <c r="H1211" s="5">
        <v>40</v>
      </c>
      <c r="I1211" s="5">
        <v>186.47134914239663</v>
      </c>
      <c r="J1211" s="5">
        <v>11703.415537971026</v>
      </c>
      <c r="K1211" s="5">
        <v>30</v>
      </c>
      <c r="L1211" s="5">
        <v>195.3</v>
      </c>
      <c r="M1211" s="5">
        <v>12257.52409191994</v>
      </c>
      <c r="N1211" s="5">
        <v>-33.333333333333329</v>
      </c>
      <c r="O1211" s="5">
        <v>-8.8286508576033782</v>
      </c>
      <c r="P1211" s="5">
        <v>-554.10855394891405</v>
      </c>
      <c r="Q1211" s="5">
        <v>-4.5205585548404335</v>
      </c>
    </row>
    <row r="1212" spans="1:17" x14ac:dyDescent="0.2">
      <c r="A1212" s="4" t="s">
        <v>91</v>
      </c>
      <c r="B1212" s="4">
        <v>2015</v>
      </c>
      <c r="C1212" s="4" t="s">
        <v>64</v>
      </c>
      <c r="D1212" s="4">
        <v>3</v>
      </c>
      <c r="E1212" s="4">
        <v>6</v>
      </c>
      <c r="F1212" s="4">
        <v>1</v>
      </c>
      <c r="G1212" s="6" t="str">
        <f t="shared" si="49"/>
        <v>61</v>
      </c>
      <c r="H1212" s="5">
        <v>25</v>
      </c>
      <c r="I1212" s="5">
        <v>202.7066881547139</v>
      </c>
      <c r="J1212" s="5">
        <v>12722.386654632402</v>
      </c>
      <c r="K1212" s="5">
        <v>30</v>
      </c>
      <c r="L1212" s="5">
        <v>195.3</v>
      </c>
      <c r="M1212" s="5">
        <v>12257.52409191994</v>
      </c>
      <c r="N1212" s="5">
        <v>16.666666666666664</v>
      </c>
      <c r="O1212" s="5">
        <v>7.4066881547138905</v>
      </c>
      <c r="P1212" s="5">
        <v>464.86256271246202</v>
      </c>
      <c r="Q1212" s="5">
        <v>3.792467053104922</v>
      </c>
    </row>
    <row r="1213" spans="1:17" x14ac:dyDescent="0.2">
      <c r="A1213" s="4" t="s">
        <v>91</v>
      </c>
      <c r="B1213" s="4">
        <v>2015</v>
      </c>
      <c r="C1213" s="4" t="s">
        <v>64</v>
      </c>
      <c r="D1213" s="4">
        <v>4</v>
      </c>
      <c r="E1213" s="4">
        <v>6</v>
      </c>
      <c r="F1213" s="4">
        <v>1</v>
      </c>
      <c r="G1213" s="6" t="str">
        <f t="shared" si="49"/>
        <v>61</v>
      </c>
      <c r="H1213" s="5">
        <v>40</v>
      </c>
      <c r="I1213" s="5">
        <v>197.93048232991822</v>
      </c>
      <c r="J1213" s="5">
        <v>12422.619844773715</v>
      </c>
      <c r="K1213" s="5">
        <v>30</v>
      </c>
      <c r="L1213" s="5">
        <v>195.3</v>
      </c>
      <c r="M1213" s="5">
        <v>12257.52409191994</v>
      </c>
      <c r="N1213" s="5">
        <v>-33.333333333333329</v>
      </c>
      <c r="O1213" s="5">
        <v>2.630482329918209</v>
      </c>
      <c r="P1213" s="5">
        <v>165.09575285377468</v>
      </c>
      <c r="Q1213" s="5">
        <v>1.3468931540799862</v>
      </c>
    </row>
    <row r="1214" spans="1:17" x14ac:dyDescent="0.2">
      <c r="A1214" s="4" t="s">
        <v>91</v>
      </c>
      <c r="B1214" s="4">
        <v>2015</v>
      </c>
      <c r="C1214" s="4" t="s">
        <v>64</v>
      </c>
      <c r="D1214" s="4">
        <v>5</v>
      </c>
      <c r="E1214" s="4">
        <v>6</v>
      </c>
      <c r="F1214" s="4">
        <v>1</v>
      </c>
      <c r="G1214" s="6" t="str">
        <f t="shared" si="49"/>
        <v>61</v>
      </c>
      <c r="H1214" s="5">
        <v>30</v>
      </c>
      <c r="I1214" s="5">
        <v>186.15920340739035</v>
      </c>
      <c r="J1214" s="5">
        <v>11683.824478744045</v>
      </c>
      <c r="K1214" s="5">
        <v>30</v>
      </c>
      <c r="L1214" s="5">
        <v>195.3</v>
      </c>
      <c r="M1214" s="5">
        <v>12257.52409191994</v>
      </c>
      <c r="N1214" s="5">
        <v>0</v>
      </c>
      <c r="O1214" s="5">
        <v>-9.1407965926096608</v>
      </c>
      <c r="P1214" s="5">
        <v>-573.69961317589514</v>
      </c>
      <c r="Q1214" s="5">
        <v>-4.6803874002097468</v>
      </c>
    </row>
    <row r="1215" spans="1:17" x14ac:dyDescent="0.2">
      <c r="A1215" s="4" t="s">
        <v>91</v>
      </c>
      <c r="B1215" s="4">
        <v>2015</v>
      </c>
      <c r="C1215" s="4" t="s">
        <v>64</v>
      </c>
      <c r="D1215" s="4">
        <v>6</v>
      </c>
      <c r="E1215" s="4">
        <v>6</v>
      </c>
      <c r="F1215" s="4">
        <v>1</v>
      </c>
      <c r="G1215" s="6" t="str">
        <f t="shared" si="49"/>
        <v>61</v>
      </c>
      <c r="H1215" s="5">
        <v>18</v>
      </c>
      <c r="I1215" s="5">
        <v>187.51684931506844</v>
      </c>
      <c r="J1215" s="5">
        <v>11769.033784538518</v>
      </c>
      <c r="K1215" s="5">
        <v>30</v>
      </c>
      <c r="L1215" s="5">
        <v>195.3</v>
      </c>
      <c r="M1215" s="5">
        <v>12257.52409191994</v>
      </c>
      <c r="N1215" s="5">
        <v>40</v>
      </c>
      <c r="O1215" s="5">
        <v>-7.7831506849315701</v>
      </c>
      <c r="P1215" s="5">
        <v>-488.4903073814221</v>
      </c>
      <c r="Q1215" s="5">
        <v>-3.9852282052900949</v>
      </c>
    </row>
    <row r="1216" spans="1:17" x14ac:dyDescent="0.2">
      <c r="A1216" s="4" t="s">
        <v>65</v>
      </c>
      <c r="B1216" s="4">
        <v>2015</v>
      </c>
      <c r="C1216" s="4" t="s">
        <v>64</v>
      </c>
      <c r="D1216" s="4">
        <v>1</v>
      </c>
      <c r="E1216" s="4">
        <v>7</v>
      </c>
      <c r="F1216" s="4">
        <v>2</v>
      </c>
      <c r="G1216" s="6" t="str">
        <f t="shared" si="49"/>
        <v>72</v>
      </c>
      <c r="H1216" s="5">
        <v>2</v>
      </c>
      <c r="I1216" s="5">
        <v>256.53927144886364</v>
      </c>
      <c r="J1216" s="5">
        <v>16101.056325181953</v>
      </c>
      <c r="K1216" s="5">
        <v>7</v>
      </c>
      <c r="L1216" s="5">
        <v>216.3</v>
      </c>
      <c r="M1216" s="5">
        <v>13575.537435137139</v>
      </c>
      <c r="N1216" s="5">
        <v>71.428571428571431</v>
      </c>
      <c r="O1216" s="5">
        <v>40.239271448863633</v>
      </c>
      <c r="P1216" s="5">
        <v>2525.5188900448138</v>
      </c>
      <c r="Q1216" s="5">
        <v>18.603454206594371</v>
      </c>
    </row>
    <row r="1217" spans="1:17" x14ac:dyDescent="0.2">
      <c r="A1217" s="4" t="s">
        <v>65</v>
      </c>
      <c r="B1217" s="4">
        <v>2015</v>
      </c>
      <c r="C1217" s="4" t="s">
        <v>64</v>
      </c>
      <c r="D1217" s="4">
        <v>2</v>
      </c>
      <c r="E1217" s="4">
        <v>7</v>
      </c>
      <c r="F1217" s="4">
        <v>2</v>
      </c>
      <c r="G1217" s="6" t="str">
        <f t="shared" si="49"/>
        <v>72</v>
      </c>
      <c r="H1217" s="5">
        <v>5</v>
      </c>
      <c r="I1217" s="5">
        <v>233.5303324905303</v>
      </c>
      <c r="J1217" s="5">
        <v>14656.956869927031</v>
      </c>
      <c r="K1217" s="5">
        <v>7</v>
      </c>
      <c r="L1217" s="5">
        <v>216.3</v>
      </c>
      <c r="M1217" s="5">
        <v>13575.537435137139</v>
      </c>
      <c r="N1217" s="5">
        <v>28.571428571428569</v>
      </c>
      <c r="O1217" s="5">
        <v>17.230332490530287</v>
      </c>
      <c r="P1217" s="5">
        <v>1081.419434789892</v>
      </c>
      <c r="Q1217" s="5">
        <v>7.9659419743551947</v>
      </c>
    </row>
    <row r="1218" spans="1:17" x14ac:dyDescent="0.2">
      <c r="A1218" s="4" t="s">
        <v>65</v>
      </c>
      <c r="B1218" s="4">
        <v>2015</v>
      </c>
      <c r="C1218" s="4" t="s">
        <v>64</v>
      </c>
      <c r="D1218" s="4">
        <v>3</v>
      </c>
      <c r="E1218" s="4">
        <v>7</v>
      </c>
      <c r="F1218" s="4">
        <v>2</v>
      </c>
      <c r="G1218" s="6" t="str">
        <f t="shared" ref="G1218:G1281" si="50">E1218&amp;F1218</f>
        <v>72</v>
      </c>
      <c r="H1218" s="5">
        <v>5</v>
      </c>
      <c r="I1218" s="5">
        <v>212.02124880681822</v>
      </c>
      <c r="J1218" s="5">
        <v>13306.992141569515</v>
      </c>
      <c r="K1218" s="5">
        <v>7</v>
      </c>
      <c r="L1218" s="5">
        <v>216.3</v>
      </c>
      <c r="M1218" s="5">
        <v>13575.537435137139</v>
      </c>
      <c r="N1218" s="5">
        <v>28.571428571428569</v>
      </c>
      <c r="O1218" s="5">
        <v>-4.2787511931817903</v>
      </c>
      <c r="P1218" s="5">
        <v>-268.54529356762396</v>
      </c>
      <c r="Q1218" s="5">
        <v>-1.9781558914386443</v>
      </c>
    </row>
    <row r="1219" spans="1:17" x14ac:dyDescent="0.2">
      <c r="A1219" s="4" t="s">
        <v>65</v>
      </c>
      <c r="B1219" s="4">
        <v>2015</v>
      </c>
      <c r="C1219" s="4" t="s">
        <v>64</v>
      </c>
      <c r="D1219" s="4">
        <v>4</v>
      </c>
      <c r="E1219" s="4">
        <v>7</v>
      </c>
      <c r="F1219" s="4">
        <v>2</v>
      </c>
      <c r="G1219" s="6" t="str">
        <f t="shared" si="50"/>
        <v>72</v>
      </c>
      <c r="H1219" s="5">
        <v>5</v>
      </c>
      <c r="I1219" s="5">
        <v>207.40807977272726</v>
      </c>
      <c r="J1219" s="5">
        <v>13017.457934833883</v>
      </c>
      <c r="K1219" s="5">
        <v>7</v>
      </c>
      <c r="L1219" s="5">
        <v>216.3</v>
      </c>
      <c r="M1219" s="5">
        <v>13575.537435137139</v>
      </c>
      <c r="N1219" s="5">
        <v>28.571428571428569</v>
      </c>
      <c r="O1219" s="5">
        <v>-8.8919202272727489</v>
      </c>
      <c r="P1219" s="5">
        <v>-558.07950030325628</v>
      </c>
      <c r="Q1219" s="5">
        <v>-4.110920123565764</v>
      </c>
    </row>
    <row r="1220" spans="1:17" x14ac:dyDescent="0.2">
      <c r="A1220" s="4" t="s">
        <v>94</v>
      </c>
      <c r="B1220" s="4">
        <v>2015</v>
      </c>
      <c r="C1220" s="4" t="s">
        <v>64</v>
      </c>
      <c r="D1220" s="4">
        <v>1</v>
      </c>
      <c r="E1220" s="4">
        <v>7</v>
      </c>
      <c r="F1220" s="4">
        <v>2</v>
      </c>
      <c r="G1220" s="6" t="str">
        <f t="shared" si="50"/>
        <v>72</v>
      </c>
      <c r="H1220" s="5">
        <v>4</v>
      </c>
      <c r="I1220" s="5">
        <v>139.5</v>
      </c>
      <c r="J1220" s="5">
        <v>8755.3743513713853</v>
      </c>
      <c r="K1220" s="5">
        <v>10.9</v>
      </c>
      <c r="L1220" s="5">
        <v>126.4</v>
      </c>
      <c r="M1220" s="5">
        <v>7933.1850753644676</v>
      </c>
      <c r="N1220" s="5">
        <v>63.302752293577981</v>
      </c>
      <c r="O1220" s="5">
        <v>13.099999999999994</v>
      </c>
      <c r="P1220" s="5">
        <v>822.18927600691768</v>
      </c>
      <c r="Q1220" s="5">
        <v>10.363924050632898</v>
      </c>
    </row>
    <row r="1221" spans="1:17" x14ac:dyDescent="0.2">
      <c r="A1221" s="4" t="s">
        <v>94</v>
      </c>
      <c r="B1221" s="4">
        <v>2015</v>
      </c>
      <c r="C1221" s="4" t="s">
        <v>64</v>
      </c>
      <c r="D1221" s="4">
        <v>2</v>
      </c>
      <c r="E1221" s="4">
        <v>7</v>
      </c>
      <c r="F1221" s="4">
        <v>2</v>
      </c>
      <c r="G1221" s="6" t="str">
        <f t="shared" si="50"/>
        <v>72</v>
      </c>
      <c r="H1221" s="5">
        <v>4</v>
      </c>
      <c r="I1221" s="5">
        <v>137</v>
      </c>
      <c r="J1221" s="5">
        <v>8598.4680009883868</v>
      </c>
      <c r="K1221" s="5">
        <v>10.9</v>
      </c>
      <c r="L1221" s="5">
        <v>126.4</v>
      </c>
      <c r="M1221" s="5">
        <v>7933.1850753644676</v>
      </c>
      <c r="N1221" s="5">
        <v>63.302752293577981</v>
      </c>
      <c r="O1221" s="5">
        <v>10.599999999999994</v>
      </c>
      <c r="P1221" s="5">
        <v>665.28292562391925</v>
      </c>
      <c r="Q1221" s="5">
        <v>8.3860759493670916</v>
      </c>
    </row>
    <row r="1222" spans="1:17" x14ac:dyDescent="0.2">
      <c r="A1222" s="4" t="s">
        <v>94</v>
      </c>
      <c r="B1222" s="4">
        <v>2015</v>
      </c>
      <c r="C1222" s="4" t="s">
        <v>64</v>
      </c>
      <c r="D1222" s="4">
        <v>3</v>
      </c>
      <c r="E1222" s="4">
        <v>7</v>
      </c>
      <c r="F1222" s="4">
        <v>2</v>
      </c>
      <c r="G1222" s="6" t="str">
        <f t="shared" si="50"/>
        <v>72</v>
      </c>
      <c r="H1222" s="5">
        <v>18</v>
      </c>
      <c r="I1222" s="5">
        <v>128.1</v>
      </c>
      <c r="J1222" s="5">
        <v>8039.8813936249071</v>
      </c>
      <c r="K1222" s="5">
        <v>10.9</v>
      </c>
      <c r="L1222" s="5">
        <v>126.4</v>
      </c>
      <c r="M1222" s="5">
        <v>7933.1850753644676</v>
      </c>
      <c r="N1222" s="5">
        <v>-65.137614678899084</v>
      </c>
      <c r="O1222" s="5">
        <v>1.6999999999999886</v>
      </c>
      <c r="P1222" s="5">
        <v>106.69631826043951</v>
      </c>
      <c r="Q1222" s="5">
        <v>1.3449367088607553</v>
      </c>
    </row>
    <row r="1223" spans="1:17" x14ac:dyDescent="0.2">
      <c r="A1223" s="4" t="s">
        <v>94</v>
      </c>
      <c r="B1223" s="4">
        <v>2015</v>
      </c>
      <c r="C1223" s="4" t="s">
        <v>64</v>
      </c>
      <c r="D1223" s="4">
        <v>4</v>
      </c>
      <c r="E1223" s="4">
        <v>7</v>
      </c>
      <c r="F1223" s="4">
        <v>2</v>
      </c>
      <c r="G1223" s="6" t="str">
        <f t="shared" si="50"/>
        <v>72</v>
      </c>
      <c r="H1223" s="5">
        <v>20</v>
      </c>
      <c r="I1223" s="5">
        <v>134.19999999999999</v>
      </c>
      <c r="J1223" s="5">
        <v>8422.7328885594252</v>
      </c>
      <c r="K1223" s="5">
        <v>10.9</v>
      </c>
      <c r="L1223" s="5">
        <v>126.4</v>
      </c>
      <c r="M1223" s="5">
        <v>7933.1850753644676</v>
      </c>
      <c r="N1223" s="5">
        <v>-83.486238532110093</v>
      </c>
      <c r="O1223" s="5">
        <v>7.7999999999999829</v>
      </c>
      <c r="P1223" s="5">
        <v>489.5478131949576</v>
      </c>
      <c r="Q1223" s="5">
        <v>6.1708860759493467</v>
      </c>
    </row>
    <row r="1224" spans="1:17" x14ac:dyDescent="0.2">
      <c r="A1224" s="4" t="s">
        <v>91</v>
      </c>
      <c r="B1224" s="4">
        <v>2015</v>
      </c>
      <c r="C1224" s="4" t="s">
        <v>64</v>
      </c>
      <c r="D1224" s="4">
        <v>1</v>
      </c>
      <c r="E1224" s="4">
        <v>7</v>
      </c>
      <c r="F1224" s="4">
        <v>2</v>
      </c>
      <c r="G1224" s="6" t="str">
        <f t="shared" si="50"/>
        <v>72</v>
      </c>
      <c r="H1224" s="5">
        <v>25</v>
      </c>
      <c r="I1224" s="5">
        <v>211.72757453666398</v>
      </c>
      <c r="J1224" s="5">
        <v>13288.560398396998</v>
      </c>
      <c r="K1224" s="5">
        <v>30</v>
      </c>
      <c r="L1224" s="5">
        <v>195.3</v>
      </c>
      <c r="M1224" s="5">
        <v>12257.52409191994</v>
      </c>
      <c r="N1224" s="5">
        <v>16.666666666666664</v>
      </c>
      <c r="O1224" s="5">
        <v>16.427574536663968</v>
      </c>
      <c r="P1224" s="5">
        <v>1031.0363064770572</v>
      </c>
      <c r="Q1224" s="5">
        <v>8.4114564959877001</v>
      </c>
    </row>
    <row r="1225" spans="1:17" x14ac:dyDescent="0.2">
      <c r="A1225" s="4" t="s">
        <v>91</v>
      </c>
      <c r="B1225" s="4">
        <v>2015</v>
      </c>
      <c r="C1225" s="4" t="s">
        <v>64</v>
      </c>
      <c r="D1225" s="4">
        <v>2</v>
      </c>
      <c r="E1225" s="4">
        <v>7</v>
      </c>
      <c r="F1225" s="4">
        <v>2</v>
      </c>
      <c r="G1225" s="6" t="str">
        <f t="shared" si="50"/>
        <v>72</v>
      </c>
      <c r="H1225" s="5">
        <v>30</v>
      </c>
      <c r="I1225" s="5">
        <v>192.97563888569124</v>
      </c>
      <c r="J1225" s="5">
        <v>12111.6412841526</v>
      </c>
      <c r="K1225" s="5">
        <v>30</v>
      </c>
      <c r="L1225" s="5">
        <v>195.3</v>
      </c>
      <c r="M1225" s="5">
        <v>12257.52409191994</v>
      </c>
      <c r="N1225" s="5">
        <v>0</v>
      </c>
      <c r="O1225" s="5">
        <v>-2.3243611143087719</v>
      </c>
      <c r="P1225" s="5">
        <v>-145.88280776734064</v>
      </c>
      <c r="Q1225" s="5">
        <v>-1.1901490600659343</v>
      </c>
    </row>
    <row r="1226" spans="1:17" x14ac:dyDescent="0.2">
      <c r="A1226" s="4" t="s">
        <v>91</v>
      </c>
      <c r="B1226" s="4">
        <v>2015</v>
      </c>
      <c r="C1226" s="4" t="s">
        <v>64</v>
      </c>
      <c r="D1226" s="4">
        <v>3</v>
      </c>
      <c r="E1226" s="4">
        <v>7</v>
      </c>
      <c r="F1226" s="4">
        <v>2</v>
      </c>
      <c r="G1226" s="6" t="str">
        <f t="shared" si="50"/>
        <v>72</v>
      </c>
      <c r="H1226" s="5">
        <v>40</v>
      </c>
      <c r="I1226" s="5">
        <v>188.32792678715322</v>
      </c>
      <c r="J1226" s="5">
        <v>11819.939066947594</v>
      </c>
      <c r="K1226" s="5">
        <v>30</v>
      </c>
      <c r="L1226" s="5">
        <v>195.3</v>
      </c>
      <c r="M1226" s="5">
        <v>12257.52409191994</v>
      </c>
      <c r="N1226" s="5">
        <v>-33.333333333333329</v>
      </c>
      <c r="O1226" s="5">
        <v>-6.9720732128467944</v>
      </c>
      <c r="P1226" s="5">
        <v>-437.58502497234622</v>
      </c>
      <c r="Q1226" s="5">
        <v>-3.5699299604950294</v>
      </c>
    </row>
    <row r="1227" spans="1:17" x14ac:dyDescent="0.2">
      <c r="A1227" s="4" t="s">
        <v>91</v>
      </c>
      <c r="B1227" s="4">
        <v>2015</v>
      </c>
      <c r="C1227" s="4" t="s">
        <v>64</v>
      </c>
      <c r="D1227" s="4">
        <v>4</v>
      </c>
      <c r="E1227" s="4">
        <v>7</v>
      </c>
      <c r="F1227" s="4">
        <v>2</v>
      </c>
      <c r="G1227" s="6" t="str">
        <f t="shared" si="50"/>
        <v>72</v>
      </c>
      <c r="H1227" s="5">
        <v>15</v>
      </c>
      <c r="I1227" s="5">
        <v>195.46716357775986</v>
      </c>
      <c r="J1227" s="5">
        <v>12268.015702681247</v>
      </c>
      <c r="K1227" s="5">
        <v>30</v>
      </c>
      <c r="L1227" s="5">
        <v>195.3</v>
      </c>
      <c r="M1227" s="5">
        <v>12257.52409191994</v>
      </c>
      <c r="N1227" s="5">
        <v>50</v>
      </c>
      <c r="O1227" s="5">
        <v>0.16716357775985102</v>
      </c>
      <c r="P1227" s="5">
        <v>10.49161076130622</v>
      </c>
      <c r="Q1227" s="5">
        <v>8.5593229779757918E-2</v>
      </c>
    </row>
    <row r="1228" spans="1:17" x14ac:dyDescent="0.2">
      <c r="A1228" s="4" t="s">
        <v>91</v>
      </c>
      <c r="B1228" s="4">
        <v>2015</v>
      </c>
      <c r="C1228" s="4" t="s">
        <v>64</v>
      </c>
      <c r="D1228" s="4">
        <v>5</v>
      </c>
      <c r="E1228" s="4">
        <v>7</v>
      </c>
      <c r="F1228" s="4">
        <v>2</v>
      </c>
      <c r="G1228" s="6" t="str">
        <f t="shared" si="50"/>
        <v>72</v>
      </c>
      <c r="H1228" s="5">
        <v>25</v>
      </c>
      <c r="I1228" s="5">
        <v>209.95749510763204</v>
      </c>
      <c r="J1228" s="5">
        <v>13177.465717158027</v>
      </c>
      <c r="K1228" s="5">
        <v>30</v>
      </c>
      <c r="L1228" s="5">
        <v>195.3</v>
      </c>
      <c r="M1228" s="5">
        <v>12257.52409191994</v>
      </c>
      <c r="N1228" s="5">
        <v>16.666666666666664</v>
      </c>
      <c r="O1228" s="5">
        <v>14.65749510763203</v>
      </c>
      <c r="P1228" s="5">
        <v>919.941625238087</v>
      </c>
      <c r="Q1228" s="5">
        <v>7.5051178226482538</v>
      </c>
    </row>
    <row r="1229" spans="1:17" x14ac:dyDescent="0.2">
      <c r="A1229" s="4" t="s">
        <v>91</v>
      </c>
      <c r="B1229" s="4">
        <v>2015</v>
      </c>
      <c r="C1229" s="4" t="s">
        <v>64</v>
      </c>
      <c r="D1229" s="4">
        <v>6</v>
      </c>
      <c r="E1229" s="4">
        <v>7</v>
      </c>
      <c r="F1229" s="4">
        <v>2</v>
      </c>
      <c r="G1229" s="6" t="str">
        <f t="shared" si="50"/>
        <v>72</v>
      </c>
      <c r="H1229" s="5">
        <v>25</v>
      </c>
      <c r="I1229" s="5">
        <v>208.66754345573844</v>
      </c>
      <c r="J1229" s="5">
        <v>13096.505074810369</v>
      </c>
      <c r="K1229" s="5">
        <v>30</v>
      </c>
      <c r="L1229" s="5">
        <v>195.3</v>
      </c>
      <c r="M1229" s="5">
        <v>12257.52409191994</v>
      </c>
      <c r="N1229" s="5">
        <v>16.666666666666664</v>
      </c>
      <c r="O1229" s="5">
        <v>13.367543455738428</v>
      </c>
      <c r="P1229" s="5">
        <v>838.980982890429</v>
      </c>
      <c r="Q1229" s="5">
        <v>6.8446203050376093</v>
      </c>
    </row>
    <row r="1230" spans="1:17" x14ac:dyDescent="0.2">
      <c r="A1230" s="4" t="s">
        <v>65</v>
      </c>
      <c r="B1230" s="4">
        <v>2015</v>
      </c>
      <c r="C1230" s="4" t="s">
        <v>64</v>
      </c>
      <c r="D1230" s="4">
        <v>1</v>
      </c>
      <c r="E1230" s="4">
        <v>8</v>
      </c>
      <c r="F1230" s="4">
        <v>2</v>
      </c>
      <c r="G1230" s="6" t="str">
        <f t="shared" si="50"/>
        <v>82</v>
      </c>
      <c r="H1230" s="5">
        <v>6</v>
      </c>
      <c r="I1230" s="5">
        <v>199.5305444602273</v>
      </c>
      <c r="J1230" s="5">
        <v>12523.043808474855</v>
      </c>
      <c r="K1230" s="5">
        <v>7</v>
      </c>
      <c r="L1230" s="5">
        <v>216.3</v>
      </c>
      <c r="M1230" s="5">
        <v>13575.537435137139</v>
      </c>
      <c r="N1230" s="5">
        <v>14.285714285714285</v>
      </c>
      <c r="O1230" s="5">
        <v>-16.769455539772707</v>
      </c>
      <c r="P1230" s="5">
        <v>-1052.4936266622844</v>
      </c>
      <c r="Q1230" s="5">
        <v>-7.7528689504265822</v>
      </c>
    </row>
    <row r="1231" spans="1:17" x14ac:dyDescent="0.2">
      <c r="A1231" s="4" t="s">
        <v>65</v>
      </c>
      <c r="B1231" s="4">
        <v>2015</v>
      </c>
      <c r="C1231" s="4" t="s">
        <v>64</v>
      </c>
      <c r="D1231" s="4">
        <v>2</v>
      </c>
      <c r="E1231" s="4">
        <v>8</v>
      </c>
      <c r="F1231" s="4">
        <v>2</v>
      </c>
      <c r="G1231" s="6" t="str">
        <f t="shared" si="50"/>
        <v>82</v>
      </c>
      <c r="H1231" s="5">
        <v>8</v>
      </c>
      <c r="I1231" s="5">
        <v>235.0848972301136</v>
      </c>
      <c r="J1231" s="5">
        <v>14754.525301815876</v>
      </c>
      <c r="K1231" s="5">
        <v>7</v>
      </c>
      <c r="L1231" s="5">
        <v>216.3</v>
      </c>
      <c r="M1231" s="5">
        <v>13575.537435137139</v>
      </c>
      <c r="N1231" s="5">
        <v>-14.285714285714285</v>
      </c>
      <c r="O1231" s="5">
        <v>18.784897230113586</v>
      </c>
      <c r="P1231" s="5">
        <v>1178.9878666787372</v>
      </c>
      <c r="Q1231" s="5">
        <v>8.6846496671814979</v>
      </c>
    </row>
    <row r="1232" spans="1:17" x14ac:dyDescent="0.2">
      <c r="A1232" s="4" t="s">
        <v>65</v>
      </c>
      <c r="B1232" s="4">
        <v>2015</v>
      </c>
      <c r="C1232" s="4" t="s">
        <v>64</v>
      </c>
      <c r="D1232" s="4">
        <v>3</v>
      </c>
      <c r="E1232" s="4">
        <v>8</v>
      </c>
      <c r="F1232" s="4">
        <v>2</v>
      </c>
      <c r="G1232" s="6" t="str">
        <f t="shared" si="50"/>
        <v>82</v>
      </c>
      <c r="H1232" s="5">
        <v>10</v>
      </c>
      <c r="I1232" s="5">
        <v>222.60685033143938</v>
      </c>
      <c r="J1232" s="5">
        <v>13971.371382304324</v>
      </c>
      <c r="K1232" s="5">
        <v>7</v>
      </c>
      <c r="L1232" s="5">
        <v>216.3</v>
      </c>
      <c r="M1232" s="5">
        <v>13575.537435137139</v>
      </c>
      <c r="N1232" s="5">
        <v>-42.857142857142854</v>
      </c>
      <c r="O1232" s="5">
        <v>6.3068503314393638</v>
      </c>
      <c r="P1232" s="5">
        <v>395.83394716718431</v>
      </c>
      <c r="Q1232" s="5">
        <v>2.9157884102817149</v>
      </c>
    </row>
    <row r="1233" spans="1:17" s="7" customFormat="1" x14ac:dyDescent="0.2">
      <c r="A1233" s="7" t="s">
        <v>65</v>
      </c>
      <c r="B1233" s="7">
        <v>2015</v>
      </c>
      <c r="C1233" s="7" t="s">
        <v>64</v>
      </c>
      <c r="D1233" s="7">
        <v>4</v>
      </c>
      <c r="E1233" s="7">
        <v>8</v>
      </c>
      <c r="F1233" s="7">
        <v>2</v>
      </c>
      <c r="G1233" s="6" t="str">
        <f t="shared" si="50"/>
        <v>82</v>
      </c>
      <c r="H1233" s="9">
        <v>6</v>
      </c>
      <c r="I1233" s="9">
        <v>224.42805833333335</v>
      </c>
      <c r="J1233" s="9">
        <v>14085.675022650525</v>
      </c>
      <c r="K1233" s="9">
        <v>7</v>
      </c>
      <c r="L1233" s="9">
        <v>216.3</v>
      </c>
      <c r="M1233" s="9">
        <v>13575.537435137139</v>
      </c>
      <c r="N1233" s="9">
        <v>14.285714285714285</v>
      </c>
      <c r="O1233" s="9">
        <v>8.1280583333333425</v>
      </c>
      <c r="P1233" s="9">
        <v>510.13758751338537</v>
      </c>
      <c r="Q1233" s="9">
        <v>3.7577708429650247</v>
      </c>
    </row>
    <row r="1234" spans="1:17" x14ac:dyDescent="0.2">
      <c r="A1234" s="4" t="s">
        <v>94</v>
      </c>
      <c r="B1234" s="4">
        <v>2015</v>
      </c>
      <c r="C1234" s="4" t="s">
        <v>64</v>
      </c>
      <c r="D1234" s="4">
        <v>1</v>
      </c>
      <c r="E1234" s="4">
        <v>8</v>
      </c>
      <c r="F1234" s="4">
        <v>2</v>
      </c>
      <c r="G1234" s="6" t="str">
        <f t="shared" si="50"/>
        <v>82</v>
      </c>
      <c r="H1234" s="5">
        <v>4</v>
      </c>
      <c r="I1234" s="5">
        <v>126.9</v>
      </c>
      <c r="J1234" s="5">
        <v>7964.5663454410678</v>
      </c>
      <c r="K1234" s="5">
        <v>10.9</v>
      </c>
      <c r="L1234" s="5">
        <v>126.4</v>
      </c>
      <c r="M1234" s="5">
        <v>7933.1850753644676</v>
      </c>
      <c r="N1234" s="5">
        <v>63.302752293577981</v>
      </c>
      <c r="O1234" s="5">
        <v>0.5</v>
      </c>
      <c r="P1234" s="5">
        <v>31.381270076600231</v>
      </c>
      <c r="Q1234" s="5">
        <v>0.39556962025316805</v>
      </c>
    </row>
    <row r="1235" spans="1:17" x14ac:dyDescent="0.2">
      <c r="A1235" s="4" t="s">
        <v>94</v>
      </c>
      <c r="B1235" s="4">
        <v>2015</v>
      </c>
      <c r="C1235" s="4" t="s">
        <v>64</v>
      </c>
      <c r="D1235" s="4">
        <v>2</v>
      </c>
      <c r="E1235" s="4">
        <v>8</v>
      </c>
      <c r="F1235" s="4">
        <v>2</v>
      </c>
      <c r="G1235" s="6" t="str">
        <f t="shared" si="50"/>
        <v>82</v>
      </c>
      <c r="H1235" s="5">
        <v>12</v>
      </c>
      <c r="I1235" s="5">
        <v>119.5</v>
      </c>
      <c r="J1235" s="5">
        <v>7500.1235483073879</v>
      </c>
      <c r="K1235" s="5">
        <v>10.9</v>
      </c>
      <c r="L1235" s="5">
        <v>126.4</v>
      </c>
      <c r="M1235" s="5">
        <v>7933.1850753644676</v>
      </c>
      <c r="N1235" s="5">
        <v>-10.091743119266052</v>
      </c>
      <c r="O1235" s="5">
        <v>-6.9000000000000057</v>
      </c>
      <c r="P1235" s="5">
        <v>-433.06152705707973</v>
      </c>
      <c r="Q1235" s="5">
        <v>-5.4588607594936756</v>
      </c>
    </row>
    <row r="1236" spans="1:17" x14ac:dyDescent="0.2">
      <c r="A1236" s="4" t="s">
        <v>94</v>
      </c>
      <c r="B1236" s="4">
        <v>2015</v>
      </c>
      <c r="C1236" s="4" t="s">
        <v>64</v>
      </c>
      <c r="D1236" s="4">
        <v>3</v>
      </c>
      <c r="E1236" s="4">
        <v>8</v>
      </c>
      <c r="F1236" s="4">
        <v>2</v>
      </c>
      <c r="G1236" s="6" t="str">
        <f t="shared" si="50"/>
        <v>82</v>
      </c>
      <c r="H1236" s="5">
        <v>6</v>
      </c>
      <c r="I1236" s="5">
        <v>131.80000000000001</v>
      </c>
      <c r="J1236" s="5">
        <v>8272.1027921917484</v>
      </c>
      <c r="K1236" s="5">
        <v>10.9</v>
      </c>
      <c r="L1236" s="5">
        <v>126.4</v>
      </c>
      <c r="M1236" s="5">
        <v>7933.1850753644676</v>
      </c>
      <c r="N1236" s="5">
        <v>44.954128440366972</v>
      </c>
      <c r="O1236" s="5">
        <v>5.4000000000000057</v>
      </c>
      <c r="P1236" s="5">
        <v>338.91771682728086</v>
      </c>
      <c r="Q1236" s="5">
        <v>4.2721518987341947</v>
      </c>
    </row>
    <row r="1237" spans="1:17" x14ac:dyDescent="0.2">
      <c r="A1237" s="4" t="s">
        <v>94</v>
      </c>
      <c r="B1237" s="4">
        <v>2015</v>
      </c>
      <c r="C1237" s="4" t="s">
        <v>64</v>
      </c>
      <c r="D1237" s="4">
        <v>4</v>
      </c>
      <c r="E1237" s="4">
        <v>8</v>
      </c>
      <c r="F1237" s="4">
        <v>2</v>
      </c>
      <c r="G1237" s="6" t="str">
        <f t="shared" si="50"/>
        <v>82</v>
      </c>
      <c r="H1237" s="5">
        <v>10</v>
      </c>
      <c r="I1237" s="5">
        <v>137.30000000000001</v>
      </c>
      <c r="J1237" s="5">
        <v>8617.2967630343464</v>
      </c>
      <c r="K1237" s="5">
        <v>10.9</v>
      </c>
      <c r="L1237" s="5">
        <v>126.4</v>
      </c>
      <c r="M1237" s="5">
        <v>7933.1850753644676</v>
      </c>
      <c r="N1237" s="5">
        <v>8.256880733944957</v>
      </c>
      <c r="O1237" s="5">
        <v>10.900000000000006</v>
      </c>
      <c r="P1237" s="5">
        <v>684.11168766987885</v>
      </c>
      <c r="Q1237" s="5">
        <v>8.6234177215189867</v>
      </c>
    </row>
    <row r="1238" spans="1:17" x14ac:dyDescent="0.2">
      <c r="A1238" s="4" t="s">
        <v>91</v>
      </c>
      <c r="B1238" s="4">
        <v>2015</v>
      </c>
      <c r="C1238" s="4" t="s">
        <v>64</v>
      </c>
      <c r="D1238" s="4">
        <v>1</v>
      </c>
      <c r="E1238" s="4">
        <v>8</v>
      </c>
      <c r="F1238" s="4">
        <v>2</v>
      </c>
      <c r="G1238" s="6" t="str">
        <f t="shared" si="50"/>
        <v>82</v>
      </c>
      <c r="H1238" s="5">
        <v>18</v>
      </c>
      <c r="I1238" s="5">
        <v>220.02137446759525</v>
      </c>
      <c r="J1238" s="5">
        <v>13809.100349584678</v>
      </c>
      <c r="K1238" s="5">
        <v>30</v>
      </c>
      <c r="L1238" s="5">
        <v>195.3</v>
      </c>
      <c r="M1238" s="5">
        <v>12257.52409191994</v>
      </c>
      <c r="N1238" s="5">
        <v>40</v>
      </c>
      <c r="O1238" s="5">
        <v>24.72137446759524</v>
      </c>
      <c r="P1238" s="5">
        <v>1551.5762576647376</v>
      </c>
      <c r="Q1238" s="5">
        <v>12.658153849255118</v>
      </c>
    </row>
    <row r="1239" spans="1:17" x14ac:dyDescent="0.2">
      <c r="A1239" s="4" t="s">
        <v>91</v>
      </c>
      <c r="B1239" s="4">
        <v>2015</v>
      </c>
      <c r="C1239" s="4" t="s">
        <v>64</v>
      </c>
      <c r="D1239" s="4">
        <v>2</v>
      </c>
      <c r="E1239" s="4">
        <v>8</v>
      </c>
      <c r="F1239" s="4">
        <v>2</v>
      </c>
      <c r="G1239" s="6" t="str">
        <f t="shared" si="50"/>
        <v>82</v>
      </c>
      <c r="H1239" s="5">
        <v>30</v>
      </c>
      <c r="I1239" s="5">
        <v>196.73956486704267</v>
      </c>
      <c r="J1239" s="5">
        <v>12347.874839690841</v>
      </c>
      <c r="K1239" s="5">
        <v>30</v>
      </c>
      <c r="L1239" s="5">
        <v>195.3</v>
      </c>
      <c r="M1239" s="5">
        <v>12257.52409191994</v>
      </c>
      <c r="N1239" s="5">
        <v>0</v>
      </c>
      <c r="O1239" s="5">
        <v>1.4395648670426624</v>
      </c>
      <c r="P1239" s="5">
        <v>90.350747770900853</v>
      </c>
      <c r="Q1239" s="5">
        <v>0.73710438660658495</v>
      </c>
    </row>
    <row r="1240" spans="1:17" x14ac:dyDescent="0.2">
      <c r="A1240" s="4" t="s">
        <v>91</v>
      </c>
      <c r="B1240" s="4">
        <v>2015</v>
      </c>
      <c r="C1240" s="4" t="s">
        <v>64</v>
      </c>
      <c r="D1240" s="4">
        <v>3</v>
      </c>
      <c r="E1240" s="4">
        <v>8</v>
      </c>
      <c r="F1240" s="4">
        <v>2</v>
      </c>
      <c r="G1240" s="6" t="str">
        <f t="shared" si="50"/>
        <v>82</v>
      </c>
      <c r="H1240" s="5">
        <v>40</v>
      </c>
      <c r="I1240" s="5">
        <v>195.78683089674226</v>
      </c>
      <c r="J1240" s="5">
        <v>12288.078835624545</v>
      </c>
      <c r="K1240" s="5">
        <v>30</v>
      </c>
      <c r="L1240" s="5">
        <v>195.3</v>
      </c>
      <c r="M1240" s="5">
        <v>12257.52409191994</v>
      </c>
      <c r="N1240" s="5">
        <v>-33.333333333333329</v>
      </c>
      <c r="O1240" s="5">
        <v>0.48683089674224789</v>
      </c>
      <c r="P1240" s="5">
        <v>30.554743704604334</v>
      </c>
      <c r="Q1240" s="5">
        <v>0.24927337262788471</v>
      </c>
    </row>
    <row r="1241" spans="1:17" x14ac:dyDescent="0.2">
      <c r="A1241" s="4" t="s">
        <v>91</v>
      </c>
      <c r="B1241" s="4">
        <v>2015</v>
      </c>
      <c r="C1241" s="4" t="s">
        <v>64</v>
      </c>
      <c r="D1241" s="4">
        <v>4</v>
      </c>
      <c r="E1241" s="4">
        <v>8</v>
      </c>
      <c r="F1241" s="4">
        <v>2</v>
      </c>
      <c r="G1241" s="6" t="str">
        <f t="shared" si="50"/>
        <v>82</v>
      </c>
      <c r="H1241" s="5">
        <v>25</v>
      </c>
      <c r="I1241" s="5">
        <v>195.89526706573037</v>
      </c>
      <c r="J1241" s="5">
        <v>12294.884565034719</v>
      </c>
      <c r="K1241" s="5">
        <v>30</v>
      </c>
      <c r="L1241" s="5">
        <v>195.3</v>
      </c>
      <c r="M1241" s="5">
        <v>12257.52409191994</v>
      </c>
      <c r="N1241" s="5">
        <v>16.666666666666664</v>
      </c>
      <c r="O1241" s="5">
        <v>0.59526706573035426</v>
      </c>
      <c r="P1241" s="5">
        <v>37.36047311477887</v>
      </c>
      <c r="Q1241" s="5">
        <v>0.30479624461359689</v>
      </c>
    </row>
    <row r="1242" spans="1:17" x14ac:dyDescent="0.2">
      <c r="A1242" s="4" t="s">
        <v>91</v>
      </c>
      <c r="B1242" s="4">
        <v>2015</v>
      </c>
      <c r="C1242" s="4" t="s">
        <v>64</v>
      </c>
      <c r="D1242" s="4">
        <v>5</v>
      </c>
      <c r="E1242" s="4">
        <v>8</v>
      </c>
      <c r="F1242" s="4">
        <v>2</v>
      </c>
      <c r="G1242" s="6" t="str">
        <f t="shared" si="50"/>
        <v>82</v>
      </c>
      <c r="H1242" s="5">
        <v>20</v>
      </c>
      <c r="I1242" s="5">
        <v>211.75390008058014</v>
      </c>
      <c r="J1242" s="5">
        <v>13290.21265640409</v>
      </c>
      <c r="K1242" s="5">
        <v>30</v>
      </c>
      <c r="L1242" s="5">
        <v>195.3</v>
      </c>
      <c r="M1242" s="5">
        <v>12257.52409191994</v>
      </c>
      <c r="N1242" s="5">
        <v>33.333333333333329</v>
      </c>
      <c r="O1242" s="5">
        <v>16.453900080580127</v>
      </c>
      <c r="P1242" s="5">
        <v>1032.6885644841495</v>
      </c>
      <c r="Q1242" s="5">
        <v>8.4249360371634054</v>
      </c>
    </row>
    <row r="1243" spans="1:17" x14ac:dyDescent="0.2">
      <c r="A1243" s="4" t="s">
        <v>91</v>
      </c>
      <c r="B1243" s="4">
        <v>2015</v>
      </c>
      <c r="C1243" s="4" t="s">
        <v>64</v>
      </c>
      <c r="D1243" s="4">
        <v>6</v>
      </c>
      <c r="E1243" s="4">
        <v>8</v>
      </c>
      <c r="F1243" s="4">
        <v>2</v>
      </c>
      <c r="G1243" s="6" t="str">
        <f t="shared" si="50"/>
        <v>82</v>
      </c>
      <c r="H1243" s="5">
        <v>18</v>
      </c>
      <c r="I1243" s="5">
        <v>216.15716069989639</v>
      </c>
      <c r="J1243" s="5">
        <v>13566.572477828931</v>
      </c>
      <c r="K1243" s="5">
        <v>30</v>
      </c>
      <c r="L1243" s="5">
        <v>195.3</v>
      </c>
      <c r="M1243" s="5">
        <v>12257.52409191994</v>
      </c>
      <c r="N1243" s="5">
        <v>40</v>
      </c>
      <c r="O1243" s="5">
        <v>20.857160699896383</v>
      </c>
      <c r="P1243" s="5">
        <v>1309.0483859089909</v>
      </c>
      <c r="Q1243" s="5">
        <v>10.679549769532208</v>
      </c>
    </row>
    <row r="1244" spans="1:17" x14ac:dyDescent="0.2">
      <c r="A1244" s="4" t="s">
        <v>65</v>
      </c>
      <c r="B1244" s="4">
        <v>2015</v>
      </c>
      <c r="C1244" s="4" t="s">
        <v>64</v>
      </c>
      <c r="D1244" s="4">
        <v>1</v>
      </c>
      <c r="E1244" s="4">
        <v>9</v>
      </c>
      <c r="F1244" s="4">
        <v>2</v>
      </c>
      <c r="G1244" s="6" t="str">
        <f t="shared" si="50"/>
        <v>92</v>
      </c>
      <c r="H1244" s="5">
        <v>2</v>
      </c>
      <c r="I1244" s="5">
        <v>245.78462500000001</v>
      </c>
      <c r="J1244" s="5">
        <v>15426.06739560168</v>
      </c>
      <c r="K1244" s="5">
        <v>7</v>
      </c>
      <c r="L1244" s="5">
        <v>216.3</v>
      </c>
      <c r="M1244" s="5">
        <v>13575.537435137139</v>
      </c>
      <c r="N1244" s="5">
        <v>71.428571428571431</v>
      </c>
      <c r="O1244" s="5">
        <v>29.484624999999994</v>
      </c>
      <c r="P1244" s="5">
        <v>1850.5299604645406</v>
      </c>
      <c r="Q1244" s="5">
        <v>13.631356911696709</v>
      </c>
    </row>
    <row r="1245" spans="1:17" x14ac:dyDescent="0.2">
      <c r="A1245" s="4" t="s">
        <v>65</v>
      </c>
      <c r="B1245" s="4">
        <v>2015</v>
      </c>
      <c r="C1245" s="4" t="s">
        <v>64</v>
      </c>
      <c r="D1245" s="4">
        <v>2</v>
      </c>
      <c r="E1245" s="4">
        <v>9</v>
      </c>
      <c r="F1245" s="4">
        <v>2</v>
      </c>
      <c r="G1245" s="6" t="str">
        <f t="shared" si="50"/>
        <v>92</v>
      </c>
      <c r="H1245" s="5">
        <v>1</v>
      </c>
      <c r="I1245" s="5">
        <v>223.47948198863639</v>
      </c>
      <c r="J1245" s="5">
        <v>14026.139961728106</v>
      </c>
      <c r="K1245" s="5">
        <v>7</v>
      </c>
      <c r="L1245" s="5">
        <v>216.3</v>
      </c>
      <c r="M1245" s="5">
        <v>13575.537435137139</v>
      </c>
      <c r="N1245" s="5">
        <v>85.714285714285708</v>
      </c>
      <c r="O1245" s="5">
        <v>7.1794819886363825</v>
      </c>
      <c r="P1245" s="5">
        <v>450.60252659096659</v>
      </c>
      <c r="Q1245" s="5">
        <v>3.3192242203589384</v>
      </c>
    </row>
    <row r="1246" spans="1:17" x14ac:dyDescent="0.2">
      <c r="A1246" s="4" t="s">
        <v>65</v>
      </c>
      <c r="B1246" s="4">
        <v>2015</v>
      </c>
      <c r="C1246" s="4" t="s">
        <v>64</v>
      </c>
      <c r="D1246" s="4">
        <v>3</v>
      </c>
      <c r="E1246" s="4">
        <v>9</v>
      </c>
      <c r="F1246" s="4">
        <v>2</v>
      </c>
      <c r="G1246" s="6" t="str">
        <f t="shared" si="50"/>
        <v>92</v>
      </c>
      <c r="H1246" s="5">
        <v>2</v>
      </c>
      <c r="I1246" s="5">
        <v>218.600611155303</v>
      </c>
      <c r="J1246" s="5">
        <v>13719.929635148743</v>
      </c>
      <c r="K1246" s="5">
        <v>7</v>
      </c>
      <c r="L1246" s="5">
        <v>216.3</v>
      </c>
      <c r="M1246" s="5">
        <v>13575.537435137139</v>
      </c>
      <c r="N1246" s="5">
        <v>71.428571428571431</v>
      </c>
      <c r="O1246" s="5">
        <v>2.3006111553029882</v>
      </c>
      <c r="P1246" s="5">
        <v>144.39220001160356</v>
      </c>
      <c r="Q1246" s="5">
        <v>1.0636205063814104</v>
      </c>
    </row>
    <row r="1247" spans="1:17" x14ac:dyDescent="0.2">
      <c r="A1247" s="4" t="s">
        <v>65</v>
      </c>
      <c r="B1247" s="4">
        <v>2015</v>
      </c>
      <c r="C1247" s="4" t="s">
        <v>64</v>
      </c>
      <c r="D1247" s="4">
        <v>4</v>
      </c>
      <c r="E1247" s="4">
        <v>9</v>
      </c>
      <c r="F1247" s="4">
        <v>2</v>
      </c>
      <c r="G1247" s="6" t="str">
        <f t="shared" si="50"/>
        <v>92</v>
      </c>
      <c r="H1247" s="5">
        <v>3</v>
      </c>
      <c r="I1247" s="5">
        <v>241.82462212121209</v>
      </c>
      <c r="J1247" s="5">
        <v>15177.527555914967</v>
      </c>
      <c r="K1247" s="5">
        <v>7</v>
      </c>
      <c r="L1247" s="5">
        <v>216.3</v>
      </c>
      <c r="M1247" s="5">
        <v>13575.537435137139</v>
      </c>
      <c r="N1247" s="5">
        <v>57.142857142857139</v>
      </c>
      <c r="O1247" s="5">
        <v>25.524622121212076</v>
      </c>
      <c r="P1247" s="5">
        <v>1601.9901207778275</v>
      </c>
      <c r="Q1247" s="5">
        <v>11.80056501211839</v>
      </c>
    </row>
    <row r="1248" spans="1:17" x14ac:dyDescent="0.2">
      <c r="A1248" s="4" t="s">
        <v>94</v>
      </c>
      <c r="B1248" s="4">
        <v>2015</v>
      </c>
      <c r="C1248" s="4" t="s">
        <v>64</v>
      </c>
      <c r="D1248" s="4">
        <v>1</v>
      </c>
      <c r="E1248" s="4">
        <v>9</v>
      </c>
      <c r="F1248" s="4">
        <v>2</v>
      </c>
      <c r="G1248" s="6" t="str">
        <f t="shared" si="50"/>
        <v>92</v>
      </c>
      <c r="H1248" s="5">
        <v>2</v>
      </c>
      <c r="I1248" s="5">
        <v>129.30000000000001</v>
      </c>
      <c r="J1248" s="5">
        <v>8115.1964418087482</v>
      </c>
      <c r="K1248" s="5">
        <v>10.9</v>
      </c>
      <c r="L1248" s="5">
        <v>126.4</v>
      </c>
      <c r="M1248" s="5">
        <v>7933.1850753644676</v>
      </c>
      <c r="N1248" s="5">
        <v>81.651376146788991</v>
      </c>
      <c r="O1248" s="5">
        <v>2.9000000000000057</v>
      </c>
      <c r="P1248" s="5">
        <v>182.01136644428061</v>
      </c>
      <c r="Q1248" s="5">
        <v>2.2943037974683658</v>
      </c>
    </row>
    <row r="1249" spans="1:17" x14ac:dyDescent="0.2">
      <c r="A1249" s="4" t="s">
        <v>94</v>
      </c>
      <c r="B1249" s="4">
        <v>2015</v>
      </c>
      <c r="C1249" s="4" t="s">
        <v>64</v>
      </c>
      <c r="D1249" s="4">
        <v>2</v>
      </c>
      <c r="E1249" s="4">
        <v>9</v>
      </c>
      <c r="F1249" s="4">
        <v>2</v>
      </c>
      <c r="G1249" s="6" t="str">
        <f t="shared" si="50"/>
        <v>92</v>
      </c>
      <c r="H1249" s="5">
        <v>5</v>
      </c>
      <c r="I1249" s="5">
        <v>132.9</v>
      </c>
      <c r="J1249" s="5">
        <v>8341.141586360267</v>
      </c>
      <c r="K1249" s="5">
        <v>10.9</v>
      </c>
      <c r="L1249" s="5">
        <v>126.4</v>
      </c>
      <c r="M1249" s="5">
        <v>7933.1850753644676</v>
      </c>
      <c r="N1249" s="5">
        <v>54.128440366972477</v>
      </c>
      <c r="O1249" s="5">
        <v>6.5</v>
      </c>
      <c r="P1249" s="5">
        <v>407.95651099579936</v>
      </c>
      <c r="Q1249" s="5">
        <v>5.1424050632911396</v>
      </c>
    </row>
    <row r="1250" spans="1:17" x14ac:dyDescent="0.2">
      <c r="A1250" s="4" t="s">
        <v>94</v>
      </c>
      <c r="B1250" s="4">
        <v>2015</v>
      </c>
      <c r="C1250" s="4" t="s">
        <v>64</v>
      </c>
      <c r="D1250" s="4">
        <v>3</v>
      </c>
      <c r="E1250" s="4">
        <v>9</v>
      </c>
      <c r="F1250" s="4">
        <v>2</v>
      </c>
      <c r="G1250" s="6" t="str">
        <f t="shared" si="50"/>
        <v>92</v>
      </c>
      <c r="H1250" s="5">
        <v>3</v>
      </c>
      <c r="I1250" s="5">
        <v>131.19999999999999</v>
      </c>
      <c r="J1250" s="5">
        <v>8234.4452680998256</v>
      </c>
      <c r="K1250" s="5">
        <v>10.9</v>
      </c>
      <c r="L1250" s="5">
        <v>126.4</v>
      </c>
      <c r="M1250" s="5">
        <v>7933.1850753644676</v>
      </c>
      <c r="N1250" s="5">
        <v>72.477064220183479</v>
      </c>
      <c r="O1250" s="5">
        <v>4.7999999999999829</v>
      </c>
      <c r="P1250" s="5">
        <v>301.26019273535803</v>
      </c>
      <c r="Q1250" s="5">
        <v>3.7974683544303609</v>
      </c>
    </row>
    <row r="1251" spans="1:17" x14ac:dyDescent="0.2">
      <c r="A1251" s="4" t="s">
        <v>94</v>
      </c>
      <c r="B1251" s="4">
        <v>2015</v>
      </c>
      <c r="C1251" s="4" t="s">
        <v>64</v>
      </c>
      <c r="D1251" s="4">
        <v>4</v>
      </c>
      <c r="E1251" s="4">
        <v>9</v>
      </c>
      <c r="F1251" s="4">
        <v>2</v>
      </c>
      <c r="G1251" s="6" t="str">
        <f t="shared" si="50"/>
        <v>92</v>
      </c>
      <c r="H1251" s="5">
        <v>12</v>
      </c>
      <c r="I1251" s="5">
        <v>127.3</v>
      </c>
      <c r="J1251" s="5">
        <v>7989.6713615023473</v>
      </c>
      <c r="K1251" s="5">
        <v>10.9</v>
      </c>
      <c r="L1251" s="5">
        <v>126.4</v>
      </c>
      <c r="M1251" s="5">
        <v>7933.1850753644676</v>
      </c>
      <c r="N1251" s="5">
        <v>-10.091743119266052</v>
      </c>
      <c r="O1251" s="5">
        <v>0.89999999999999147</v>
      </c>
      <c r="P1251" s="5">
        <v>56.486286137879688</v>
      </c>
      <c r="Q1251" s="5">
        <v>0.71202531645569345</v>
      </c>
    </row>
    <row r="1252" spans="1:17" x14ac:dyDescent="0.2">
      <c r="A1252" s="4" t="s">
        <v>91</v>
      </c>
      <c r="B1252" s="4">
        <v>2015</v>
      </c>
      <c r="C1252" s="4" t="s">
        <v>64</v>
      </c>
      <c r="D1252" s="4">
        <v>1</v>
      </c>
      <c r="E1252" s="4">
        <v>9</v>
      </c>
      <c r="F1252" s="4">
        <v>2</v>
      </c>
      <c r="G1252" s="6" t="str">
        <f t="shared" si="50"/>
        <v>92</v>
      </c>
      <c r="H1252" s="5">
        <v>18</v>
      </c>
      <c r="I1252" s="5">
        <v>216.16029469321973</v>
      </c>
      <c r="J1252" s="5">
        <v>13566.769175210726</v>
      </c>
      <c r="K1252" s="5">
        <v>30</v>
      </c>
      <c r="L1252" s="5">
        <v>195.3</v>
      </c>
      <c r="M1252" s="5">
        <v>12257.52409191994</v>
      </c>
      <c r="N1252" s="5">
        <v>40</v>
      </c>
      <c r="O1252" s="5">
        <v>20.860294693219714</v>
      </c>
      <c r="P1252" s="5">
        <v>1309.2450832907853</v>
      </c>
      <c r="Q1252" s="5">
        <v>10.68115447681501</v>
      </c>
    </row>
    <row r="1253" spans="1:17" x14ac:dyDescent="0.2">
      <c r="A1253" s="4" t="s">
        <v>91</v>
      </c>
      <c r="B1253" s="4">
        <v>2015</v>
      </c>
      <c r="C1253" s="4" t="s">
        <v>64</v>
      </c>
      <c r="D1253" s="4">
        <v>2</v>
      </c>
      <c r="E1253" s="4">
        <v>9</v>
      </c>
      <c r="F1253" s="4">
        <v>2</v>
      </c>
      <c r="G1253" s="6" t="str">
        <f t="shared" si="50"/>
        <v>92</v>
      </c>
      <c r="H1253" s="5">
        <v>12</v>
      </c>
      <c r="I1253" s="5">
        <v>205.82626510878322</v>
      </c>
      <c r="J1253" s="5">
        <v>12918.179228473175</v>
      </c>
      <c r="K1253" s="5">
        <v>30</v>
      </c>
      <c r="L1253" s="5">
        <v>195.3</v>
      </c>
      <c r="M1253" s="5">
        <v>12257.52409191994</v>
      </c>
      <c r="N1253" s="5">
        <v>60</v>
      </c>
      <c r="O1253" s="5">
        <v>10.526265108783207</v>
      </c>
      <c r="P1253" s="5">
        <v>660.65513655323412</v>
      </c>
      <c r="Q1253" s="5">
        <v>5.389792682428685</v>
      </c>
    </row>
    <row r="1254" spans="1:17" x14ac:dyDescent="0.2">
      <c r="A1254" s="4" t="s">
        <v>91</v>
      </c>
      <c r="B1254" s="4">
        <v>2015</v>
      </c>
      <c r="C1254" s="4" t="s">
        <v>64</v>
      </c>
      <c r="D1254" s="4">
        <v>3</v>
      </c>
      <c r="E1254" s="4">
        <v>9</v>
      </c>
      <c r="F1254" s="4">
        <v>2</v>
      </c>
      <c r="G1254" s="6" t="str">
        <f t="shared" si="50"/>
        <v>92</v>
      </c>
      <c r="H1254" s="5">
        <v>12</v>
      </c>
      <c r="I1254" s="5">
        <v>189.53075342465752</v>
      </c>
      <c r="J1254" s="5">
        <v>11895.431522081297</v>
      </c>
      <c r="K1254" s="5">
        <v>30</v>
      </c>
      <c r="L1254" s="5">
        <v>195.3</v>
      </c>
      <c r="M1254" s="5">
        <v>12257.52409191994</v>
      </c>
      <c r="N1254" s="5">
        <v>60</v>
      </c>
      <c r="O1254" s="5">
        <v>-5.7692465753424926</v>
      </c>
      <c r="P1254" s="5">
        <v>-362.09256983864361</v>
      </c>
      <c r="Q1254" s="5">
        <v>-2.9540433053468935</v>
      </c>
    </row>
    <row r="1255" spans="1:17" x14ac:dyDescent="0.2">
      <c r="A1255" s="4" t="s">
        <v>91</v>
      </c>
      <c r="B1255" s="4">
        <v>2015</v>
      </c>
      <c r="C1255" s="4" t="s">
        <v>64</v>
      </c>
      <c r="D1255" s="4">
        <v>4</v>
      </c>
      <c r="E1255" s="4">
        <v>9</v>
      </c>
      <c r="F1255" s="4">
        <v>2</v>
      </c>
      <c r="G1255" s="6" t="str">
        <f t="shared" si="50"/>
        <v>92</v>
      </c>
      <c r="H1255" s="5">
        <v>15</v>
      </c>
      <c r="I1255" s="5">
        <v>213.30710717163572</v>
      </c>
      <c r="J1255" s="5">
        <v>13387.695878822702</v>
      </c>
      <c r="K1255" s="5">
        <v>30</v>
      </c>
      <c r="L1255" s="5">
        <v>195.3</v>
      </c>
      <c r="M1255" s="5">
        <v>12257.52409191994</v>
      </c>
      <c r="N1255" s="5">
        <v>50</v>
      </c>
      <c r="O1255" s="5">
        <v>18.00710717163571</v>
      </c>
      <c r="P1255" s="5">
        <v>1130.1717869027616</v>
      </c>
      <c r="Q1255" s="5">
        <v>9.2202289665313533</v>
      </c>
    </row>
    <row r="1256" spans="1:17" x14ac:dyDescent="0.2">
      <c r="A1256" s="4" t="s">
        <v>91</v>
      </c>
      <c r="B1256" s="4">
        <v>2015</v>
      </c>
      <c r="C1256" s="4" t="s">
        <v>64</v>
      </c>
      <c r="D1256" s="4">
        <v>5</v>
      </c>
      <c r="E1256" s="4">
        <v>9</v>
      </c>
      <c r="F1256" s="4">
        <v>2</v>
      </c>
      <c r="G1256" s="6" t="str">
        <f t="shared" si="50"/>
        <v>92</v>
      </c>
      <c r="H1256" s="5">
        <v>25</v>
      </c>
      <c r="I1256" s="5">
        <v>190.75739841141936</v>
      </c>
      <c r="J1256" s="5">
        <v>11972.418877316659</v>
      </c>
      <c r="K1256" s="5">
        <v>30</v>
      </c>
      <c r="L1256" s="5">
        <v>195.3</v>
      </c>
      <c r="M1256" s="5">
        <v>12257.52409191994</v>
      </c>
      <c r="N1256" s="5">
        <v>16.666666666666664</v>
      </c>
      <c r="O1256" s="5">
        <v>-4.5426015885806521</v>
      </c>
      <c r="P1256" s="5">
        <v>-285.10521460328164</v>
      </c>
      <c r="Q1256" s="5">
        <v>-2.3259608748492746</v>
      </c>
    </row>
    <row r="1257" spans="1:17" x14ac:dyDescent="0.2">
      <c r="A1257" s="4" t="s">
        <v>91</v>
      </c>
      <c r="B1257" s="4">
        <v>2015</v>
      </c>
      <c r="C1257" s="4" t="s">
        <v>64</v>
      </c>
      <c r="D1257" s="4">
        <v>6</v>
      </c>
      <c r="E1257" s="4">
        <v>9</v>
      </c>
      <c r="F1257" s="4">
        <v>2</v>
      </c>
      <c r="G1257" s="6" t="str">
        <f t="shared" si="50"/>
        <v>92</v>
      </c>
      <c r="H1257" s="5">
        <v>18</v>
      </c>
      <c r="I1257" s="5">
        <v>203.71646080349944</v>
      </c>
      <c r="J1257" s="5">
        <v>12785.762551047408</v>
      </c>
      <c r="K1257" s="5">
        <v>30</v>
      </c>
      <c r="L1257" s="5">
        <v>195.3</v>
      </c>
      <c r="M1257" s="5">
        <v>12257.52409191994</v>
      </c>
      <c r="N1257" s="5">
        <v>40</v>
      </c>
      <c r="O1257" s="5">
        <v>8.416460803499433</v>
      </c>
      <c r="P1257" s="5">
        <v>528.23845912746765</v>
      </c>
      <c r="Q1257" s="5">
        <v>4.309503739631058</v>
      </c>
    </row>
    <row r="1258" spans="1:17" x14ac:dyDescent="0.2">
      <c r="A1258" s="4" t="s">
        <v>65</v>
      </c>
      <c r="B1258" s="4">
        <v>2015</v>
      </c>
      <c r="C1258" s="4" t="s">
        <v>64</v>
      </c>
      <c r="D1258" s="4">
        <v>1</v>
      </c>
      <c r="E1258" s="4">
        <v>11</v>
      </c>
      <c r="F1258" s="4">
        <v>2</v>
      </c>
      <c r="G1258" s="6" t="str">
        <f t="shared" si="50"/>
        <v>112</v>
      </c>
      <c r="H1258" s="5">
        <v>4</v>
      </c>
      <c r="I1258" s="5">
        <v>251.96208722537875</v>
      </c>
      <c r="J1258" s="5">
        <v>15813.78061656689</v>
      </c>
      <c r="K1258" s="5">
        <v>7</v>
      </c>
      <c r="L1258" s="5">
        <v>216.3</v>
      </c>
      <c r="M1258" s="5">
        <v>13575.537435137139</v>
      </c>
      <c r="N1258" s="5">
        <v>42.857142857142854</v>
      </c>
      <c r="O1258" s="5">
        <v>35.662087225378741</v>
      </c>
      <c r="P1258" s="5">
        <v>2238.2431814297506</v>
      </c>
      <c r="Q1258" s="5">
        <v>16.487326502717863</v>
      </c>
    </row>
    <row r="1259" spans="1:17" x14ac:dyDescent="0.2">
      <c r="A1259" s="4" t="s">
        <v>65</v>
      </c>
      <c r="B1259" s="4">
        <v>2015</v>
      </c>
      <c r="C1259" s="4" t="s">
        <v>64</v>
      </c>
      <c r="D1259" s="4">
        <v>2</v>
      </c>
      <c r="E1259" s="4">
        <v>11</v>
      </c>
      <c r="F1259" s="4">
        <v>2</v>
      </c>
      <c r="G1259" s="6" t="str">
        <f t="shared" si="50"/>
        <v>112</v>
      </c>
      <c r="H1259" s="5">
        <v>3</v>
      </c>
      <c r="I1259" s="5">
        <v>254.51638113636366</v>
      </c>
      <c r="J1259" s="5">
        <v>15974.094590718154</v>
      </c>
      <c r="K1259" s="5">
        <v>7</v>
      </c>
      <c r="L1259" s="5">
        <v>216.3</v>
      </c>
      <c r="M1259" s="5">
        <v>13575.537435137139</v>
      </c>
      <c r="N1259" s="5">
        <v>57.142857142857139</v>
      </c>
      <c r="O1259" s="5">
        <v>38.216381136363651</v>
      </c>
      <c r="P1259" s="5">
        <v>2398.5571555810147</v>
      </c>
      <c r="Q1259" s="5">
        <v>17.668229836506541</v>
      </c>
    </row>
    <row r="1260" spans="1:17" x14ac:dyDescent="0.2">
      <c r="A1260" s="4" t="s">
        <v>65</v>
      </c>
      <c r="B1260" s="4">
        <v>2015</v>
      </c>
      <c r="C1260" s="4" t="s">
        <v>64</v>
      </c>
      <c r="D1260" s="4">
        <v>3</v>
      </c>
      <c r="E1260" s="4">
        <v>11</v>
      </c>
      <c r="F1260" s="4">
        <v>2</v>
      </c>
      <c r="G1260" s="6" t="str">
        <f t="shared" si="50"/>
        <v>112</v>
      </c>
      <c r="H1260" s="5">
        <v>2</v>
      </c>
      <c r="I1260" s="5">
        <v>217.55705164772729</v>
      </c>
      <c r="J1260" s="5">
        <v>13654.433189652269</v>
      </c>
      <c r="K1260" s="5">
        <v>7</v>
      </c>
      <c r="L1260" s="5">
        <v>216.3</v>
      </c>
      <c r="M1260" s="5">
        <v>13575.537435137139</v>
      </c>
      <c r="N1260" s="5">
        <v>71.428571428571431</v>
      </c>
      <c r="O1260" s="5">
        <v>1.2570516477272804</v>
      </c>
      <c r="P1260" s="5">
        <v>78.895754515129738</v>
      </c>
      <c r="Q1260" s="5">
        <v>0.58116118711386211</v>
      </c>
    </row>
    <row r="1261" spans="1:17" x14ac:dyDescent="0.2">
      <c r="A1261" s="4" t="s">
        <v>65</v>
      </c>
      <c r="B1261" s="4">
        <v>2015</v>
      </c>
      <c r="C1261" s="4" t="s">
        <v>64</v>
      </c>
      <c r="D1261" s="4">
        <v>4</v>
      </c>
      <c r="E1261" s="4">
        <v>11</v>
      </c>
      <c r="F1261" s="4">
        <v>2</v>
      </c>
      <c r="G1261" s="6" t="str">
        <f t="shared" si="50"/>
        <v>112</v>
      </c>
      <c r="H1261" s="5">
        <v>2</v>
      </c>
      <c r="I1261" s="5">
        <v>220.62810417613636</v>
      </c>
      <c r="J1261" s="5">
        <v>13847.18024727913</v>
      </c>
      <c r="K1261" s="5">
        <v>7</v>
      </c>
      <c r="L1261" s="5">
        <v>216.3</v>
      </c>
      <c r="M1261" s="5">
        <v>13575.537435137139</v>
      </c>
      <c r="N1261" s="5">
        <v>71.428571428571431</v>
      </c>
      <c r="O1261" s="5">
        <v>4.3281041761363497</v>
      </c>
      <c r="P1261" s="5">
        <v>271.64281214199036</v>
      </c>
      <c r="Q1261" s="5">
        <v>2.0009728045013211</v>
      </c>
    </row>
    <row r="1262" spans="1:17" x14ac:dyDescent="0.2">
      <c r="A1262" s="4" t="s">
        <v>94</v>
      </c>
      <c r="B1262" s="4">
        <v>2015</v>
      </c>
      <c r="C1262" s="4" t="s">
        <v>64</v>
      </c>
      <c r="D1262" s="4">
        <v>1</v>
      </c>
      <c r="E1262" s="4">
        <v>11</v>
      </c>
      <c r="F1262" s="4">
        <v>2</v>
      </c>
      <c r="G1262" s="6" t="str">
        <f t="shared" si="50"/>
        <v>112</v>
      </c>
      <c r="H1262" s="5">
        <v>3</v>
      </c>
      <c r="I1262" s="5">
        <v>135</v>
      </c>
      <c r="J1262" s="5">
        <v>8472.9429206819859</v>
      </c>
      <c r="K1262" s="5">
        <v>10.9</v>
      </c>
      <c r="L1262" s="5">
        <v>126.4</v>
      </c>
      <c r="M1262" s="5">
        <v>7933.1850753644676</v>
      </c>
      <c r="N1262" s="5">
        <v>72.477064220183479</v>
      </c>
      <c r="O1262" s="5">
        <v>8.5999999999999943</v>
      </c>
      <c r="P1262" s="5">
        <v>539.75784531751833</v>
      </c>
      <c r="Q1262" s="5">
        <v>6.8037974683544196</v>
      </c>
    </row>
    <row r="1263" spans="1:17" x14ac:dyDescent="0.2">
      <c r="A1263" s="4" t="s">
        <v>94</v>
      </c>
      <c r="B1263" s="4">
        <v>2015</v>
      </c>
      <c r="C1263" s="4" t="s">
        <v>64</v>
      </c>
      <c r="D1263" s="4">
        <v>2</v>
      </c>
      <c r="E1263" s="4">
        <v>11</v>
      </c>
      <c r="F1263" s="4">
        <v>2</v>
      </c>
      <c r="G1263" s="6" t="str">
        <f t="shared" si="50"/>
        <v>112</v>
      </c>
      <c r="H1263" s="5">
        <v>5</v>
      </c>
      <c r="I1263" s="5">
        <v>129.80000000000001</v>
      </c>
      <c r="J1263" s="5">
        <v>8146.5777118853475</v>
      </c>
      <c r="K1263" s="5">
        <v>10.9</v>
      </c>
      <c r="L1263" s="5">
        <v>126.4</v>
      </c>
      <c r="M1263" s="5">
        <v>7933.1850753644676</v>
      </c>
      <c r="N1263" s="5">
        <v>54.128440366972477</v>
      </c>
      <c r="O1263" s="5">
        <v>3.4000000000000057</v>
      </c>
      <c r="P1263" s="5">
        <v>213.39263652087993</v>
      </c>
      <c r="Q1263" s="5">
        <v>2.6898734177215222</v>
      </c>
    </row>
    <row r="1264" spans="1:17" x14ac:dyDescent="0.2">
      <c r="A1264" s="4" t="s">
        <v>94</v>
      </c>
      <c r="B1264" s="4">
        <v>2015</v>
      </c>
      <c r="C1264" s="4" t="s">
        <v>64</v>
      </c>
      <c r="D1264" s="4">
        <v>3</v>
      </c>
      <c r="E1264" s="4">
        <v>11</v>
      </c>
      <c r="F1264" s="4">
        <v>2</v>
      </c>
      <c r="G1264" s="6" t="str">
        <f t="shared" si="50"/>
        <v>112</v>
      </c>
      <c r="H1264" s="5">
        <v>4</v>
      </c>
      <c r="I1264" s="5">
        <v>129.9</v>
      </c>
      <c r="J1264" s="5">
        <v>8152.8539659006674</v>
      </c>
      <c r="K1264" s="5">
        <v>10.9</v>
      </c>
      <c r="L1264" s="5">
        <v>126.4</v>
      </c>
      <c r="M1264" s="5">
        <v>7933.1850753644676</v>
      </c>
      <c r="N1264" s="5">
        <v>63.302752293577981</v>
      </c>
      <c r="O1264" s="5">
        <v>3.5</v>
      </c>
      <c r="P1264" s="5">
        <v>219.6688905361998</v>
      </c>
      <c r="Q1264" s="5">
        <v>2.7689873417721538</v>
      </c>
    </row>
    <row r="1265" spans="1:17" x14ac:dyDescent="0.2">
      <c r="A1265" s="4" t="s">
        <v>94</v>
      </c>
      <c r="B1265" s="4">
        <v>2015</v>
      </c>
      <c r="C1265" s="4" t="s">
        <v>64</v>
      </c>
      <c r="D1265" s="4">
        <v>4</v>
      </c>
      <c r="E1265" s="4">
        <v>11</v>
      </c>
      <c r="F1265" s="4">
        <v>2</v>
      </c>
      <c r="G1265" s="6" t="str">
        <f t="shared" si="50"/>
        <v>112</v>
      </c>
      <c r="H1265" s="5">
        <v>3</v>
      </c>
      <c r="I1265" s="5">
        <v>133.6</v>
      </c>
      <c r="J1265" s="5">
        <v>8385.075364467506</v>
      </c>
      <c r="K1265" s="5">
        <v>10.9</v>
      </c>
      <c r="L1265" s="5">
        <v>126.4</v>
      </c>
      <c r="M1265" s="5">
        <v>7933.1850753644676</v>
      </c>
      <c r="N1265" s="5">
        <v>72.477064220183479</v>
      </c>
      <c r="O1265" s="5">
        <v>7.1999999999999886</v>
      </c>
      <c r="P1265" s="5">
        <v>451.89028910303841</v>
      </c>
      <c r="Q1265" s="5">
        <v>5.6962025316455582</v>
      </c>
    </row>
    <row r="1266" spans="1:17" x14ac:dyDescent="0.2">
      <c r="A1266" s="4" t="s">
        <v>91</v>
      </c>
      <c r="B1266" s="4">
        <v>2015</v>
      </c>
      <c r="C1266" s="4" t="s">
        <v>64</v>
      </c>
      <c r="D1266" s="4">
        <v>1</v>
      </c>
      <c r="E1266" s="4">
        <v>11</v>
      </c>
      <c r="F1266" s="4">
        <v>2</v>
      </c>
      <c r="G1266" s="6" t="str">
        <f t="shared" si="50"/>
        <v>112</v>
      </c>
      <c r="H1266" s="5">
        <v>15</v>
      </c>
      <c r="I1266" s="5">
        <v>214.59580522620004</v>
      </c>
      <c r="J1266" s="5">
        <v>13468.577842217645</v>
      </c>
      <c r="K1266" s="5">
        <v>30</v>
      </c>
      <c r="L1266" s="5">
        <v>195.3</v>
      </c>
      <c r="M1266" s="5">
        <v>12257.52409191994</v>
      </c>
      <c r="N1266" s="5">
        <v>50</v>
      </c>
      <c r="O1266" s="5">
        <v>19.295805226200031</v>
      </c>
      <c r="P1266" s="5">
        <v>1211.053750297704</v>
      </c>
      <c r="Q1266" s="5">
        <v>9.8800846012288961</v>
      </c>
    </row>
    <row r="1267" spans="1:17" x14ac:dyDescent="0.2">
      <c r="A1267" s="4" t="s">
        <v>91</v>
      </c>
      <c r="B1267" s="4">
        <v>2015</v>
      </c>
      <c r="C1267" s="4" t="s">
        <v>64</v>
      </c>
      <c r="D1267" s="4">
        <v>2</v>
      </c>
      <c r="E1267" s="4">
        <v>11</v>
      </c>
      <c r="F1267" s="4">
        <v>2</v>
      </c>
      <c r="G1267" s="6" t="str">
        <f t="shared" si="50"/>
        <v>112</v>
      </c>
      <c r="H1267" s="5">
        <v>20</v>
      </c>
      <c r="I1267" s="5">
        <v>199.81087832393229</v>
      </c>
      <c r="J1267" s="5">
        <v>12540.638273851941</v>
      </c>
      <c r="K1267" s="5">
        <v>30</v>
      </c>
      <c r="L1267" s="5">
        <v>195.3</v>
      </c>
      <c r="M1267" s="5">
        <v>12257.52409191994</v>
      </c>
      <c r="N1267" s="5">
        <v>33.333333333333329</v>
      </c>
      <c r="O1267" s="5">
        <v>4.5108783239322747</v>
      </c>
      <c r="P1267" s="5">
        <v>283.11418193200006</v>
      </c>
      <c r="Q1267" s="5">
        <v>2.3097175237748591</v>
      </c>
    </row>
    <row r="1268" spans="1:17" x14ac:dyDescent="0.2">
      <c r="A1268" s="4" t="s">
        <v>91</v>
      </c>
      <c r="B1268" s="4">
        <v>2015</v>
      </c>
      <c r="C1268" s="4" t="s">
        <v>64</v>
      </c>
      <c r="D1268" s="4">
        <v>3</v>
      </c>
      <c r="E1268" s="4">
        <v>11</v>
      </c>
      <c r="F1268" s="4">
        <v>2</v>
      </c>
      <c r="G1268" s="6" t="str">
        <f t="shared" si="50"/>
        <v>112</v>
      </c>
      <c r="H1268" s="5">
        <v>12</v>
      </c>
      <c r="I1268" s="5">
        <v>195.65896396914931</v>
      </c>
      <c r="J1268" s="5">
        <v>12280.053582447226</v>
      </c>
      <c r="K1268" s="5">
        <v>30</v>
      </c>
      <c r="L1268" s="5">
        <v>195.3</v>
      </c>
      <c r="M1268" s="5">
        <v>12257.52409191994</v>
      </c>
      <c r="N1268" s="5">
        <v>60</v>
      </c>
      <c r="O1268" s="5">
        <v>0.35896396914930051</v>
      </c>
      <c r="P1268" s="5">
        <v>22.529490527285816</v>
      </c>
      <c r="Q1268" s="5">
        <v>0.18380131548863993</v>
      </c>
    </row>
    <row r="1269" spans="1:17" x14ac:dyDescent="0.2">
      <c r="A1269" s="4" t="s">
        <v>91</v>
      </c>
      <c r="B1269" s="4">
        <v>2015</v>
      </c>
      <c r="C1269" s="4" t="s">
        <v>64</v>
      </c>
      <c r="D1269" s="4">
        <v>4</v>
      </c>
      <c r="E1269" s="4">
        <v>11</v>
      </c>
      <c r="F1269" s="4">
        <v>2</v>
      </c>
      <c r="G1269" s="6" t="str">
        <f t="shared" si="50"/>
        <v>112</v>
      </c>
      <c r="H1269" s="5">
        <v>8</v>
      </c>
      <c r="I1269" s="5">
        <v>213.04886612179115</v>
      </c>
      <c r="J1269" s="5">
        <v>13371.488014562627</v>
      </c>
      <c r="K1269" s="5">
        <v>30</v>
      </c>
      <c r="L1269" s="5">
        <v>195.3</v>
      </c>
      <c r="M1269" s="5">
        <v>12257.52409191994</v>
      </c>
      <c r="N1269" s="5">
        <v>73.333333333333329</v>
      </c>
      <c r="O1269" s="5">
        <v>17.748866121791139</v>
      </c>
      <c r="P1269" s="5">
        <v>1113.9639226426862</v>
      </c>
      <c r="Q1269" s="5">
        <v>9.0880010864265977</v>
      </c>
    </row>
    <row r="1270" spans="1:17" x14ac:dyDescent="0.2">
      <c r="A1270" s="4" t="s">
        <v>91</v>
      </c>
      <c r="B1270" s="4">
        <v>2015</v>
      </c>
      <c r="C1270" s="4" t="s">
        <v>64</v>
      </c>
      <c r="D1270" s="4">
        <v>5</v>
      </c>
      <c r="E1270" s="4">
        <v>11</v>
      </c>
      <c r="F1270" s="4">
        <v>2</v>
      </c>
      <c r="G1270" s="6" t="str">
        <f t="shared" si="50"/>
        <v>112</v>
      </c>
      <c r="H1270" s="5">
        <v>10</v>
      </c>
      <c r="I1270" s="5">
        <v>190.1193173707839</v>
      </c>
      <c r="J1270" s="5">
        <v>11932.37129038278</v>
      </c>
      <c r="K1270" s="5">
        <v>30</v>
      </c>
      <c r="L1270" s="5">
        <v>195.3</v>
      </c>
      <c r="M1270" s="5">
        <v>12257.52409191994</v>
      </c>
      <c r="N1270" s="5">
        <v>66.666666666666657</v>
      </c>
      <c r="O1270" s="5">
        <v>-5.1806826292161077</v>
      </c>
      <c r="P1270" s="5">
        <v>-325.15280153716049</v>
      </c>
      <c r="Q1270" s="5">
        <v>-2.65267927763241</v>
      </c>
    </row>
    <row r="1271" spans="1:17" x14ac:dyDescent="0.2">
      <c r="A1271" s="4" t="s">
        <v>91</v>
      </c>
      <c r="B1271" s="4">
        <v>2015</v>
      </c>
      <c r="C1271" s="4" t="s">
        <v>64</v>
      </c>
      <c r="D1271" s="4">
        <v>6</v>
      </c>
      <c r="E1271" s="4">
        <v>11</v>
      </c>
      <c r="F1271" s="4">
        <v>2</v>
      </c>
      <c r="G1271" s="6" t="str">
        <f t="shared" si="50"/>
        <v>112</v>
      </c>
      <c r="H1271" s="5">
        <v>12</v>
      </c>
      <c r="I1271" s="5">
        <v>188.32792678715322</v>
      </c>
      <c r="J1271" s="5">
        <v>11819.939066947594</v>
      </c>
      <c r="K1271" s="5">
        <v>30</v>
      </c>
      <c r="L1271" s="5">
        <v>195.3</v>
      </c>
      <c r="M1271" s="5">
        <v>12257.52409191994</v>
      </c>
      <c r="N1271" s="5">
        <v>60</v>
      </c>
      <c r="O1271" s="5">
        <v>-6.9720732128467944</v>
      </c>
      <c r="P1271" s="5">
        <v>-437.58502497234622</v>
      </c>
      <c r="Q1271" s="5">
        <v>-3.5699299604950294</v>
      </c>
    </row>
    <row r="1272" spans="1:17" x14ac:dyDescent="0.2">
      <c r="A1272" s="4" t="s">
        <v>65</v>
      </c>
      <c r="B1272" s="4">
        <v>2015</v>
      </c>
      <c r="C1272" s="4" t="s">
        <v>64</v>
      </c>
      <c r="D1272" s="4">
        <v>1</v>
      </c>
      <c r="E1272" s="4">
        <v>15</v>
      </c>
      <c r="F1272" s="4">
        <v>3</v>
      </c>
      <c r="G1272" s="6" t="str">
        <f t="shared" si="50"/>
        <v>153</v>
      </c>
      <c r="H1272" s="5">
        <v>3</v>
      </c>
      <c r="I1272" s="5">
        <v>220.3111449431818</v>
      </c>
      <c r="J1272" s="5">
        <v>13827.287080693892</v>
      </c>
      <c r="K1272" s="5">
        <v>7</v>
      </c>
      <c r="L1272" s="5">
        <v>216.3</v>
      </c>
      <c r="M1272" s="5">
        <v>13575.537435137139</v>
      </c>
      <c r="N1272" s="5">
        <v>57.142857142857139</v>
      </c>
      <c r="O1272" s="5">
        <v>4.0111449431817903</v>
      </c>
      <c r="P1272" s="5">
        <v>251.74964555675251</v>
      </c>
      <c r="Q1272" s="5">
        <v>1.854435942293944</v>
      </c>
    </row>
    <row r="1273" spans="1:17" x14ac:dyDescent="0.2">
      <c r="A1273" s="4" t="s">
        <v>65</v>
      </c>
      <c r="B1273" s="4">
        <v>2015</v>
      </c>
      <c r="C1273" s="4" t="s">
        <v>64</v>
      </c>
      <c r="D1273" s="4">
        <v>2</v>
      </c>
      <c r="E1273" s="4">
        <v>15</v>
      </c>
      <c r="F1273" s="4">
        <v>3</v>
      </c>
      <c r="G1273" s="6" t="str">
        <f t="shared" si="50"/>
        <v>153</v>
      </c>
      <c r="H1273" s="5">
        <v>3</v>
      </c>
      <c r="I1273" s="5">
        <v>223.94582002840906</v>
      </c>
      <c r="J1273" s="5">
        <v>14055.408521674302</v>
      </c>
      <c r="K1273" s="5">
        <v>7</v>
      </c>
      <c r="L1273" s="5">
        <v>216.3</v>
      </c>
      <c r="M1273" s="5">
        <v>13575.537435137139</v>
      </c>
      <c r="N1273" s="5">
        <v>57.142857142857139</v>
      </c>
      <c r="O1273" s="5">
        <v>7.6458200284090481</v>
      </c>
      <c r="P1273" s="5">
        <v>479.87108653716314</v>
      </c>
      <c r="Q1273" s="5">
        <v>3.5348220196065885</v>
      </c>
    </row>
    <row r="1274" spans="1:17" x14ac:dyDescent="0.2">
      <c r="A1274" s="4" t="s">
        <v>65</v>
      </c>
      <c r="B1274" s="4">
        <v>2015</v>
      </c>
      <c r="C1274" s="4" t="s">
        <v>64</v>
      </c>
      <c r="D1274" s="4">
        <v>3</v>
      </c>
      <c r="E1274" s="4">
        <v>15</v>
      </c>
      <c r="F1274" s="4">
        <v>3</v>
      </c>
      <c r="G1274" s="6" t="str">
        <f t="shared" si="50"/>
        <v>153</v>
      </c>
      <c r="H1274" s="5">
        <v>1</v>
      </c>
      <c r="I1274" s="5">
        <v>229.39898333333332</v>
      </c>
      <c r="J1274" s="5">
        <v>14397.662902561568</v>
      </c>
      <c r="K1274" s="5">
        <v>7</v>
      </c>
      <c r="L1274" s="5">
        <v>216.3</v>
      </c>
      <c r="M1274" s="5">
        <v>13575.537435137139</v>
      </c>
      <c r="N1274" s="5">
        <v>85.714285714285708</v>
      </c>
      <c r="O1274" s="5">
        <v>13.098983333333308</v>
      </c>
      <c r="P1274" s="5">
        <v>822.12546742442828</v>
      </c>
      <c r="Q1274" s="5">
        <v>6.0559331175835931</v>
      </c>
    </row>
    <row r="1275" spans="1:17" x14ac:dyDescent="0.2">
      <c r="A1275" s="4" t="s">
        <v>65</v>
      </c>
      <c r="B1275" s="4">
        <v>2015</v>
      </c>
      <c r="C1275" s="4" t="s">
        <v>64</v>
      </c>
      <c r="D1275" s="4">
        <v>4</v>
      </c>
      <c r="E1275" s="4">
        <v>15</v>
      </c>
      <c r="F1275" s="4">
        <v>3</v>
      </c>
      <c r="G1275" s="6" t="str">
        <f t="shared" si="50"/>
        <v>153</v>
      </c>
      <c r="H1275" s="5">
        <v>3</v>
      </c>
      <c r="I1275" s="5">
        <v>256.24741789772725</v>
      </c>
      <c r="J1275" s="5">
        <v>16082.738854959902</v>
      </c>
      <c r="K1275" s="5">
        <v>7</v>
      </c>
      <c r="L1275" s="5">
        <v>216.3</v>
      </c>
      <c r="M1275" s="5">
        <v>13575.537435137139</v>
      </c>
      <c r="N1275" s="5">
        <v>57.142857142857139</v>
      </c>
      <c r="O1275" s="5">
        <v>39.947417897727235</v>
      </c>
      <c r="P1275" s="5">
        <v>2507.2014198227625</v>
      </c>
      <c r="Q1275" s="5">
        <v>18.468524224561833</v>
      </c>
    </row>
    <row r="1276" spans="1:17" x14ac:dyDescent="0.2">
      <c r="A1276" s="4" t="s">
        <v>94</v>
      </c>
      <c r="B1276" s="4">
        <v>2015</v>
      </c>
      <c r="C1276" s="4" t="s">
        <v>64</v>
      </c>
      <c r="D1276" s="4">
        <v>1</v>
      </c>
      <c r="E1276" s="4">
        <v>15</v>
      </c>
      <c r="F1276" s="4">
        <v>3</v>
      </c>
      <c r="G1276" s="6" t="str">
        <f t="shared" si="50"/>
        <v>153</v>
      </c>
      <c r="H1276" s="5">
        <v>5</v>
      </c>
      <c r="I1276" s="5">
        <v>123.5</v>
      </c>
      <c r="J1276" s="5">
        <v>7751.1737089201879</v>
      </c>
      <c r="K1276" s="5">
        <v>10.9</v>
      </c>
      <c r="L1276" s="5">
        <v>126.4</v>
      </c>
      <c r="M1276" s="5">
        <v>7933.1850753644676</v>
      </c>
      <c r="N1276" s="5">
        <v>54.128440366972477</v>
      </c>
      <c r="O1276" s="5">
        <v>-2.9000000000000057</v>
      </c>
      <c r="P1276" s="5">
        <v>-182.0113664442797</v>
      </c>
      <c r="Q1276" s="5">
        <v>-2.2943037974683542</v>
      </c>
    </row>
    <row r="1277" spans="1:17" x14ac:dyDescent="0.2">
      <c r="A1277" s="4" t="s">
        <v>94</v>
      </c>
      <c r="B1277" s="4">
        <v>2015</v>
      </c>
      <c r="C1277" s="4" t="s">
        <v>64</v>
      </c>
      <c r="D1277" s="4">
        <v>2</v>
      </c>
      <c r="E1277" s="4">
        <v>15</v>
      </c>
      <c r="F1277" s="4">
        <v>3</v>
      </c>
      <c r="G1277" s="6" t="str">
        <f t="shared" si="50"/>
        <v>153</v>
      </c>
      <c r="H1277" s="5">
        <v>5</v>
      </c>
      <c r="I1277" s="5">
        <v>130.69999999999999</v>
      </c>
      <c r="J1277" s="5">
        <v>8203.0639980232263</v>
      </c>
      <c r="K1277" s="5">
        <v>10.9</v>
      </c>
      <c r="L1277" s="5">
        <v>126.4</v>
      </c>
      <c r="M1277" s="5">
        <v>7933.1850753644676</v>
      </c>
      <c r="N1277" s="5">
        <v>54.128440366972477</v>
      </c>
      <c r="O1277" s="5">
        <v>4.2999999999999829</v>
      </c>
      <c r="P1277" s="5">
        <v>269.87892265875871</v>
      </c>
      <c r="Q1277" s="5">
        <v>3.401898734177204</v>
      </c>
    </row>
    <row r="1278" spans="1:17" x14ac:dyDescent="0.2">
      <c r="A1278" s="4" t="s">
        <v>94</v>
      </c>
      <c r="B1278" s="4">
        <v>2015</v>
      </c>
      <c r="C1278" s="4" t="s">
        <v>64</v>
      </c>
      <c r="D1278" s="4">
        <v>3</v>
      </c>
      <c r="E1278" s="4">
        <v>15</v>
      </c>
      <c r="F1278" s="4">
        <v>3</v>
      </c>
      <c r="G1278" s="6" t="str">
        <f t="shared" si="50"/>
        <v>153</v>
      </c>
      <c r="H1278" s="5">
        <v>12</v>
      </c>
      <c r="I1278" s="5">
        <v>127.1</v>
      </c>
      <c r="J1278" s="5">
        <v>7977.1188534717066</v>
      </c>
      <c r="K1278" s="5">
        <v>10.9</v>
      </c>
      <c r="L1278" s="5">
        <v>126.4</v>
      </c>
      <c r="M1278" s="5">
        <v>7933.1850753644676</v>
      </c>
      <c r="N1278" s="5">
        <v>-10.091743119266052</v>
      </c>
      <c r="O1278" s="5">
        <v>0.69999999999998863</v>
      </c>
      <c r="P1278" s="5">
        <v>43.93377810723905</v>
      </c>
      <c r="Q1278" s="5">
        <v>0.55379746835441923</v>
      </c>
    </row>
    <row r="1279" spans="1:17" x14ac:dyDescent="0.2">
      <c r="A1279" s="4" t="s">
        <v>94</v>
      </c>
      <c r="B1279" s="4">
        <v>2015</v>
      </c>
      <c r="C1279" s="4" t="s">
        <v>64</v>
      </c>
      <c r="D1279" s="4">
        <v>4</v>
      </c>
      <c r="E1279" s="4">
        <v>15</v>
      </c>
      <c r="F1279" s="4">
        <v>3</v>
      </c>
      <c r="G1279" s="6" t="str">
        <f t="shared" si="50"/>
        <v>153</v>
      </c>
      <c r="H1279" s="5">
        <v>5</v>
      </c>
      <c r="I1279" s="5">
        <v>128.6</v>
      </c>
      <c r="J1279" s="5">
        <v>8071.2626637015064</v>
      </c>
      <c r="K1279" s="5">
        <v>10.9</v>
      </c>
      <c r="L1279" s="5">
        <v>126.4</v>
      </c>
      <c r="M1279" s="5">
        <v>7933.1850753644676</v>
      </c>
      <c r="N1279" s="5">
        <v>54.128440366972477</v>
      </c>
      <c r="O1279" s="5">
        <v>2.1999999999999886</v>
      </c>
      <c r="P1279" s="5">
        <v>138.07758833703883</v>
      </c>
      <c r="Q1279" s="5">
        <v>1.7405063291139122</v>
      </c>
    </row>
    <row r="1280" spans="1:17" x14ac:dyDescent="0.2">
      <c r="A1280" s="4" t="s">
        <v>91</v>
      </c>
      <c r="B1280" s="4">
        <v>2015</v>
      </c>
      <c r="C1280" s="4" t="s">
        <v>64</v>
      </c>
      <c r="D1280" s="4">
        <v>1</v>
      </c>
      <c r="E1280" s="4">
        <v>15</v>
      </c>
      <c r="F1280" s="4">
        <v>3</v>
      </c>
      <c r="G1280" s="6" t="str">
        <f t="shared" si="50"/>
        <v>153</v>
      </c>
      <c r="H1280" s="5">
        <v>20</v>
      </c>
      <c r="I1280" s="5">
        <v>224.45096063082767</v>
      </c>
      <c r="J1280" s="5">
        <v>14087.112429016612</v>
      </c>
      <c r="K1280" s="5">
        <v>30</v>
      </c>
      <c r="L1280" s="5">
        <v>195.3</v>
      </c>
      <c r="M1280" s="5">
        <v>12257.52409191994</v>
      </c>
      <c r="N1280" s="5">
        <v>33.333333333333329</v>
      </c>
      <c r="O1280" s="5">
        <v>29.150960630827655</v>
      </c>
      <c r="P1280" s="5">
        <v>1829.5883370966712</v>
      </c>
      <c r="Q1280" s="5">
        <v>14.926247122799627</v>
      </c>
    </row>
    <row r="1281" spans="1:17" x14ac:dyDescent="0.2">
      <c r="A1281" s="4" t="s">
        <v>91</v>
      </c>
      <c r="B1281" s="4">
        <v>2015</v>
      </c>
      <c r="C1281" s="4" t="s">
        <v>64</v>
      </c>
      <c r="D1281" s="4">
        <v>2</v>
      </c>
      <c r="E1281" s="4">
        <v>15</v>
      </c>
      <c r="F1281" s="4">
        <v>3</v>
      </c>
      <c r="G1281" s="6" t="str">
        <f t="shared" si="50"/>
        <v>153</v>
      </c>
      <c r="H1281" s="5">
        <v>10</v>
      </c>
      <c r="I1281" s="5">
        <v>204.33636468285945</v>
      </c>
      <c r="J1281" s="5">
        <v>12824.669293166864</v>
      </c>
      <c r="K1281" s="5">
        <v>30</v>
      </c>
      <c r="L1281" s="5">
        <v>195.3</v>
      </c>
      <c r="M1281" s="5">
        <v>12257.52409191994</v>
      </c>
      <c r="N1281" s="5">
        <v>66.666666666666657</v>
      </c>
      <c r="O1281" s="5">
        <v>9.0363646828594426</v>
      </c>
      <c r="P1281" s="5">
        <v>567.14520124692353</v>
      </c>
      <c r="Q1281" s="5">
        <v>4.6269148401738081</v>
      </c>
    </row>
    <row r="1282" spans="1:17" x14ac:dyDescent="0.2">
      <c r="A1282" s="4" t="s">
        <v>91</v>
      </c>
      <c r="B1282" s="4">
        <v>2015</v>
      </c>
      <c r="C1282" s="4" t="s">
        <v>64</v>
      </c>
      <c r="D1282" s="4">
        <v>3</v>
      </c>
      <c r="E1282" s="4">
        <v>15</v>
      </c>
      <c r="F1282" s="4">
        <v>3</v>
      </c>
      <c r="G1282" s="6" t="str">
        <f t="shared" ref="G1282:G1345" si="51">E1282&amp;F1282</f>
        <v>153</v>
      </c>
      <c r="H1282" s="5">
        <v>12</v>
      </c>
      <c r="I1282" s="5">
        <v>211.24368596753766</v>
      </c>
      <c r="J1282" s="5">
        <v>13258.190322647533</v>
      </c>
      <c r="K1282" s="5">
        <v>30</v>
      </c>
      <c r="L1282" s="5">
        <v>195.3</v>
      </c>
      <c r="M1282" s="5">
        <v>12257.52409191994</v>
      </c>
      <c r="N1282" s="5">
        <v>60</v>
      </c>
      <c r="O1282" s="5">
        <v>15.943685967537647</v>
      </c>
      <c r="P1282" s="5">
        <v>1000.6662307275928</v>
      </c>
      <c r="Q1282" s="5">
        <v>8.1636896915195454</v>
      </c>
    </row>
    <row r="1283" spans="1:17" x14ac:dyDescent="0.2">
      <c r="A1283" s="4" t="s">
        <v>91</v>
      </c>
      <c r="B1283" s="4">
        <v>2015</v>
      </c>
      <c r="C1283" s="4" t="s">
        <v>64</v>
      </c>
      <c r="D1283" s="4">
        <v>4</v>
      </c>
      <c r="E1283" s="4">
        <v>15</v>
      </c>
      <c r="F1283" s="4">
        <v>3</v>
      </c>
      <c r="G1283" s="6" t="str">
        <f t="shared" si="51"/>
        <v>153</v>
      </c>
      <c r="H1283" s="5">
        <v>15</v>
      </c>
      <c r="I1283" s="5">
        <v>205.61001956947158</v>
      </c>
      <c r="J1283" s="5">
        <v>12904.607109129178</v>
      </c>
      <c r="K1283" s="5">
        <v>30</v>
      </c>
      <c r="L1283" s="5">
        <v>195.3</v>
      </c>
      <c r="M1283" s="5">
        <v>12257.52409191994</v>
      </c>
      <c r="N1283" s="5">
        <v>50</v>
      </c>
      <c r="O1283" s="5">
        <v>10.310019569471564</v>
      </c>
      <c r="P1283" s="5">
        <v>647.08301720923737</v>
      </c>
      <c r="Q1283" s="5">
        <v>5.279067879913768</v>
      </c>
    </row>
    <row r="1284" spans="1:17" x14ac:dyDescent="0.2">
      <c r="A1284" s="4" t="s">
        <v>91</v>
      </c>
      <c r="B1284" s="4">
        <v>2015</v>
      </c>
      <c r="C1284" s="4" t="s">
        <v>64</v>
      </c>
      <c r="D1284" s="4">
        <v>5</v>
      </c>
      <c r="E1284" s="4">
        <v>15</v>
      </c>
      <c r="F1284" s="4">
        <v>3</v>
      </c>
      <c r="G1284" s="6" t="str">
        <f t="shared" si="51"/>
        <v>153</v>
      </c>
      <c r="H1284" s="5">
        <v>20</v>
      </c>
      <c r="I1284" s="5">
        <v>187.99948428686542</v>
      </c>
      <c r="J1284" s="5">
        <v>11799.325181335265</v>
      </c>
      <c r="K1284" s="5">
        <v>30</v>
      </c>
      <c r="L1284" s="5">
        <v>195.3</v>
      </c>
      <c r="M1284" s="5">
        <v>12257.52409191994</v>
      </c>
      <c r="N1284" s="5">
        <v>33.333333333333329</v>
      </c>
      <c r="O1284" s="5">
        <v>-7.3005157131345868</v>
      </c>
      <c r="P1284" s="5">
        <v>-458.1989105846751</v>
      </c>
      <c r="Q1284" s="5">
        <v>-3.7381032837350578</v>
      </c>
    </row>
    <row r="1285" spans="1:17" x14ac:dyDescent="0.2">
      <c r="A1285" s="4" t="s">
        <v>91</v>
      </c>
      <c r="B1285" s="4">
        <v>2015</v>
      </c>
      <c r="C1285" s="4" t="s">
        <v>64</v>
      </c>
      <c r="D1285" s="4">
        <v>6</v>
      </c>
      <c r="E1285" s="4">
        <v>15</v>
      </c>
      <c r="F1285" s="4">
        <v>3</v>
      </c>
      <c r="G1285" s="6" t="str">
        <f t="shared" si="51"/>
        <v>153</v>
      </c>
      <c r="H1285" s="5">
        <v>20</v>
      </c>
      <c r="I1285" s="5">
        <v>197.49611085530105</v>
      </c>
      <c r="J1285" s="5">
        <v>12395.357587656652</v>
      </c>
      <c r="K1285" s="5">
        <v>30</v>
      </c>
      <c r="L1285" s="5">
        <v>195.3</v>
      </c>
      <c r="M1285" s="5">
        <v>12257.52409191994</v>
      </c>
      <c r="N1285" s="5">
        <v>33.333333333333329</v>
      </c>
      <c r="O1285" s="5">
        <v>2.1961108553010433</v>
      </c>
      <c r="P1285" s="5">
        <v>137.83349573671148</v>
      </c>
      <c r="Q1285" s="5">
        <v>1.1244807246805266</v>
      </c>
    </row>
    <row r="1286" spans="1:17" x14ac:dyDescent="0.2">
      <c r="A1286" s="4" t="s">
        <v>65</v>
      </c>
      <c r="B1286" s="4">
        <v>2015</v>
      </c>
      <c r="C1286" s="4" t="s">
        <v>64</v>
      </c>
      <c r="D1286" s="4">
        <v>1</v>
      </c>
      <c r="E1286" s="4">
        <v>17</v>
      </c>
      <c r="F1286" s="4">
        <v>3</v>
      </c>
      <c r="G1286" s="6" t="str">
        <f t="shared" si="51"/>
        <v>173</v>
      </c>
      <c r="H1286" s="5">
        <v>5</v>
      </c>
      <c r="I1286" s="5">
        <v>231.31852192234848</v>
      </c>
      <c r="J1286" s="5">
        <v>14518.138020330249</v>
      </c>
      <c r="K1286" s="5">
        <v>7</v>
      </c>
      <c r="L1286" s="5">
        <v>216.3</v>
      </c>
      <c r="M1286" s="5">
        <v>13575.537435137139</v>
      </c>
      <c r="N1286" s="5">
        <v>28.571428571428569</v>
      </c>
      <c r="O1286" s="5">
        <v>15.018521922348469</v>
      </c>
      <c r="P1286" s="5">
        <v>942.60058519310951</v>
      </c>
      <c r="Q1286" s="5">
        <v>6.9433758309516787</v>
      </c>
    </row>
    <row r="1287" spans="1:17" x14ac:dyDescent="0.2">
      <c r="A1287" s="4" t="s">
        <v>65</v>
      </c>
      <c r="B1287" s="4">
        <v>2015</v>
      </c>
      <c r="C1287" s="4" t="s">
        <v>64</v>
      </c>
      <c r="D1287" s="4">
        <v>2</v>
      </c>
      <c r="E1287" s="4">
        <v>17</v>
      </c>
      <c r="F1287" s="4">
        <v>3</v>
      </c>
      <c r="G1287" s="6" t="str">
        <f t="shared" si="51"/>
        <v>173</v>
      </c>
      <c r="H1287" s="5">
        <v>5</v>
      </c>
      <c r="I1287" s="5">
        <v>229.10671135416669</v>
      </c>
      <c r="J1287" s="5">
        <v>14379.319170733466</v>
      </c>
      <c r="K1287" s="5">
        <v>7</v>
      </c>
      <c r="L1287" s="5">
        <v>216.3</v>
      </c>
      <c r="M1287" s="5">
        <v>13575.537435137139</v>
      </c>
      <c r="N1287" s="5">
        <v>28.571428571428569</v>
      </c>
      <c r="O1287" s="5">
        <v>12.80671135416668</v>
      </c>
      <c r="P1287" s="5">
        <v>803.78173559632705</v>
      </c>
      <c r="Q1287" s="5">
        <v>5.9208096875481617</v>
      </c>
    </row>
    <row r="1288" spans="1:17" x14ac:dyDescent="0.2">
      <c r="A1288" s="4" t="s">
        <v>65</v>
      </c>
      <c r="B1288" s="4">
        <v>2015</v>
      </c>
      <c r="C1288" s="4" t="s">
        <v>64</v>
      </c>
      <c r="D1288" s="4">
        <v>3</v>
      </c>
      <c r="E1288" s="4">
        <v>17</v>
      </c>
      <c r="F1288" s="4">
        <v>3</v>
      </c>
      <c r="G1288" s="6" t="str">
        <f t="shared" si="51"/>
        <v>173</v>
      </c>
      <c r="H1288" s="5">
        <v>8</v>
      </c>
      <c r="I1288" s="5">
        <v>233.79540664772728</v>
      </c>
      <c r="J1288" s="5">
        <v>14673.593597361682</v>
      </c>
      <c r="K1288" s="5">
        <v>7</v>
      </c>
      <c r="L1288" s="5">
        <v>216.3</v>
      </c>
      <c r="M1288" s="5">
        <v>13575.537435137139</v>
      </c>
      <c r="N1288" s="5">
        <v>-14.285714285714285</v>
      </c>
      <c r="O1288" s="5">
        <v>17.495406647727265</v>
      </c>
      <c r="P1288" s="5">
        <v>1098.0561622245423</v>
      </c>
      <c r="Q1288" s="5">
        <v>8.0884912842012273</v>
      </c>
    </row>
    <row r="1289" spans="1:17" x14ac:dyDescent="0.2">
      <c r="A1289" s="4" t="s">
        <v>65</v>
      </c>
      <c r="B1289" s="4">
        <v>2015</v>
      </c>
      <c r="C1289" s="4" t="s">
        <v>64</v>
      </c>
      <c r="D1289" s="4">
        <v>4</v>
      </c>
      <c r="E1289" s="4">
        <v>17</v>
      </c>
      <c r="F1289" s="4">
        <v>3</v>
      </c>
      <c r="G1289" s="6" t="str">
        <f t="shared" si="51"/>
        <v>173</v>
      </c>
      <c r="H1289" s="5">
        <v>10</v>
      </c>
      <c r="I1289" s="5">
        <v>217.00347136363638</v>
      </c>
      <c r="J1289" s="5">
        <v>13619.689084843993</v>
      </c>
      <c r="K1289" s="5">
        <v>7</v>
      </c>
      <c r="L1289" s="5">
        <v>216.3</v>
      </c>
      <c r="M1289" s="5">
        <v>13575.537435137139</v>
      </c>
      <c r="N1289" s="5">
        <v>-42.857142857142854</v>
      </c>
      <c r="O1289" s="5">
        <v>0.70347136363636764</v>
      </c>
      <c r="P1289" s="5">
        <v>44.151649706853277</v>
      </c>
      <c r="Q1289" s="5">
        <v>0.32522947925860335</v>
      </c>
    </row>
    <row r="1290" spans="1:17" x14ac:dyDescent="0.2">
      <c r="A1290" s="4" t="s">
        <v>94</v>
      </c>
      <c r="B1290" s="4">
        <v>2015</v>
      </c>
      <c r="C1290" s="4" t="s">
        <v>64</v>
      </c>
      <c r="D1290" s="4">
        <v>1</v>
      </c>
      <c r="E1290" s="4">
        <v>17</v>
      </c>
      <c r="F1290" s="4">
        <v>3</v>
      </c>
      <c r="G1290" s="6" t="str">
        <f t="shared" si="51"/>
        <v>173</v>
      </c>
      <c r="H1290" s="5">
        <v>12</v>
      </c>
      <c r="I1290" s="5">
        <v>134.1</v>
      </c>
      <c r="J1290" s="5">
        <v>8416.4566345441071</v>
      </c>
      <c r="K1290" s="5">
        <v>10.9</v>
      </c>
      <c r="L1290" s="5">
        <v>126.4</v>
      </c>
      <c r="M1290" s="5">
        <v>7933.1850753644676</v>
      </c>
      <c r="N1290" s="5">
        <v>-10.091743119266052</v>
      </c>
      <c r="O1290" s="5">
        <v>7.6999999999999886</v>
      </c>
      <c r="P1290" s="5">
        <v>483.27155917963955</v>
      </c>
      <c r="Q1290" s="5">
        <v>6.0917721518987378</v>
      </c>
    </row>
    <row r="1291" spans="1:17" x14ac:dyDescent="0.2">
      <c r="A1291" s="4" t="s">
        <v>94</v>
      </c>
      <c r="B1291" s="4">
        <v>2015</v>
      </c>
      <c r="C1291" s="4" t="s">
        <v>64</v>
      </c>
      <c r="D1291" s="4">
        <v>2</v>
      </c>
      <c r="E1291" s="4">
        <v>17</v>
      </c>
      <c r="F1291" s="4">
        <v>3</v>
      </c>
      <c r="G1291" s="6" t="str">
        <f t="shared" si="51"/>
        <v>173</v>
      </c>
      <c r="H1291" s="5">
        <v>12</v>
      </c>
      <c r="I1291" s="5">
        <v>134.69999999999999</v>
      </c>
      <c r="J1291" s="5">
        <v>8454.1141586360263</v>
      </c>
      <c r="K1291" s="5">
        <v>10.9</v>
      </c>
      <c r="L1291" s="5">
        <v>126.4</v>
      </c>
      <c r="M1291" s="5">
        <v>7933.1850753644676</v>
      </c>
      <c r="N1291" s="5">
        <v>-10.091743119266052</v>
      </c>
      <c r="O1291" s="5">
        <v>8.2999999999999829</v>
      </c>
      <c r="P1291" s="5">
        <v>520.92908327155874</v>
      </c>
      <c r="Q1291" s="5">
        <v>6.5664556962025262</v>
      </c>
    </row>
    <row r="1292" spans="1:17" x14ac:dyDescent="0.2">
      <c r="A1292" s="4" t="s">
        <v>94</v>
      </c>
      <c r="B1292" s="4">
        <v>2015</v>
      </c>
      <c r="C1292" s="4" t="s">
        <v>64</v>
      </c>
      <c r="D1292" s="4">
        <v>3</v>
      </c>
      <c r="E1292" s="4">
        <v>17</v>
      </c>
      <c r="F1292" s="4">
        <v>3</v>
      </c>
      <c r="G1292" s="6" t="str">
        <f t="shared" si="51"/>
        <v>173</v>
      </c>
      <c r="H1292" s="5">
        <v>10</v>
      </c>
      <c r="I1292" s="5">
        <v>126.8</v>
      </c>
      <c r="J1292" s="5">
        <v>7958.2900914257471</v>
      </c>
      <c r="K1292" s="5">
        <v>10.9</v>
      </c>
      <c r="L1292" s="5">
        <v>126.4</v>
      </c>
      <c r="M1292" s="5">
        <v>7933.1850753644676</v>
      </c>
      <c r="N1292" s="5">
        <v>8.256880733944957</v>
      </c>
      <c r="O1292" s="5">
        <v>0.39999999999999147</v>
      </c>
      <c r="P1292" s="5">
        <v>25.105016061279457</v>
      </c>
      <c r="Q1292" s="5">
        <v>0.31645569620252528</v>
      </c>
    </row>
    <row r="1293" spans="1:17" x14ac:dyDescent="0.2">
      <c r="A1293" s="4" t="s">
        <v>94</v>
      </c>
      <c r="B1293" s="4">
        <v>2015</v>
      </c>
      <c r="C1293" s="4" t="s">
        <v>64</v>
      </c>
      <c r="D1293" s="4">
        <v>4</v>
      </c>
      <c r="E1293" s="4">
        <v>17</v>
      </c>
      <c r="F1293" s="4">
        <v>3</v>
      </c>
      <c r="G1293" s="6" t="str">
        <f t="shared" si="51"/>
        <v>173</v>
      </c>
      <c r="H1293" s="5">
        <v>10</v>
      </c>
      <c r="I1293" s="5">
        <v>134</v>
      </c>
      <c r="J1293" s="5">
        <v>8410.1803805287873</v>
      </c>
      <c r="K1293" s="5">
        <v>10.9</v>
      </c>
      <c r="L1293" s="5">
        <v>126.4</v>
      </c>
      <c r="M1293" s="5">
        <v>7933.1850753644676</v>
      </c>
      <c r="N1293" s="5">
        <v>8.256880733944957</v>
      </c>
      <c r="O1293" s="5">
        <v>7.5999999999999943</v>
      </c>
      <c r="P1293" s="5">
        <v>476.99530516431969</v>
      </c>
      <c r="Q1293" s="5">
        <v>6.0126582278481067</v>
      </c>
    </row>
    <row r="1294" spans="1:17" x14ac:dyDescent="0.2">
      <c r="A1294" s="4" t="s">
        <v>91</v>
      </c>
      <c r="B1294" s="4">
        <v>2015</v>
      </c>
      <c r="C1294" s="4" t="s">
        <v>64</v>
      </c>
      <c r="D1294" s="4">
        <v>1</v>
      </c>
      <c r="E1294" s="4">
        <v>17</v>
      </c>
      <c r="F1294" s="4">
        <v>3</v>
      </c>
      <c r="G1294" s="6" t="str">
        <f t="shared" si="51"/>
        <v>173</v>
      </c>
      <c r="H1294" s="5">
        <v>15</v>
      </c>
      <c r="I1294" s="5">
        <v>213.30710717163575</v>
      </c>
      <c r="J1294" s="5">
        <v>13387.695878822704</v>
      </c>
      <c r="K1294" s="5">
        <v>30</v>
      </c>
      <c r="L1294" s="5">
        <v>195.3</v>
      </c>
      <c r="M1294" s="5">
        <v>12257.52409191994</v>
      </c>
      <c r="N1294" s="5">
        <v>50</v>
      </c>
      <c r="O1294" s="5">
        <v>18.007107171635738</v>
      </c>
      <c r="P1294" s="5">
        <v>1130.1717869027634</v>
      </c>
      <c r="Q1294" s="5">
        <v>9.2202289665313693</v>
      </c>
    </row>
    <row r="1295" spans="1:17" x14ac:dyDescent="0.2">
      <c r="A1295" s="4" t="s">
        <v>91</v>
      </c>
      <c r="B1295" s="4">
        <v>2015</v>
      </c>
      <c r="C1295" s="4" t="s">
        <v>64</v>
      </c>
      <c r="D1295" s="4">
        <v>2</v>
      </c>
      <c r="E1295" s="4">
        <v>17</v>
      </c>
      <c r="F1295" s="4">
        <v>3</v>
      </c>
      <c r="G1295" s="6" t="str">
        <f t="shared" si="51"/>
        <v>173</v>
      </c>
      <c r="H1295" s="5">
        <v>15</v>
      </c>
      <c r="I1295" s="5">
        <v>207.57691377921032</v>
      </c>
      <c r="J1295" s="5">
        <v>13028.054385945001</v>
      </c>
      <c r="K1295" s="5">
        <v>30</v>
      </c>
      <c r="L1295" s="5">
        <v>195.3</v>
      </c>
      <c r="M1295" s="5">
        <v>12257.52409191994</v>
      </c>
      <c r="N1295" s="5">
        <v>50</v>
      </c>
      <c r="O1295" s="5">
        <v>12.276913779210304</v>
      </c>
      <c r="P1295" s="5">
        <v>770.53029402506036</v>
      </c>
      <c r="Q1295" s="5">
        <v>6.2861821706145991</v>
      </c>
    </row>
    <row r="1296" spans="1:17" x14ac:dyDescent="0.2">
      <c r="A1296" s="4" t="s">
        <v>91</v>
      </c>
      <c r="B1296" s="4">
        <v>2015</v>
      </c>
      <c r="C1296" s="4" t="s">
        <v>64</v>
      </c>
      <c r="D1296" s="4">
        <v>3</v>
      </c>
      <c r="E1296" s="4">
        <v>17</v>
      </c>
      <c r="F1296" s="4">
        <v>3</v>
      </c>
      <c r="G1296" s="6" t="str">
        <f t="shared" si="51"/>
        <v>173</v>
      </c>
      <c r="H1296" s="5">
        <v>25</v>
      </c>
      <c r="I1296" s="5">
        <v>204.23482329918269</v>
      </c>
      <c r="J1296" s="5">
        <v>12818.29629799664</v>
      </c>
      <c r="K1296" s="5">
        <v>30</v>
      </c>
      <c r="L1296" s="5">
        <v>195.3</v>
      </c>
      <c r="M1296" s="5">
        <v>12257.52409191994</v>
      </c>
      <c r="N1296" s="5">
        <v>16.666666666666664</v>
      </c>
      <c r="O1296" s="5">
        <v>8.9348232991826819</v>
      </c>
      <c r="P1296" s="5">
        <v>560.77220607669915</v>
      </c>
      <c r="Q1296" s="5">
        <v>4.5749223242102826</v>
      </c>
    </row>
    <row r="1297" spans="1:17" x14ac:dyDescent="0.2">
      <c r="A1297" s="4" t="s">
        <v>91</v>
      </c>
      <c r="B1297" s="4">
        <v>2015</v>
      </c>
      <c r="C1297" s="4" t="s">
        <v>64</v>
      </c>
      <c r="D1297" s="4">
        <v>4</v>
      </c>
      <c r="E1297" s="4">
        <v>17</v>
      </c>
      <c r="F1297" s="4">
        <v>3</v>
      </c>
      <c r="G1297" s="6" t="str">
        <f t="shared" si="51"/>
        <v>173</v>
      </c>
      <c r="H1297" s="5">
        <v>35</v>
      </c>
      <c r="I1297" s="5">
        <v>206.60662944629905</v>
      </c>
      <c r="J1297" s="5">
        <v>12967.156876540637</v>
      </c>
      <c r="K1297" s="5">
        <v>30</v>
      </c>
      <c r="L1297" s="5">
        <v>195.3</v>
      </c>
      <c r="M1297" s="5">
        <v>12257.52409191994</v>
      </c>
      <c r="N1297" s="5">
        <v>-16.666666666666664</v>
      </c>
      <c r="O1297" s="5">
        <v>11.306629446299041</v>
      </c>
      <c r="P1297" s="5">
        <v>709.63278462069684</v>
      </c>
      <c r="Q1297" s="5">
        <v>5.7893647958520509</v>
      </c>
    </row>
    <row r="1298" spans="1:17" x14ac:dyDescent="0.2">
      <c r="A1298" s="4" t="s">
        <v>91</v>
      </c>
      <c r="B1298" s="4">
        <v>2015</v>
      </c>
      <c r="C1298" s="4" t="s">
        <v>64</v>
      </c>
      <c r="D1298" s="4">
        <v>5</v>
      </c>
      <c r="E1298" s="4">
        <v>17</v>
      </c>
      <c r="F1298" s="4">
        <v>3</v>
      </c>
      <c r="G1298" s="6" t="str">
        <f t="shared" si="51"/>
        <v>173</v>
      </c>
      <c r="H1298" s="5">
        <v>15</v>
      </c>
      <c r="I1298" s="5">
        <v>206.5928398756763</v>
      </c>
      <c r="J1298" s="5">
        <v>12966.291408060732</v>
      </c>
      <c r="K1298" s="5">
        <v>30</v>
      </c>
      <c r="L1298" s="5">
        <v>195.3</v>
      </c>
      <c r="M1298" s="5">
        <v>12257.52409191994</v>
      </c>
      <c r="N1298" s="5">
        <v>50</v>
      </c>
      <c r="O1298" s="5">
        <v>11.292839875676293</v>
      </c>
      <c r="P1298" s="5">
        <v>708.76731614079108</v>
      </c>
      <c r="Q1298" s="5">
        <v>5.7823040838076327</v>
      </c>
    </row>
    <row r="1299" spans="1:17" x14ac:dyDescent="0.2">
      <c r="A1299" s="4" t="s">
        <v>91</v>
      </c>
      <c r="B1299" s="4">
        <v>2015</v>
      </c>
      <c r="C1299" s="4" t="s">
        <v>64</v>
      </c>
      <c r="D1299" s="4">
        <v>6</v>
      </c>
      <c r="E1299" s="4">
        <v>17</v>
      </c>
      <c r="F1299" s="4">
        <v>3</v>
      </c>
      <c r="G1299" s="6" t="str">
        <f t="shared" si="51"/>
        <v>173</v>
      </c>
      <c r="H1299" s="5">
        <v>15</v>
      </c>
      <c r="I1299" s="5">
        <v>215.09285656728446</v>
      </c>
      <c r="J1299" s="5">
        <v>13499.774046970657</v>
      </c>
      <c r="K1299" s="5">
        <v>30</v>
      </c>
      <c r="L1299" s="5">
        <v>195.3</v>
      </c>
      <c r="M1299" s="5">
        <v>12257.52409191994</v>
      </c>
      <c r="N1299" s="5">
        <v>50</v>
      </c>
      <c r="O1299" s="5">
        <v>19.792856567284446</v>
      </c>
      <c r="P1299" s="5">
        <v>1242.2499550507164</v>
      </c>
      <c r="Q1299" s="5">
        <v>10.134591176284918</v>
      </c>
    </row>
    <row r="1300" spans="1:17" x14ac:dyDescent="0.2">
      <c r="A1300" s="4" t="s">
        <v>65</v>
      </c>
      <c r="B1300" s="4">
        <v>2015</v>
      </c>
      <c r="C1300" s="4" t="s">
        <v>64</v>
      </c>
      <c r="D1300" s="4">
        <v>1</v>
      </c>
      <c r="E1300" s="4">
        <v>19</v>
      </c>
      <c r="F1300" s="4">
        <v>3</v>
      </c>
      <c r="G1300" s="6" t="str">
        <f t="shared" si="51"/>
        <v>193</v>
      </c>
      <c r="H1300" s="5">
        <v>3</v>
      </c>
      <c r="I1300" s="5">
        <v>223.64643477272728</v>
      </c>
      <c r="J1300" s="5">
        <v>14036.618342543297</v>
      </c>
      <c r="K1300" s="5">
        <v>7</v>
      </c>
      <c r="L1300" s="5">
        <v>216.3</v>
      </c>
      <c r="M1300" s="5">
        <v>13575.537435137139</v>
      </c>
      <c r="N1300" s="5">
        <v>57.142857142857139</v>
      </c>
      <c r="O1300" s="5">
        <v>7.3464347727272639</v>
      </c>
      <c r="P1300" s="5">
        <v>461.08090740615808</v>
      </c>
      <c r="Q1300" s="5">
        <v>3.3964099735216138</v>
      </c>
    </row>
    <row r="1301" spans="1:17" x14ac:dyDescent="0.2">
      <c r="A1301" s="4" t="s">
        <v>65</v>
      </c>
      <c r="B1301" s="4">
        <v>2015</v>
      </c>
      <c r="C1301" s="4" t="s">
        <v>64</v>
      </c>
      <c r="D1301" s="4">
        <v>2</v>
      </c>
      <c r="E1301" s="4">
        <v>19</v>
      </c>
      <c r="F1301" s="4">
        <v>3</v>
      </c>
      <c r="G1301" s="6" t="str">
        <f t="shared" si="51"/>
        <v>193</v>
      </c>
      <c r="H1301" s="5">
        <v>2</v>
      </c>
      <c r="I1301" s="5">
        <v>237.41376303977273</v>
      </c>
      <c r="J1301" s="5">
        <v>14900.690835706022</v>
      </c>
      <c r="K1301" s="5">
        <v>7</v>
      </c>
      <c r="L1301" s="5">
        <v>216.3</v>
      </c>
      <c r="M1301" s="5">
        <v>13575.537435137139</v>
      </c>
      <c r="N1301" s="5">
        <v>71.428571428571431</v>
      </c>
      <c r="O1301" s="5">
        <v>21.113763039772721</v>
      </c>
      <c r="P1301" s="5">
        <v>1325.1534005688827</v>
      </c>
      <c r="Q1301" s="5">
        <v>9.7613328894002365</v>
      </c>
    </row>
    <row r="1302" spans="1:17" x14ac:dyDescent="0.2">
      <c r="A1302" s="4" t="s">
        <v>65</v>
      </c>
      <c r="B1302" s="4">
        <v>2015</v>
      </c>
      <c r="C1302" s="4" t="s">
        <v>64</v>
      </c>
      <c r="D1302" s="4">
        <v>3</v>
      </c>
      <c r="E1302" s="4">
        <v>19</v>
      </c>
      <c r="F1302" s="4">
        <v>3</v>
      </c>
      <c r="G1302" s="6" t="str">
        <f t="shared" si="51"/>
        <v>193</v>
      </c>
      <c r="H1302" s="5">
        <v>1</v>
      </c>
      <c r="I1302" s="5">
        <v>210.36050795454548</v>
      </c>
      <c r="J1302" s="5">
        <v>13202.759827144688</v>
      </c>
      <c r="K1302" s="5">
        <v>7</v>
      </c>
      <c r="L1302" s="5">
        <v>216.3</v>
      </c>
      <c r="M1302" s="5">
        <v>13575.537435137139</v>
      </c>
      <c r="N1302" s="5">
        <v>85.714285714285708</v>
      </c>
      <c r="O1302" s="5">
        <v>-5.9394920454545286</v>
      </c>
      <c r="P1302" s="5">
        <v>-372.77760799245152</v>
      </c>
      <c r="Q1302" s="5">
        <v>-2.7459510150044069</v>
      </c>
    </row>
    <row r="1303" spans="1:17" x14ac:dyDescent="0.2">
      <c r="A1303" s="4" t="s">
        <v>65</v>
      </c>
      <c r="B1303" s="4">
        <v>2015</v>
      </c>
      <c r="C1303" s="4" t="s">
        <v>64</v>
      </c>
      <c r="D1303" s="4">
        <v>4</v>
      </c>
      <c r="E1303" s="4">
        <v>19</v>
      </c>
      <c r="F1303" s="4">
        <v>3</v>
      </c>
      <c r="G1303" s="6" t="str">
        <f t="shared" si="51"/>
        <v>193</v>
      </c>
      <c r="H1303" s="5">
        <v>2</v>
      </c>
      <c r="I1303" s="5">
        <v>233.26525833333335</v>
      </c>
      <c r="J1303" s="5">
        <v>14640.320142492383</v>
      </c>
      <c r="K1303" s="5">
        <v>7</v>
      </c>
      <c r="L1303" s="5">
        <v>216.3</v>
      </c>
      <c r="M1303" s="5">
        <v>13575.537435137139</v>
      </c>
      <c r="N1303" s="5">
        <v>71.428571428571431</v>
      </c>
      <c r="O1303" s="5">
        <v>16.965258333333338</v>
      </c>
      <c r="P1303" s="5">
        <v>1064.7827073552435</v>
      </c>
      <c r="Q1303" s="5">
        <v>7.8433926645091763</v>
      </c>
    </row>
    <row r="1304" spans="1:17" x14ac:dyDescent="0.2">
      <c r="A1304" s="4" t="s">
        <v>94</v>
      </c>
      <c r="B1304" s="4">
        <v>2015</v>
      </c>
      <c r="C1304" s="4" t="s">
        <v>64</v>
      </c>
      <c r="D1304" s="4">
        <v>1</v>
      </c>
      <c r="E1304" s="4">
        <v>19</v>
      </c>
      <c r="F1304" s="4">
        <v>3</v>
      </c>
      <c r="G1304" s="6" t="str">
        <f t="shared" si="51"/>
        <v>193</v>
      </c>
      <c r="H1304" s="5">
        <v>2</v>
      </c>
      <c r="I1304" s="5">
        <v>135.69999999999999</v>
      </c>
      <c r="J1304" s="5">
        <v>8516.876698789225</v>
      </c>
      <c r="K1304" s="5">
        <v>10.9</v>
      </c>
      <c r="L1304" s="5">
        <v>126.4</v>
      </c>
      <c r="M1304" s="5">
        <v>7933.1850753644676</v>
      </c>
      <c r="N1304" s="5">
        <v>81.651376146788991</v>
      </c>
      <c r="O1304" s="5">
        <v>9.2999999999999829</v>
      </c>
      <c r="P1304" s="5">
        <v>583.69162342475738</v>
      </c>
      <c r="Q1304" s="5">
        <v>7.3575949367088391</v>
      </c>
    </row>
    <row r="1305" spans="1:17" x14ac:dyDescent="0.2">
      <c r="A1305" s="4" t="s">
        <v>94</v>
      </c>
      <c r="B1305" s="4">
        <v>2015</v>
      </c>
      <c r="C1305" s="4" t="s">
        <v>64</v>
      </c>
      <c r="D1305" s="4">
        <v>2</v>
      </c>
      <c r="E1305" s="4">
        <v>19</v>
      </c>
      <c r="F1305" s="4">
        <v>3</v>
      </c>
      <c r="G1305" s="6" t="str">
        <f t="shared" si="51"/>
        <v>193</v>
      </c>
      <c r="H1305" s="5">
        <v>8</v>
      </c>
      <c r="I1305" s="5">
        <v>127.2</v>
      </c>
      <c r="J1305" s="5">
        <v>7983.3951074870274</v>
      </c>
      <c r="K1305" s="5">
        <v>10.9</v>
      </c>
      <c r="L1305" s="5">
        <v>126.4</v>
      </c>
      <c r="M1305" s="5">
        <v>7933.1850753644676</v>
      </c>
      <c r="N1305" s="5">
        <v>26.605504587155966</v>
      </c>
      <c r="O1305" s="5">
        <v>0.79999999999999716</v>
      </c>
      <c r="P1305" s="5">
        <v>50.210032122559824</v>
      </c>
      <c r="Q1305" s="5">
        <v>0.63291139240506211</v>
      </c>
    </row>
    <row r="1306" spans="1:17" x14ac:dyDescent="0.2">
      <c r="A1306" s="4" t="s">
        <v>94</v>
      </c>
      <c r="B1306" s="4">
        <v>2015</v>
      </c>
      <c r="C1306" s="4" t="s">
        <v>64</v>
      </c>
      <c r="D1306" s="4">
        <v>3</v>
      </c>
      <c r="E1306" s="4">
        <v>19</v>
      </c>
      <c r="F1306" s="4">
        <v>3</v>
      </c>
      <c r="G1306" s="6" t="str">
        <f t="shared" si="51"/>
        <v>193</v>
      </c>
      <c r="H1306" s="5">
        <v>4</v>
      </c>
      <c r="I1306" s="5">
        <v>127</v>
      </c>
      <c r="J1306" s="5">
        <v>7970.8425994563877</v>
      </c>
      <c r="K1306" s="5">
        <v>10.9</v>
      </c>
      <c r="L1306" s="5">
        <v>126.4</v>
      </c>
      <c r="M1306" s="5">
        <v>7933.1850753644676</v>
      </c>
      <c r="N1306" s="5">
        <v>63.302752293577981</v>
      </c>
      <c r="O1306" s="5">
        <v>0.59999999999999432</v>
      </c>
      <c r="P1306" s="5">
        <v>37.657524091920095</v>
      </c>
      <c r="Q1306" s="5">
        <v>0.47468354430379939</v>
      </c>
    </row>
    <row r="1307" spans="1:17" x14ac:dyDescent="0.2">
      <c r="A1307" s="4" t="s">
        <v>94</v>
      </c>
      <c r="B1307" s="4">
        <v>2015</v>
      </c>
      <c r="C1307" s="4" t="s">
        <v>64</v>
      </c>
      <c r="D1307" s="4">
        <v>4</v>
      </c>
      <c r="E1307" s="4">
        <v>19</v>
      </c>
      <c r="F1307" s="4">
        <v>3</v>
      </c>
      <c r="G1307" s="6" t="str">
        <f t="shared" si="51"/>
        <v>193</v>
      </c>
      <c r="H1307" s="5">
        <v>6</v>
      </c>
      <c r="I1307" s="5">
        <v>127.1</v>
      </c>
      <c r="J1307" s="5">
        <v>7977.1188534717066</v>
      </c>
      <c r="K1307" s="5">
        <v>10.9</v>
      </c>
      <c r="L1307" s="5">
        <v>126.4</v>
      </c>
      <c r="M1307" s="5">
        <v>7933.1850753644676</v>
      </c>
      <c r="N1307" s="5">
        <v>44.954128440366972</v>
      </c>
      <c r="O1307" s="5">
        <v>0.69999999999998863</v>
      </c>
      <c r="P1307" s="5">
        <v>43.93377810723905</v>
      </c>
      <c r="Q1307" s="5">
        <v>0.55379746835441923</v>
      </c>
    </row>
    <row r="1308" spans="1:17" x14ac:dyDescent="0.2">
      <c r="A1308" s="4" t="s">
        <v>91</v>
      </c>
      <c r="B1308" s="4">
        <v>2015</v>
      </c>
      <c r="C1308" s="4" t="s">
        <v>64</v>
      </c>
      <c r="D1308" s="4">
        <v>1</v>
      </c>
      <c r="E1308" s="4">
        <v>19</v>
      </c>
      <c r="F1308" s="4">
        <v>3</v>
      </c>
      <c r="G1308" s="6" t="str">
        <f t="shared" si="51"/>
        <v>193</v>
      </c>
      <c r="H1308" s="5">
        <v>12</v>
      </c>
      <c r="I1308" s="5">
        <v>216.16029469321973</v>
      </c>
      <c r="J1308" s="5">
        <v>13566.769175210726</v>
      </c>
      <c r="K1308" s="5">
        <v>30</v>
      </c>
      <c r="L1308" s="5">
        <v>195.3</v>
      </c>
      <c r="M1308" s="5">
        <v>12257.52409191994</v>
      </c>
      <c r="N1308" s="5">
        <v>60</v>
      </c>
      <c r="O1308" s="5">
        <v>20.860294693219714</v>
      </c>
      <c r="P1308" s="5">
        <v>1309.2450832907853</v>
      </c>
      <c r="Q1308" s="5">
        <v>10.68115447681501</v>
      </c>
    </row>
    <row r="1309" spans="1:17" s="7" customFormat="1" x14ac:dyDescent="0.2">
      <c r="A1309" s="7" t="s">
        <v>91</v>
      </c>
      <c r="B1309" s="7">
        <v>2015</v>
      </c>
      <c r="C1309" s="7" t="s">
        <v>64</v>
      </c>
      <c r="D1309" s="7">
        <v>2</v>
      </c>
      <c r="E1309" s="7">
        <v>19</v>
      </c>
      <c r="F1309" s="7">
        <v>3</v>
      </c>
      <c r="G1309" s="6" t="str">
        <f t="shared" si="51"/>
        <v>193</v>
      </c>
      <c r="H1309" s="9">
        <v>10</v>
      </c>
      <c r="I1309" s="9">
        <v>197.21593185219294</v>
      </c>
      <c r="J1309" s="9">
        <v>12377.772841723994</v>
      </c>
      <c r="K1309" s="9">
        <v>30</v>
      </c>
      <c r="L1309" s="9">
        <v>195.3</v>
      </c>
      <c r="M1309" s="9">
        <v>12257.52409191994</v>
      </c>
      <c r="N1309" s="9">
        <v>66.666666666666657</v>
      </c>
      <c r="O1309" s="9">
        <v>1.9159318521929265</v>
      </c>
      <c r="P1309" s="9">
        <v>120.24874980405366</v>
      </c>
      <c r="Q1309" s="9">
        <v>0.98101989359597219</v>
      </c>
    </row>
    <row r="1310" spans="1:17" x14ac:dyDescent="0.2">
      <c r="A1310" s="4" t="s">
        <v>91</v>
      </c>
      <c r="B1310" s="4">
        <v>2015</v>
      </c>
      <c r="C1310" s="4" t="s">
        <v>64</v>
      </c>
      <c r="D1310" s="4">
        <v>3</v>
      </c>
      <c r="E1310" s="4">
        <v>19</v>
      </c>
      <c r="F1310" s="4">
        <v>3</v>
      </c>
      <c r="G1310" s="6" t="str">
        <f t="shared" si="51"/>
        <v>193</v>
      </c>
      <c r="H1310" s="5">
        <v>10</v>
      </c>
      <c r="I1310" s="5">
        <v>200.96418786692757</v>
      </c>
      <c r="J1310" s="5">
        <v>12613.022910353249</v>
      </c>
      <c r="K1310" s="5">
        <v>30</v>
      </c>
      <c r="L1310" s="5">
        <v>195.3</v>
      </c>
      <c r="M1310" s="5">
        <v>12257.52409191994</v>
      </c>
      <c r="N1310" s="5">
        <v>66.666666666666657</v>
      </c>
      <c r="O1310" s="5">
        <v>5.6641878669275627</v>
      </c>
      <c r="P1310" s="5">
        <v>355.49881843330877</v>
      </c>
      <c r="Q1310" s="5">
        <v>2.9002498038543583</v>
      </c>
    </row>
    <row r="1311" spans="1:17" x14ac:dyDescent="0.2">
      <c r="A1311" s="4" t="s">
        <v>91</v>
      </c>
      <c r="B1311" s="4">
        <v>2015</v>
      </c>
      <c r="C1311" s="4" t="s">
        <v>64</v>
      </c>
      <c r="D1311" s="4">
        <v>4</v>
      </c>
      <c r="E1311" s="4">
        <v>19</v>
      </c>
      <c r="F1311" s="4">
        <v>3</v>
      </c>
      <c r="G1311" s="6" t="str">
        <f t="shared" si="51"/>
        <v>193</v>
      </c>
      <c r="H1311" s="5">
        <v>10</v>
      </c>
      <c r="I1311" s="5">
        <v>207.12185794865889</v>
      </c>
      <c r="J1311" s="5">
        <v>12999.493926108069</v>
      </c>
      <c r="K1311" s="5">
        <v>30</v>
      </c>
      <c r="L1311" s="5">
        <v>195.3</v>
      </c>
      <c r="M1311" s="5">
        <v>12257.52409191994</v>
      </c>
      <c r="N1311" s="5">
        <v>66.666666666666657</v>
      </c>
      <c r="O1311" s="5">
        <v>11.821857948658874</v>
      </c>
      <c r="P1311" s="5">
        <v>741.96983418812852</v>
      </c>
      <c r="Q1311" s="5">
        <v>6.0531786731484294</v>
      </c>
    </row>
    <row r="1312" spans="1:17" x14ac:dyDescent="0.2">
      <c r="A1312" s="4" t="s">
        <v>91</v>
      </c>
      <c r="B1312" s="4">
        <v>2015</v>
      </c>
      <c r="C1312" s="4" t="s">
        <v>64</v>
      </c>
      <c r="D1312" s="4">
        <v>5</v>
      </c>
      <c r="E1312" s="4">
        <v>19</v>
      </c>
      <c r="F1312" s="4">
        <v>3</v>
      </c>
      <c r="G1312" s="6" t="str">
        <f t="shared" si="51"/>
        <v>193</v>
      </c>
      <c r="H1312" s="5">
        <v>8</v>
      </c>
      <c r="I1312" s="5">
        <v>209.18277195809827</v>
      </c>
      <c r="J1312" s="5">
        <v>13128.842124377801</v>
      </c>
      <c r="K1312" s="5">
        <v>30</v>
      </c>
      <c r="L1312" s="5">
        <v>195.3</v>
      </c>
      <c r="M1312" s="5">
        <v>12257.52409191994</v>
      </c>
      <c r="N1312" s="5">
        <v>73.333333333333329</v>
      </c>
      <c r="O1312" s="5">
        <v>13.88277195809826</v>
      </c>
      <c r="P1312" s="5">
        <v>871.31803245786068</v>
      </c>
      <c r="Q1312" s="5">
        <v>7.1084341823339861</v>
      </c>
    </row>
    <row r="1313" spans="1:17" x14ac:dyDescent="0.2">
      <c r="A1313" s="4" t="s">
        <v>91</v>
      </c>
      <c r="B1313" s="4">
        <v>2015</v>
      </c>
      <c r="C1313" s="4" t="s">
        <v>64</v>
      </c>
      <c r="D1313" s="4">
        <v>6</v>
      </c>
      <c r="E1313" s="4">
        <v>19</v>
      </c>
      <c r="F1313" s="4">
        <v>3</v>
      </c>
      <c r="G1313" s="6" t="str">
        <f t="shared" si="51"/>
        <v>193</v>
      </c>
      <c r="H1313" s="5">
        <v>5</v>
      </c>
      <c r="I1313" s="5">
        <v>208.65876827443307</v>
      </c>
      <c r="J1313" s="5">
        <v>13095.954322141339</v>
      </c>
      <c r="K1313" s="5">
        <v>30</v>
      </c>
      <c r="L1313" s="5">
        <v>195.3</v>
      </c>
      <c r="M1313" s="5">
        <v>12257.52409191994</v>
      </c>
      <c r="N1313" s="5">
        <v>83.333333333333343</v>
      </c>
      <c r="O1313" s="5">
        <v>13.358768274433061</v>
      </c>
      <c r="P1313" s="5">
        <v>838.43023022139823</v>
      </c>
      <c r="Q1313" s="5">
        <v>6.8401271246457078</v>
      </c>
    </row>
    <row r="1314" spans="1:17" x14ac:dyDescent="0.2">
      <c r="A1314" s="4" t="s">
        <v>73</v>
      </c>
      <c r="B1314" s="4">
        <v>2015</v>
      </c>
      <c r="C1314" s="12" t="s">
        <v>72</v>
      </c>
      <c r="D1314" s="12">
        <v>1</v>
      </c>
      <c r="E1314" s="12">
        <v>1</v>
      </c>
      <c r="F1314" s="6">
        <v>0</v>
      </c>
      <c r="G1314" s="6" t="str">
        <f t="shared" si="51"/>
        <v>10</v>
      </c>
      <c r="H1314" s="5">
        <v>6.9</v>
      </c>
      <c r="I1314" s="5">
        <v>196.81</v>
      </c>
      <c r="J1314" s="5">
        <v>12352.295527551272</v>
      </c>
      <c r="K1314" s="5">
        <v>6.9</v>
      </c>
      <c r="L1314" s="5">
        <v>196.81</v>
      </c>
      <c r="M1314" s="5">
        <v>12352.295527551272</v>
      </c>
      <c r="N1314" s="5">
        <v>0</v>
      </c>
      <c r="O1314" s="5">
        <v>0</v>
      </c>
      <c r="P1314" s="5">
        <v>0</v>
      </c>
      <c r="Q1314" s="5">
        <v>0</v>
      </c>
    </row>
    <row r="1315" spans="1:17" x14ac:dyDescent="0.2">
      <c r="A1315" s="4" t="s">
        <v>73</v>
      </c>
      <c r="B1315" s="4">
        <v>2015</v>
      </c>
      <c r="C1315" s="12" t="s">
        <v>72</v>
      </c>
      <c r="D1315" s="12">
        <v>2</v>
      </c>
      <c r="E1315" s="12">
        <v>1</v>
      </c>
      <c r="F1315" s="6">
        <v>0</v>
      </c>
      <c r="G1315" s="6" t="str">
        <f t="shared" si="51"/>
        <v>10</v>
      </c>
      <c r="H1315" s="5">
        <v>6.9</v>
      </c>
      <c r="I1315" s="5">
        <v>196.81</v>
      </c>
      <c r="J1315" s="5">
        <v>12352.295527551272</v>
      </c>
      <c r="K1315" s="5">
        <v>6.9</v>
      </c>
      <c r="L1315" s="5">
        <v>196.81</v>
      </c>
      <c r="M1315" s="5">
        <v>12352.295527551272</v>
      </c>
      <c r="N1315" s="5">
        <v>0</v>
      </c>
      <c r="O1315" s="5">
        <v>0</v>
      </c>
      <c r="P1315" s="5">
        <v>0</v>
      </c>
      <c r="Q1315" s="5">
        <v>0</v>
      </c>
    </row>
    <row r="1316" spans="1:17" x14ac:dyDescent="0.2">
      <c r="A1316" s="4" t="s">
        <v>73</v>
      </c>
      <c r="B1316" s="4">
        <v>2015</v>
      </c>
      <c r="C1316" s="12" t="s">
        <v>72</v>
      </c>
      <c r="D1316" s="12">
        <v>3</v>
      </c>
      <c r="E1316" s="12">
        <v>1</v>
      </c>
      <c r="F1316" s="6">
        <v>0</v>
      </c>
      <c r="G1316" s="6" t="str">
        <f t="shared" si="51"/>
        <v>10</v>
      </c>
      <c r="H1316" s="5">
        <v>6.9</v>
      </c>
      <c r="I1316" s="5">
        <v>196.81</v>
      </c>
      <c r="J1316" s="5">
        <v>12352.295527551272</v>
      </c>
      <c r="K1316" s="5">
        <v>6.9</v>
      </c>
      <c r="L1316" s="5">
        <v>196.81</v>
      </c>
      <c r="M1316" s="5">
        <v>12352.295527551272</v>
      </c>
      <c r="N1316" s="5">
        <v>0</v>
      </c>
      <c r="O1316" s="5">
        <v>0</v>
      </c>
      <c r="P1316" s="5">
        <v>0</v>
      </c>
      <c r="Q1316" s="5">
        <v>0</v>
      </c>
    </row>
    <row r="1317" spans="1:17" x14ac:dyDescent="0.2">
      <c r="A1317" s="4" t="s">
        <v>73</v>
      </c>
      <c r="B1317" s="4">
        <v>2015</v>
      </c>
      <c r="C1317" s="12" t="s">
        <v>72</v>
      </c>
      <c r="D1317" s="12">
        <v>4</v>
      </c>
      <c r="E1317" s="12">
        <v>1</v>
      </c>
      <c r="F1317" s="6">
        <v>0</v>
      </c>
      <c r="G1317" s="6" t="str">
        <f t="shared" si="51"/>
        <v>10</v>
      </c>
      <c r="H1317" s="5">
        <v>6.9</v>
      </c>
      <c r="I1317" s="5">
        <v>196.81</v>
      </c>
      <c r="J1317" s="5">
        <v>12352.295527551272</v>
      </c>
      <c r="K1317" s="5">
        <v>6.9</v>
      </c>
      <c r="L1317" s="5">
        <v>196.81</v>
      </c>
      <c r="M1317" s="5">
        <v>12352.295527551272</v>
      </c>
      <c r="N1317" s="5">
        <v>0</v>
      </c>
      <c r="O1317" s="5">
        <v>0</v>
      </c>
      <c r="P1317" s="5">
        <v>0</v>
      </c>
      <c r="Q1317" s="5">
        <v>0</v>
      </c>
    </row>
    <row r="1318" spans="1:17" x14ac:dyDescent="0.2">
      <c r="A1318" s="4" t="s">
        <v>100</v>
      </c>
      <c r="B1318" s="4">
        <v>2015</v>
      </c>
      <c r="C1318" s="4" t="s">
        <v>72</v>
      </c>
      <c r="D1318" s="4">
        <v>1</v>
      </c>
      <c r="E1318" s="4">
        <v>1</v>
      </c>
      <c r="F1318" s="11">
        <v>0</v>
      </c>
      <c r="G1318" s="6" t="str">
        <f t="shared" si="51"/>
        <v>10</v>
      </c>
      <c r="H1318" s="5">
        <v>13.049999999999999</v>
      </c>
      <c r="I1318" s="5">
        <v>174.51053375578363</v>
      </c>
      <c r="J1318" s="5">
        <v>10952.724382003717</v>
      </c>
      <c r="K1318" s="5">
        <v>13.049999999999999</v>
      </c>
      <c r="L1318" s="5">
        <v>174.51053375578363</v>
      </c>
      <c r="M1318" s="5">
        <v>10952.724382003717</v>
      </c>
      <c r="N1318" s="5">
        <v>0</v>
      </c>
      <c r="O1318" s="5">
        <v>0</v>
      </c>
      <c r="P1318" s="5">
        <v>0</v>
      </c>
      <c r="Q1318" s="5">
        <v>0</v>
      </c>
    </row>
    <row r="1319" spans="1:17" x14ac:dyDescent="0.2">
      <c r="A1319" s="4" t="s">
        <v>100</v>
      </c>
      <c r="B1319" s="4">
        <v>2015</v>
      </c>
      <c r="C1319" s="4" t="s">
        <v>72</v>
      </c>
      <c r="D1319" s="4">
        <v>2</v>
      </c>
      <c r="E1319" s="4">
        <v>1</v>
      </c>
      <c r="F1319" s="11">
        <v>0</v>
      </c>
      <c r="G1319" s="6" t="str">
        <f t="shared" si="51"/>
        <v>10</v>
      </c>
      <c r="H1319" s="5">
        <v>13.049999999999999</v>
      </c>
      <c r="I1319" s="5">
        <v>174.51053375578363</v>
      </c>
      <c r="J1319" s="5">
        <v>10952.724382003717</v>
      </c>
      <c r="K1319" s="5">
        <v>13.049999999999999</v>
      </c>
      <c r="L1319" s="5">
        <v>174.51053375578363</v>
      </c>
      <c r="M1319" s="5">
        <v>10952.724382003717</v>
      </c>
      <c r="N1319" s="5">
        <v>0</v>
      </c>
      <c r="O1319" s="5">
        <v>0</v>
      </c>
      <c r="P1319" s="5">
        <v>0</v>
      </c>
      <c r="Q1319" s="5">
        <v>0</v>
      </c>
    </row>
    <row r="1320" spans="1:17" x14ac:dyDescent="0.2">
      <c r="A1320" s="4" t="s">
        <v>100</v>
      </c>
      <c r="B1320" s="4">
        <v>2015</v>
      </c>
      <c r="C1320" s="4" t="s">
        <v>72</v>
      </c>
      <c r="D1320" s="4">
        <v>3</v>
      </c>
      <c r="E1320" s="4">
        <v>1</v>
      </c>
      <c r="F1320" s="11">
        <v>0</v>
      </c>
      <c r="G1320" s="6" t="str">
        <f t="shared" si="51"/>
        <v>10</v>
      </c>
      <c r="H1320" s="5">
        <v>13.049999999999999</v>
      </c>
      <c r="I1320" s="5">
        <v>174.51053375578363</v>
      </c>
      <c r="J1320" s="5">
        <v>10952.724382003717</v>
      </c>
      <c r="K1320" s="5">
        <v>13.049999999999999</v>
      </c>
      <c r="L1320" s="5">
        <v>174.51053375578363</v>
      </c>
      <c r="M1320" s="5">
        <v>10952.724382003717</v>
      </c>
      <c r="N1320" s="5">
        <v>0</v>
      </c>
      <c r="O1320" s="5">
        <v>0</v>
      </c>
      <c r="P1320" s="5">
        <v>0</v>
      </c>
      <c r="Q1320" s="5">
        <v>0</v>
      </c>
    </row>
    <row r="1321" spans="1:17" x14ac:dyDescent="0.2">
      <c r="A1321" s="4" t="s">
        <v>100</v>
      </c>
      <c r="B1321" s="4">
        <v>2015</v>
      </c>
      <c r="C1321" s="4" t="s">
        <v>72</v>
      </c>
      <c r="D1321" s="4">
        <v>4</v>
      </c>
      <c r="E1321" s="4">
        <v>1</v>
      </c>
      <c r="F1321" s="11">
        <v>0</v>
      </c>
      <c r="G1321" s="6" t="str">
        <f t="shared" si="51"/>
        <v>10</v>
      </c>
      <c r="H1321" s="5">
        <v>13.049999999999999</v>
      </c>
      <c r="I1321" s="5">
        <v>174.51053375578363</v>
      </c>
      <c r="J1321" s="5">
        <v>10952.724382003717</v>
      </c>
      <c r="K1321" s="5">
        <v>13.049999999999999</v>
      </c>
      <c r="L1321" s="5">
        <v>174.51053375578363</v>
      </c>
      <c r="M1321" s="5">
        <v>10952.724382003717</v>
      </c>
      <c r="N1321" s="5">
        <v>0</v>
      </c>
      <c r="O1321" s="5">
        <v>0</v>
      </c>
      <c r="P1321" s="5">
        <v>0</v>
      </c>
      <c r="Q1321" s="5">
        <v>0</v>
      </c>
    </row>
    <row r="1322" spans="1:17" x14ac:dyDescent="0.2">
      <c r="A1322" s="4" t="s">
        <v>73</v>
      </c>
      <c r="B1322" s="4">
        <v>2015</v>
      </c>
      <c r="C1322" s="12" t="s">
        <v>72</v>
      </c>
      <c r="D1322" s="4">
        <v>1</v>
      </c>
      <c r="E1322" s="4">
        <v>2</v>
      </c>
      <c r="F1322" s="4">
        <v>1</v>
      </c>
      <c r="G1322" s="6" t="str">
        <f t="shared" si="51"/>
        <v>21</v>
      </c>
      <c r="H1322" s="5">
        <v>10</v>
      </c>
      <c r="I1322" s="5">
        <v>201.26895824175821</v>
      </c>
      <c r="J1322" s="5">
        <v>12632.151073241064</v>
      </c>
      <c r="K1322" s="5">
        <v>6.9</v>
      </c>
      <c r="L1322" s="5">
        <v>196.81</v>
      </c>
      <c r="M1322" s="5">
        <v>12352.295527551272</v>
      </c>
      <c r="N1322" s="5">
        <v>-44.927536231884055</v>
      </c>
      <c r="O1322" s="5">
        <v>4.4589582417582108</v>
      </c>
      <c r="P1322" s="5">
        <v>279.85554568979205</v>
      </c>
      <c r="Q1322" s="5">
        <v>2.2656156911530014</v>
      </c>
    </row>
    <row r="1323" spans="1:17" x14ac:dyDescent="0.2">
      <c r="A1323" s="4" t="s">
        <v>73</v>
      </c>
      <c r="B1323" s="4">
        <v>2015</v>
      </c>
      <c r="C1323" s="12" t="s">
        <v>72</v>
      </c>
      <c r="D1323" s="4">
        <v>2</v>
      </c>
      <c r="E1323" s="4">
        <v>2</v>
      </c>
      <c r="F1323" s="4">
        <v>1</v>
      </c>
      <c r="G1323" s="6" t="str">
        <f t="shared" si="51"/>
        <v>21</v>
      </c>
      <c r="H1323" s="5">
        <v>7</v>
      </c>
      <c r="I1323" s="5">
        <v>199.89850127413297</v>
      </c>
      <c r="J1323" s="5">
        <v>12546.137712782252</v>
      </c>
      <c r="K1323" s="5">
        <v>6.9</v>
      </c>
      <c r="L1323" s="5">
        <v>196.81</v>
      </c>
      <c r="M1323" s="5">
        <v>12352.295527551272</v>
      </c>
      <c r="N1323" s="5">
        <v>-1.4492753623188355</v>
      </c>
      <c r="O1323" s="5">
        <v>3.088501274132966</v>
      </c>
      <c r="P1323" s="5">
        <v>193.84218523098025</v>
      </c>
      <c r="Q1323" s="5">
        <v>1.5692806636517356</v>
      </c>
    </row>
    <row r="1324" spans="1:17" x14ac:dyDescent="0.2">
      <c r="A1324" s="4" t="s">
        <v>73</v>
      </c>
      <c r="B1324" s="4">
        <v>2015</v>
      </c>
      <c r="C1324" s="12" t="s">
        <v>72</v>
      </c>
      <c r="D1324" s="4">
        <v>3</v>
      </c>
      <c r="E1324" s="4">
        <v>2</v>
      </c>
      <c r="F1324" s="4">
        <v>1</v>
      </c>
      <c r="G1324" s="6" t="str">
        <f t="shared" si="51"/>
        <v>21</v>
      </c>
      <c r="H1324" s="5">
        <v>3.4</v>
      </c>
      <c r="I1324" s="5">
        <v>207.42765887244011</v>
      </c>
      <c r="J1324" s="5">
        <v>13018.686768865773</v>
      </c>
      <c r="K1324" s="5">
        <v>6.9</v>
      </c>
      <c r="L1324" s="5">
        <v>196.81</v>
      </c>
      <c r="M1324" s="5">
        <v>12352.295527551272</v>
      </c>
      <c r="N1324" s="5">
        <v>50.724637681159422</v>
      </c>
      <c r="O1324" s="5">
        <v>10.617658872440103</v>
      </c>
      <c r="P1324" s="5">
        <v>666.3912413145008</v>
      </c>
      <c r="Q1324" s="5">
        <v>5.3948777361110194</v>
      </c>
    </row>
    <row r="1325" spans="1:17" x14ac:dyDescent="0.2">
      <c r="A1325" s="4" t="s">
        <v>73</v>
      </c>
      <c r="B1325" s="4">
        <v>2015</v>
      </c>
      <c r="C1325" s="12" t="s">
        <v>72</v>
      </c>
      <c r="D1325" s="4">
        <v>4</v>
      </c>
      <c r="E1325" s="4">
        <v>2</v>
      </c>
      <c r="F1325" s="4">
        <v>1</v>
      </c>
      <c r="G1325" s="6" t="str">
        <f t="shared" si="51"/>
        <v>21</v>
      </c>
      <c r="H1325" s="5">
        <v>6</v>
      </c>
      <c r="I1325" s="5">
        <v>190.50902789518176</v>
      </c>
      <c r="J1325" s="5">
        <v>11956.830512818426</v>
      </c>
      <c r="K1325" s="5">
        <v>6.9</v>
      </c>
      <c r="L1325" s="5">
        <v>196.81</v>
      </c>
      <c r="M1325" s="5">
        <v>12352.295527551272</v>
      </c>
      <c r="N1325" s="5">
        <v>13.04347826086957</v>
      </c>
      <c r="O1325" s="5">
        <v>-6.3009721048182428</v>
      </c>
      <c r="P1325" s="5">
        <v>-395.46501473284661</v>
      </c>
      <c r="Q1325" s="5">
        <v>-3.201550787469249</v>
      </c>
    </row>
    <row r="1326" spans="1:17" x14ac:dyDescent="0.2">
      <c r="A1326" s="4" t="s">
        <v>100</v>
      </c>
      <c r="B1326" s="4">
        <v>2015</v>
      </c>
      <c r="C1326" s="4" t="s">
        <v>72</v>
      </c>
      <c r="D1326" s="4">
        <v>1</v>
      </c>
      <c r="E1326" s="4">
        <v>2</v>
      </c>
      <c r="F1326" s="4">
        <v>1</v>
      </c>
      <c r="G1326" s="6" t="str">
        <f t="shared" si="51"/>
        <v>21</v>
      </c>
      <c r="H1326" s="5">
        <v>10.4</v>
      </c>
      <c r="I1326" s="5">
        <v>198.3882555410691</v>
      </c>
      <c r="J1326" s="5">
        <v>12451.350854319631</v>
      </c>
      <c r="K1326" s="5">
        <v>13.049999999999999</v>
      </c>
      <c r="L1326" s="5">
        <v>174.51053375578363</v>
      </c>
      <c r="M1326" s="5">
        <v>10952.724382003717</v>
      </c>
      <c r="N1326" s="5">
        <v>20.306513409961678</v>
      </c>
      <c r="O1326" s="5">
        <v>23.877721785285473</v>
      </c>
      <c r="P1326" s="5">
        <v>1498.6264723159147</v>
      </c>
      <c r="Q1326" s="5">
        <v>13.682682226335293</v>
      </c>
    </row>
    <row r="1327" spans="1:17" x14ac:dyDescent="0.2">
      <c r="A1327" s="4" t="s">
        <v>100</v>
      </c>
      <c r="B1327" s="4">
        <v>2015</v>
      </c>
      <c r="C1327" s="4" t="s">
        <v>72</v>
      </c>
      <c r="D1327" s="4">
        <v>2</v>
      </c>
      <c r="E1327" s="4">
        <v>2</v>
      </c>
      <c r="F1327" s="4">
        <v>1</v>
      </c>
      <c r="G1327" s="6" t="str">
        <f t="shared" si="51"/>
        <v>21</v>
      </c>
      <c r="H1327" s="5">
        <v>8.6</v>
      </c>
      <c r="I1327" s="5">
        <v>177.73399186355195</v>
      </c>
      <c r="J1327" s="5">
        <v>11155.036800924683</v>
      </c>
      <c r="K1327" s="5">
        <v>13.049999999999999</v>
      </c>
      <c r="L1327" s="5">
        <v>174.51053375578363</v>
      </c>
      <c r="M1327" s="5">
        <v>10952.724382003717</v>
      </c>
      <c r="N1327" s="5">
        <v>34.099616858237546</v>
      </c>
      <c r="O1327" s="5">
        <v>3.2234581077683231</v>
      </c>
      <c r="P1327" s="5">
        <v>202.31241892096659</v>
      </c>
      <c r="Q1327" s="5">
        <v>1.8471424265307321</v>
      </c>
    </row>
    <row r="1328" spans="1:17" x14ac:dyDescent="0.2">
      <c r="A1328" s="4" t="s">
        <v>100</v>
      </c>
      <c r="B1328" s="4">
        <v>2015</v>
      </c>
      <c r="C1328" s="4" t="s">
        <v>72</v>
      </c>
      <c r="D1328" s="4">
        <v>3</v>
      </c>
      <c r="E1328" s="4">
        <v>2</v>
      </c>
      <c r="F1328" s="4">
        <v>1</v>
      </c>
      <c r="G1328" s="6" t="str">
        <f t="shared" si="51"/>
        <v>21</v>
      </c>
      <c r="H1328" s="5">
        <v>13.8</v>
      </c>
      <c r="I1328" s="5">
        <v>208.37455827474591</v>
      </c>
      <c r="J1328" s="5">
        <v>13078.116580624033</v>
      </c>
      <c r="K1328" s="5">
        <v>13.049999999999999</v>
      </c>
      <c r="L1328" s="5">
        <v>174.51053375578363</v>
      </c>
      <c r="M1328" s="5">
        <v>10952.724382003717</v>
      </c>
      <c r="N1328" s="5">
        <v>-5.747126436781623</v>
      </c>
      <c r="O1328" s="5">
        <v>33.864024518962282</v>
      </c>
      <c r="P1328" s="5">
        <v>2125.3921986203168</v>
      </c>
      <c r="Q1328" s="5">
        <v>19.405146377211153</v>
      </c>
    </row>
    <row r="1329" spans="1:17" x14ac:dyDescent="0.2">
      <c r="A1329" s="4" t="s">
        <v>100</v>
      </c>
      <c r="B1329" s="4">
        <v>2015</v>
      </c>
      <c r="C1329" s="4" t="s">
        <v>72</v>
      </c>
      <c r="D1329" s="4">
        <v>4</v>
      </c>
      <c r="E1329" s="4">
        <v>2</v>
      </c>
      <c r="F1329" s="4">
        <v>1</v>
      </c>
      <c r="G1329" s="6" t="str">
        <f t="shared" si="51"/>
        <v>21</v>
      </c>
      <c r="H1329" s="5">
        <v>3.8</v>
      </c>
      <c r="I1329" s="5">
        <v>205.73148517034807</v>
      </c>
      <c r="J1329" s="5">
        <v>12912.23059878142</v>
      </c>
      <c r="K1329" s="5">
        <v>13.049999999999999</v>
      </c>
      <c r="L1329" s="5">
        <v>174.51053375578363</v>
      </c>
      <c r="M1329" s="5">
        <v>10952.724382003717</v>
      </c>
      <c r="N1329" s="5">
        <v>70.88122605363985</v>
      </c>
      <c r="O1329" s="5">
        <v>31.220951414564439</v>
      </c>
      <c r="P1329" s="5">
        <v>1959.5062167777032</v>
      </c>
      <c r="Q1329" s="5">
        <v>17.890582730241466</v>
      </c>
    </row>
    <row r="1330" spans="1:17" x14ac:dyDescent="0.2">
      <c r="A1330" s="4" t="s">
        <v>73</v>
      </c>
      <c r="B1330" s="4">
        <v>2015</v>
      </c>
      <c r="C1330" s="12" t="s">
        <v>72</v>
      </c>
      <c r="D1330" s="4">
        <v>1</v>
      </c>
      <c r="E1330" s="4">
        <v>3</v>
      </c>
      <c r="F1330" s="4">
        <v>1</v>
      </c>
      <c r="G1330" s="6" t="str">
        <f t="shared" si="51"/>
        <v>31</v>
      </c>
      <c r="H1330" s="5">
        <v>2.6</v>
      </c>
      <c r="I1330" s="5">
        <v>217.34349379530963</v>
      </c>
      <c r="J1330" s="5">
        <v>13641.029756364875</v>
      </c>
      <c r="K1330" s="5">
        <v>6.9</v>
      </c>
      <c r="L1330" s="5">
        <v>196.81</v>
      </c>
      <c r="M1330" s="5">
        <v>12352.295527551272</v>
      </c>
      <c r="N1330" s="5">
        <v>62.318840579710155</v>
      </c>
      <c r="O1330" s="5">
        <v>20.533493795309624</v>
      </c>
      <c r="P1330" s="5">
        <v>1288.7342288136024</v>
      </c>
      <c r="Q1330" s="5">
        <v>10.433155731573416</v>
      </c>
    </row>
    <row r="1331" spans="1:17" x14ac:dyDescent="0.2">
      <c r="A1331" s="4" t="s">
        <v>73</v>
      </c>
      <c r="B1331" s="4">
        <v>2015</v>
      </c>
      <c r="C1331" s="12" t="s">
        <v>72</v>
      </c>
      <c r="D1331" s="4">
        <v>2</v>
      </c>
      <c r="E1331" s="4">
        <v>3</v>
      </c>
      <c r="F1331" s="4">
        <v>1</v>
      </c>
      <c r="G1331" s="6" t="str">
        <f t="shared" si="51"/>
        <v>31</v>
      </c>
      <c r="H1331" s="5">
        <v>2.6</v>
      </c>
      <c r="I1331" s="5">
        <v>219.87121724429417</v>
      </c>
      <c r="J1331" s="5">
        <v>13799.676100827952</v>
      </c>
      <c r="K1331" s="5">
        <v>6.9</v>
      </c>
      <c r="L1331" s="5">
        <v>196.81</v>
      </c>
      <c r="M1331" s="5">
        <v>12352.295527551272</v>
      </c>
      <c r="N1331" s="5">
        <v>62.318840579710155</v>
      </c>
      <c r="O1331" s="5">
        <v>23.06121724429417</v>
      </c>
      <c r="P1331" s="5">
        <v>1447.3805732766796</v>
      </c>
      <c r="Q1331" s="5">
        <v>11.717502791674296</v>
      </c>
    </row>
    <row r="1332" spans="1:17" x14ac:dyDescent="0.2">
      <c r="A1332" s="4" t="s">
        <v>73</v>
      </c>
      <c r="B1332" s="4">
        <v>2015</v>
      </c>
      <c r="C1332" s="12" t="s">
        <v>72</v>
      </c>
      <c r="D1332" s="4">
        <v>3</v>
      </c>
      <c r="E1332" s="4">
        <v>3</v>
      </c>
      <c r="F1332" s="4">
        <v>1</v>
      </c>
      <c r="G1332" s="6" t="str">
        <f t="shared" si="51"/>
        <v>31</v>
      </c>
      <c r="H1332" s="5">
        <v>4.4000000000000004</v>
      </c>
      <c r="I1332" s="5">
        <v>197.72092877885666</v>
      </c>
      <c r="J1332" s="5">
        <v>12409.467731610968</v>
      </c>
      <c r="K1332" s="5">
        <v>6.9</v>
      </c>
      <c r="L1332" s="5">
        <v>196.81</v>
      </c>
      <c r="M1332" s="5">
        <v>12352.295527551272</v>
      </c>
      <c r="N1332" s="5">
        <v>36.231884057971016</v>
      </c>
      <c r="O1332" s="5">
        <v>0.91092877885665757</v>
      </c>
      <c r="P1332" s="5">
        <v>57.172204059696014</v>
      </c>
      <c r="Q1332" s="5">
        <v>0.46284679582168214</v>
      </c>
    </row>
    <row r="1333" spans="1:17" x14ac:dyDescent="0.2">
      <c r="A1333" s="4" t="s">
        <v>73</v>
      </c>
      <c r="B1333" s="4">
        <v>2015</v>
      </c>
      <c r="C1333" s="12" t="s">
        <v>72</v>
      </c>
      <c r="D1333" s="4">
        <v>4</v>
      </c>
      <c r="E1333" s="4">
        <v>3</v>
      </c>
      <c r="F1333" s="4">
        <v>1</v>
      </c>
      <c r="G1333" s="6" t="str">
        <f t="shared" si="51"/>
        <v>31</v>
      </c>
      <c r="H1333" s="5">
        <v>1.7</v>
      </c>
      <c r="I1333" s="5">
        <v>206.76388032336027</v>
      </c>
      <c r="J1333" s="5">
        <v>12977.026341026318</v>
      </c>
      <c r="K1333" s="5">
        <v>6.9</v>
      </c>
      <c r="L1333" s="5">
        <v>196.81</v>
      </c>
      <c r="M1333" s="5">
        <v>12352.295527551272</v>
      </c>
      <c r="N1333" s="5">
        <v>75.362318840579718</v>
      </c>
      <c r="O1333" s="5">
        <v>9.9538803233602664</v>
      </c>
      <c r="P1333" s="5">
        <v>624.73081347504558</v>
      </c>
      <c r="Q1333" s="5">
        <v>5.0576090256390804</v>
      </c>
    </row>
    <row r="1334" spans="1:17" x14ac:dyDescent="0.2">
      <c r="A1334" s="4" t="s">
        <v>100</v>
      </c>
      <c r="B1334" s="4">
        <v>2015</v>
      </c>
      <c r="C1334" s="4" t="s">
        <v>72</v>
      </c>
      <c r="D1334" s="4">
        <v>1</v>
      </c>
      <c r="E1334" s="4">
        <v>3</v>
      </c>
      <c r="F1334" s="4">
        <v>1</v>
      </c>
      <c r="G1334" s="6" t="str">
        <f t="shared" si="51"/>
        <v>31</v>
      </c>
      <c r="H1334" s="5">
        <v>3.6</v>
      </c>
      <c r="I1334" s="5">
        <v>188.47556617295749</v>
      </c>
      <c r="J1334" s="5">
        <v>11829.205289827329</v>
      </c>
      <c r="K1334" s="5">
        <v>13.049999999999999</v>
      </c>
      <c r="L1334" s="5">
        <v>174.51053375578363</v>
      </c>
      <c r="M1334" s="5">
        <v>10952.724382003717</v>
      </c>
      <c r="N1334" s="5">
        <v>72.41379310344827</v>
      </c>
      <c r="O1334" s="5">
        <v>13.965032417173859</v>
      </c>
      <c r="P1334" s="5">
        <v>876.48090782361214</v>
      </c>
      <c r="Q1334" s="5">
        <v>8.0024008388611243</v>
      </c>
    </row>
    <row r="1335" spans="1:17" x14ac:dyDescent="0.2">
      <c r="A1335" s="4" t="s">
        <v>100</v>
      </c>
      <c r="B1335" s="4">
        <v>2015</v>
      </c>
      <c r="C1335" s="4" t="s">
        <v>72</v>
      </c>
      <c r="D1335" s="4">
        <v>2</v>
      </c>
      <c r="E1335" s="4">
        <v>3</v>
      </c>
      <c r="F1335" s="4">
        <v>1</v>
      </c>
      <c r="G1335" s="6" t="str">
        <f t="shared" si="51"/>
        <v>31</v>
      </c>
      <c r="H1335" s="5">
        <v>8.8000000000000007</v>
      </c>
      <c r="I1335" s="5">
        <v>167.96519582981119</v>
      </c>
      <c r="J1335" s="5">
        <v>10541.92234760861</v>
      </c>
      <c r="K1335" s="5">
        <v>13.049999999999999</v>
      </c>
      <c r="L1335" s="5">
        <v>174.51053375578363</v>
      </c>
      <c r="M1335" s="5">
        <v>10952.724382003717</v>
      </c>
      <c r="N1335" s="5">
        <v>32.567049808429111</v>
      </c>
      <c r="O1335" s="5">
        <v>-6.5453379259724329</v>
      </c>
      <c r="P1335" s="5">
        <v>-410.8020343951066</v>
      </c>
      <c r="Q1335" s="5">
        <v>-3.7506835748564096</v>
      </c>
    </row>
    <row r="1336" spans="1:17" x14ac:dyDescent="0.2">
      <c r="A1336" s="4" t="s">
        <v>100</v>
      </c>
      <c r="B1336" s="4">
        <v>2015</v>
      </c>
      <c r="C1336" s="4" t="s">
        <v>72</v>
      </c>
      <c r="D1336" s="4">
        <v>3</v>
      </c>
      <c r="E1336" s="4">
        <v>3</v>
      </c>
      <c r="F1336" s="4">
        <v>1</v>
      </c>
      <c r="G1336" s="6" t="str">
        <f t="shared" si="51"/>
        <v>31</v>
      </c>
      <c r="H1336" s="5">
        <v>14.6</v>
      </c>
      <c r="I1336" s="5">
        <v>191.23318681318682</v>
      </c>
      <c r="J1336" s="5">
        <v>12002.280565987016</v>
      </c>
      <c r="K1336" s="5">
        <v>13.049999999999999</v>
      </c>
      <c r="L1336" s="5">
        <v>174.51053375578363</v>
      </c>
      <c r="M1336" s="5">
        <v>10952.724382003717</v>
      </c>
      <c r="N1336" s="5">
        <v>-11.877394636015332</v>
      </c>
      <c r="O1336" s="5">
        <v>16.722653057403193</v>
      </c>
      <c r="P1336" s="5">
        <v>1049.556183983299</v>
      </c>
      <c r="Q1336" s="5">
        <v>9.5826038104986146</v>
      </c>
    </row>
    <row r="1337" spans="1:17" x14ac:dyDescent="0.2">
      <c r="A1337" s="4" t="s">
        <v>100</v>
      </c>
      <c r="B1337" s="4">
        <v>2015</v>
      </c>
      <c r="C1337" s="4" t="s">
        <v>72</v>
      </c>
      <c r="D1337" s="4">
        <v>4</v>
      </c>
      <c r="E1337" s="4">
        <v>3</v>
      </c>
      <c r="F1337" s="4">
        <v>1</v>
      </c>
      <c r="G1337" s="6" t="str">
        <f t="shared" si="51"/>
        <v>31</v>
      </c>
      <c r="H1337" s="5">
        <v>7.2</v>
      </c>
      <c r="I1337" s="5">
        <v>149.84853278589543</v>
      </c>
      <c r="J1337" s="5">
        <v>9404.8745558728533</v>
      </c>
      <c r="K1337" s="5">
        <v>13.049999999999999</v>
      </c>
      <c r="L1337" s="5">
        <v>174.51053375578363</v>
      </c>
      <c r="M1337" s="5">
        <v>10952.724382003717</v>
      </c>
      <c r="N1337" s="5">
        <v>44.827586206896548</v>
      </c>
      <c r="O1337" s="5">
        <v>-24.662000969888197</v>
      </c>
      <c r="P1337" s="5">
        <v>-1547.8498261308632</v>
      </c>
      <c r="Q1337" s="5">
        <v>-14.132098755941632</v>
      </c>
    </row>
    <row r="1338" spans="1:17" x14ac:dyDescent="0.2">
      <c r="A1338" s="4" t="s">
        <v>73</v>
      </c>
      <c r="B1338" s="4">
        <v>2015</v>
      </c>
      <c r="C1338" s="12" t="s">
        <v>72</v>
      </c>
      <c r="D1338" s="4">
        <v>1</v>
      </c>
      <c r="E1338" s="4">
        <v>4</v>
      </c>
      <c r="F1338" s="4">
        <v>1</v>
      </c>
      <c r="G1338" s="6" t="str">
        <f t="shared" si="51"/>
        <v>41</v>
      </c>
      <c r="H1338" s="5">
        <v>5.2</v>
      </c>
      <c r="I1338" s="5">
        <v>198.70224740601748</v>
      </c>
      <c r="J1338" s="5">
        <v>12471.057781351232</v>
      </c>
      <c r="K1338" s="5">
        <v>6.9</v>
      </c>
      <c r="L1338" s="5">
        <v>196.81</v>
      </c>
      <c r="M1338" s="5">
        <v>12352.295527551272</v>
      </c>
      <c r="N1338" s="5">
        <v>24.637681159420293</v>
      </c>
      <c r="O1338" s="5">
        <v>1.892247406017475</v>
      </c>
      <c r="P1338" s="5">
        <v>118.76225379995958</v>
      </c>
      <c r="Q1338" s="5">
        <v>0.96145897363826349</v>
      </c>
    </row>
    <row r="1339" spans="1:17" x14ac:dyDescent="0.2">
      <c r="A1339" s="4" t="s">
        <v>73</v>
      </c>
      <c r="B1339" s="4">
        <v>2015</v>
      </c>
      <c r="C1339" s="12" t="s">
        <v>72</v>
      </c>
      <c r="D1339" s="4">
        <v>2</v>
      </c>
      <c r="E1339" s="4">
        <v>4</v>
      </c>
      <c r="F1339" s="4">
        <v>1</v>
      </c>
      <c r="G1339" s="6" t="str">
        <f t="shared" si="51"/>
        <v>41</v>
      </c>
      <c r="H1339" s="5">
        <v>3.3</v>
      </c>
      <c r="I1339" s="5">
        <v>196.65128655959424</v>
      </c>
      <c r="J1339" s="5">
        <v>12342.334268874953</v>
      </c>
      <c r="K1339" s="5">
        <v>6.9</v>
      </c>
      <c r="L1339" s="5">
        <v>196.81</v>
      </c>
      <c r="M1339" s="5">
        <v>12352.295527551272</v>
      </c>
      <c r="N1339" s="5">
        <v>52.173913043478272</v>
      </c>
      <c r="O1339" s="5">
        <v>-0.15871344040576219</v>
      </c>
      <c r="P1339" s="5">
        <v>-9.9612586763196305</v>
      </c>
      <c r="Q1339" s="5">
        <v>-8.0642975664737493E-2</v>
      </c>
    </row>
    <row r="1340" spans="1:17" x14ac:dyDescent="0.2">
      <c r="A1340" s="4" t="s">
        <v>73</v>
      </c>
      <c r="B1340" s="4">
        <v>2015</v>
      </c>
      <c r="C1340" s="12" t="s">
        <v>72</v>
      </c>
      <c r="D1340" s="4">
        <v>3</v>
      </c>
      <c r="E1340" s="4">
        <v>4</v>
      </c>
      <c r="F1340" s="4">
        <v>1</v>
      </c>
      <c r="G1340" s="6" t="str">
        <f t="shared" si="51"/>
        <v>41</v>
      </c>
      <c r="H1340" s="5">
        <v>8</v>
      </c>
      <c r="I1340" s="5">
        <v>191.52162299239222</v>
      </c>
      <c r="J1340" s="5">
        <v>12020.383553266031</v>
      </c>
      <c r="K1340" s="5">
        <v>6.9</v>
      </c>
      <c r="L1340" s="5">
        <v>196.81</v>
      </c>
      <c r="M1340" s="5">
        <v>12352.295527551272</v>
      </c>
      <c r="N1340" s="5">
        <v>-15.942028985507239</v>
      </c>
      <c r="O1340" s="5">
        <v>-5.2883770076077781</v>
      </c>
      <c r="P1340" s="5">
        <v>-331.91197428524174</v>
      </c>
      <c r="Q1340" s="5">
        <v>-2.6870469018890142</v>
      </c>
    </row>
    <row r="1341" spans="1:17" x14ac:dyDescent="0.2">
      <c r="A1341" s="4" t="s">
        <v>73</v>
      </c>
      <c r="B1341" s="4">
        <v>2015</v>
      </c>
      <c r="C1341" s="12" t="s">
        <v>72</v>
      </c>
      <c r="D1341" s="4">
        <v>4</v>
      </c>
      <c r="E1341" s="4">
        <v>4</v>
      </c>
      <c r="F1341" s="4">
        <v>1</v>
      </c>
      <c r="G1341" s="6" t="str">
        <f t="shared" si="51"/>
        <v>41</v>
      </c>
      <c r="H1341" s="5">
        <v>6</v>
      </c>
      <c r="I1341" s="5">
        <v>204.47056635672024</v>
      </c>
      <c r="J1341" s="5">
        <v>12833.092131111178</v>
      </c>
      <c r="K1341" s="5">
        <v>6.9</v>
      </c>
      <c r="L1341" s="5">
        <v>196.81</v>
      </c>
      <c r="M1341" s="5">
        <v>12352.295527551272</v>
      </c>
      <c r="N1341" s="5">
        <v>13.04347826086957</v>
      </c>
      <c r="O1341" s="5">
        <v>7.6605663567202384</v>
      </c>
      <c r="P1341" s="5">
        <v>480.79660355990563</v>
      </c>
      <c r="Q1341" s="5">
        <v>3.8923664228038355</v>
      </c>
    </row>
    <row r="1342" spans="1:17" x14ac:dyDescent="0.2">
      <c r="A1342" s="4" t="s">
        <v>100</v>
      </c>
      <c r="B1342" s="4">
        <v>2015</v>
      </c>
      <c r="C1342" s="4" t="s">
        <v>72</v>
      </c>
      <c r="D1342" s="4">
        <v>1</v>
      </c>
      <c r="E1342" s="4">
        <v>4</v>
      </c>
      <c r="F1342" s="4">
        <v>1</v>
      </c>
      <c r="G1342" s="6" t="str">
        <f t="shared" si="51"/>
        <v>41</v>
      </c>
      <c r="H1342" s="5">
        <v>10.6</v>
      </c>
      <c r="I1342" s="5">
        <v>143.60156317055723</v>
      </c>
      <c r="J1342" s="5">
        <v>9012.7988745543698</v>
      </c>
      <c r="K1342" s="5">
        <v>13.049999999999999</v>
      </c>
      <c r="L1342" s="5">
        <v>174.51053375578363</v>
      </c>
      <c r="M1342" s="5">
        <v>10952.724382003717</v>
      </c>
      <c r="N1342" s="5">
        <v>18.773946360153253</v>
      </c>
      <c r="O1342" s="5">
        <v>-30.908970585226399</v>
      </c>
      <c r="P1342" s="5">
        <v>-1939.9255074493467</v>
      </c>
      <c r="Q1342" s="5">
        <v>-17.711807946494243</v>
      </c>
    </row>
    <row r="1343" spans="1:17" x14ac:dyDescent="0.2">
      <c r="A1343" s="4" t="s">
        <v>100</v>
      </c>
      <c r="B1343" s="4">
        <v>2015</v>
      </c>
      <c r="C1343" s="4" t="s">
        <v>72</v>
      </c>
      <c r="D1343" s="4">
        <v>2</v>
      </c>
      <c r="E1343" s="4">
        <v>4</v>
      </c>
      <c r="F1343" s="4">
        <v>1</v>
      </c>
      <c r="G1343" s="6" t="str">
        <f t="shared" si="51"/>
        <v>41</v>
      </c>
      <c r="H1343" s="5">
        <v>11.4</v>
      </c>
      <c r="I1343" s="5">
        <v>183.30272612003381</v>
      </c>
      <c r="J1343" s="5">
        <v>11504.544708299627</v>
      </c>
      <c r="K1343" s="5">
        <v>13.049999999999999</v>
      </c>
      <c r="L1343" s="5">
        <v>174.51053375578363</v>
      </c>
      <c r="M1343" s="5">
        <v>10952.724382003717</v>
      </c>
      <c r="N1343" s="5">
        <v>12.64367816091953</v>
      </c>
      <c r="O1343" s="5">
        <v>8.7921923642501838</v>
      </c>
      <c r="P1343" s="5">
        <v>551.82032629591049</v>
      </c>
      <c r="Q1343" s="5">
        <v>5.0382015200035486</v>
      </c>
    </row>
    <row r="1344" spans="1:17" x14ac:dyDescent="0.2">
      <c r="A1344" s="4" t="s">
        <v>100</v>
      </c>
      <c r="B1344" s="4">
        <v>2015</v>
      </c>
      <c r="C1344" s="4" t="s">
        <v>72</v>
      </c>
      <c r="D1344" s="4">
        <v>3</v>
      </c>
      <c r="E1344" s="4">
        <v>4</v>
      </c>
      <c r="F1344" s="4">
        <v>1</v>
      </c>
      <c r="G1344" s="6" t="str">
        <f t="shared" si="51"/>
        <v>41</v>
      </c>
      <c r="H1344" s="5">
        <v>9.4</v>
      </c>
      <c r="I1344" s="5">
        <v>205.17004740299109</v>
      </c>
      <c r="J1344" s="5">
        <v>12876.993338364155</v>
      </c>
      <c r="K1344" s="5">
        <v>13.049999999999999</v>
      </c>
      <c r="L1344" s="5">
        <v>174.51053375578363</v>
      </c>
      <c r="M1344" s="5">
        <v>10952.724382003717</v>
      </c>
      <c r="N1344" s="5">
        <v>27.969348659003824</v>
      </c>
      <c r="O1344" s="5">
        <v>30.659513647207461</v>
      </c>
      <c r="P1344" s="5">
        <v>1924.2689563604381</v>
      </c>
      <c r="Q1344" s="5">
        <v>17.568861310179411</v>
      </c>
    </row>
    <row r="1345" spans="1:17" s="7" customFormat="1" x14ac:dyDescent="0.2">
      <c r="A1345" s="7" t="s">
        <v>100</v>
      </c>
      <c r="B1345" s="7">
        <v>2015</v>
      </c>
      <c r="C1345" s="7" t="s">
        <v>72</v>
      </c>
      <c r="D1345" s="7">
        <v>4</v>
      </c>
      <c r="E1345" s="7">
        <v>4</v>
      </c>
      <c r="F1345" s="7">
        <v>1</v>
      </c>
      <c r="G1345" s="6" t="str">
        <f t="shared" si="51"/>
        <v>41</v>
      </c>
      <c r="H1345" s="9">
        <v>13</v>
      </c>
      <c r="I1345" s="9">
        <v>150.94738654112061</v>
      </c>
      <c r="J1345" s="9">
        <v>9473.8414088076679</v>
      </c>
      <c r="K1345" s="9">
        <v>13.049999999999999</v>
      </c>
      <c r="L1345" s="9">
        <v>174.51053375578363</v>
      </c>
      <c r="M1345" s="9">
        <v>10952.724382003717</v>
      </c>
      <c r="N1345" s="9">
        <v>0.38314176245209913</v>
      </c>
      <c r="O1345" s="9">
        <v>-23.563147214663019</v>
      </c>
      <c r="P1345" s="9">
        <v>-1478.8829731960486</v>
      </c>
      <c r="Q1345" s="9">
        <v>-13.502421147618602</v>
      </c>
    </row>
    <row r="1346" spans="1:17" x14ac:dyDescent="0.2">
      <c r="A1346" s="4" t="s">
        <v>73</v>
      </c>
      <c r="B1346" s="4">
        <v>2015</v>
      </c>
      <c r="C1346" s="12" t="s">
        <v>72</v>
      </c>
      <c r="D1346" s="4">
        <v>1</v>
      </c>
      <c r="E1346" s="4">
        <v>5</v>
      </c>
      <c r="F1346" s="4">
        <v>1</v>
      </c>
      <c r="G1346" s="6" t="str">
        <f t="shared" ref="G1346:G1409" si="52">E1346&amp;F1346</f>
        <v>51</v>
      </c>
      <c r="H1346" s="5">
        <v>2.6</v>
      </c>
      <c r="I1346" s="5">
        <v>206.71200000000002</v>
      </c>
      <c r="J1346" s="5">
        <v>12973.770200148259</v>
      </c>
      <c r="K1346" s="5">
        <v>6.9</v>
      </c>
      <c r="L1346" s="5">
        <v>196.81</v>
      </c>
      <c r="M1346" s="5">
        <v>12352.295527551272</v>
      </c>
      <c r="N1346" s="5">
        <v>62.318840579710155</v>
      </c>
      <c r="O1346" s="5">
        <v>9.9020000000000152</v>
      </c>
      <c r="P1346" s="5">
        <v>621.47467259698715</v>
      </c>
      <c r="Q1346" s="5">
        <v>5.0312484121741923</v>
      </c>
    </row>
    <row r="1347" spans="1:17" x14ac:dyDescent="0.2">
      <c r="A1347" s="4" t="s">
        <v>73</v>
      </c>
      <c r="B1347" s="4">
        <v>2015</v>
      </c>
      <c r="C1347" s="12" t="s">
        <v>72</v>
      </c>
      <c r="D1347" s="4">
        <v>2</v>
      </c>
      <c r="E1347" s="4">
        <v>5</v>
      </c>
      <c r="F1347" s="4">
        <v>1</v>
      </c>
      <c r="G1347" s="6" t="str">
        <f t="shared" si="52"/>
        <v>51</v>
      </c>
      <c r="H1347" s="5">
        <v>6</v>
      </c>
      <c r="I1347" s="5">
        <v>187.39357401903303</v>
      </c>
      <c r="J1347" s="5">
        <v>11761.296713821197</v>
      </c>
      <c r="K1347" s="5">
        <v>6.9</v>
      </c>
      <c r="L1347" s="5">
        <v>196.81</v>
      </c>
      <c r="M1347" s="5">
        <v>12352.295527551272</v>
      </c>
      <c r="N1347" s="5">
        <v>13.04347826086957</v>
      </c>
      <c r="O1347" s="5">
        <v>-9.4164259809669772</v>
      </c>
      <c r="P1347" s="5">
        <v>-590.9988137300752</v>
      </c>
      <c r="Q1347" s="5">
        <v>-4.7845261831040018</v>
      </c>
    </row>
    <row r="1348" spans="1:17" x14ac:dyDescent="0.2">
      <c r="A1348" s="4" t="s">
        <v>73</v>
      </c>
      <c r="B1348" s="4">
        <v>2015</v>
      </c>
      <c r="C1348" s="12" t="s">
        <v>72</v>
      </c>
      <c r="D1348" s="4">
        <v>3</v>
      </c>
      <c r="E1348" s="4">
        <v>5</v>
      </c>
      <c r="F1348" s="4">
        <v>1</v>
      </c>
      <c r="G1348" s="6" t="str">
        <f t="shared" si="52"/>
        <v>51</v>
      </c>
      <c r="H1348" s="5">
        <v>6</v>
      </c>
      <c r="I1348" s="5">
        <v>191.61762389740656</v>
      </c>
      <c r="J1348" s="5">
        <v>12026.408813921737</v>
      </c>
      <c r="K1348" s="5">
        <v>6.9</v>
      </c>
      <c r="L1348" s="5">
        <v>196.81</v>
      </c>
      <c r="M1348" s="5">
        <v>12352.295527551272</v>
      </c>
      <c r="N1348" s="5">
        <v>13.04347826086957</v>
      </c>
      <c r="O1348" s="5">
        <v>-5.1923761025934425</v>
      </c>
      <c r="P1348" s="5">
        <v>-325.88671362953573</v>
      </c>
      <c r="Q1348" s="5">
        <v>-2.6382684327998729</v>
      </c>
    </row>
    <row r="1349" spans="1:17" x14ac:dyDescent="0.2">
      <c r="A1349" s="4" t="s">
        <v>73</v>
      </c>
      <c r="B1349" s="4">
        <v>2015</v>
      </c>
      <c r="C1349" s="12" t="s">
        <v>72</v>
      </c>
      <c r="D1349" s="4">
        <v>4</v>
      </c>
      <c r="E1349" s="4">
        <v>5</v>
      </c>
      <c r="F1349" s="4">
        <v>1</v>
      </c>
      <c r="G1349" s="6" t="str">
        <f t="shared" si="52"/>
        <v>51</v>
      </c>
      <c r="H1349" s="5">
        <v>7</v>
      </c>
      <c r="I1349" s="5">
        <v>195.08222334130684</v>
      </c>
      <c r="J1349" s="5">
        <v>12243.855875634281</v>
      </c>
      <c r="K1349" s="5">
        <v>6.9</v>
      </c>
      <c r="L1349" s="5">
        <v>196.81</v>
      </c>
      <c r="M1349" s="5">
        <v>12352.295527551272</v>
      </c>
      <c r="N1349" s="5">
        <v>-1.4492753623188355</v>
      </c>
      <c r="O1349" s="5">
        <v>-1.7277766586931591</v>
      </c>
      <c r="P1349" s="5">
        <v>-108.43965191699135</v>
      </c>
      <c r="Q1349" s="5">
        <v>-0.87789068578485108</v>
      </c>
    </row>
    <row r="1350" spans="1:17" x14ac:dyDescent="0.2">
      <c r="A1350" s="4" t="s">
        <v>100</v>
      </c>
      <c r="B1350" s="4">
        <v>2015</v>
      </c>
      <c r="C1350" s="4" t="s">
        <v>72</v>
      </c>
      <c r="D1350" s="4">
        <v>1</v>
      </c>
      <c r="E1350" s="4">
        <v>5</v>
      </c>
      <c r="F1350" s="4">
        <v>1</v>
      </c>
      <c r="G1350" s="6" t="str">
        <f t="shared" si="52"/>
        <v>51</v>
      </c>
      <c r="H1350" s="5">
        <v>10</v>
      </c>
      <c r="I1350" s="5">
        <v>171.49111325976446</v>
      </c>
      <c r="J1350" s="5">
        <v>10763.217881882918</v>
      </c>
      <c r="K1350" s="5">
        <v>13.049999999999999</v>
      </c>
      <c r="L1350" s="5">
        <v>174.51053375578363</v>
      </c>
      <c r="M1350" s="5">
        <v>10952.724382003717</v>
      </c>
      <c r="N1350" s="5">
        <v>23.371647509578537</v>
      </c>
      <c r="O1350" s="5">
        <v>-3.0194204960191655</v>
      </c>
      <c r="P1350" s="5">
        <v>-189.50650012079859</v>
      </c>
      <c r="Q1350" s="5">
        <v>-1.7302224863082865</v>
      </c>
    </row>
    <row r="1351" spans="1:17" x14ac:dyDescent="0.2">
      <c r="A1351" s="4" t="s">
        <v>100</v>
      </c>
      <c r="B1351" s="4">
        <v>2015</v>
      </c>
      <c r="C1351" s="4" t="s">
        <v>72</v>
      </c>
      <c r="D1351" s="4">
        <v>2</v>
      </c>
      <c r="E1351" s="4">
        <v>5</v>
      </c>
      <c r="F1351" s="4">
        <v>1</v>
      </c>
      <c r="G1351" s="6" t="str">
        <f t="shared" si="52"/>
        <v>51</v>
      </c>
      <c r="H1351" s="5">
        <v>11.4</v>
      </c>
      <c r="I1351" s="5">
        <v>224.18855452240069</v>
      </c>
      <c r="J1351" s="5">
        <v>14070.643155100019</v>
      </c>
      <c r="K1351" s="5">
        <v>13.049999999999999</v>
      </c>
      <c r="L1351" s="5">
        <v>174.51053375578363</v>
      </c>
      <c r="M1351" s="5">
        <v>10952.724382003717</v>
      </c>
      <c r="N1351" s="5">
        <v>12.64367816091953</v>
      </c>
      <c r="O1351" s="5">
        <v>49.678020766617067</v>
      </c>
      <c r="P1351" s="5">
        <v>3117.9187730963022</v>
      </c>
      <c r="Q1351" s="5">
        <v>28.46706138446536</v>
      </c>
    </row>
    <row r="1352" spans="1:17" x14ac:dyDescent="0.2">
      <c r="A1352" s="4" t="s">
        <v>100</v>
      </c>
      <c r="B1352" s="4">
        <v>2015</v>
      </c>
      <c r="C1352" s="4" t="s">
        <v>72</v>
      </c>
      <c r="D1352" s="4">
        <v>3</v>
      </c>
      <c r="E1352" s="4">
        <v>5</v>
      </c>
      <c r="F1352" s="4">
        <v>1</v>
      </c>
      <c r="G1352" s="6" t="str">
        <f t="shared" si="52"/>
        <v>51</v>
      </c>
      <c r="H1352" s="5">
        <v>8</v>
      </c>
      <c r="I1352" s="5">
        <v>180.00525303873843</v>
      </c>
      <c r="J1352" s="5">
        <v>11297.586921630729</v>
      </c>
      <c r="K1352" s="5">
        <v>13.049999999999999</v>
      </c>
      <c r="L1352" s="5">
        <v>174.51053375578363</v>
      </c>
      <c r="M1352" s="5">
        <v>10952.724382003717</v>
      </c>
      <c r="N1352" s="5">
        <v>38.69731800766283</v>
      </c>
      <c r="O1352" s="5">
        <v>5.4947192829548044</v>
      </c>
      <c r="P1352" s="5">
        <v>344.86253962701267</v>
      </c>
      <c r="Q1352" s="5">
        <v>3.1486461961341048</v>
      </c>
    </row>
    <row r="1353" spans="1:17" x14ac:dyDescent="0.2">
      <c r="A1353" s="4" t="s">
        <v>100</v>
      </c>
      <c r="B1353" s="4">
        <v>2015</v>
      </c>
      <c r="C1353" s="4" t="s">
        <v>72</v>
      </c>
      <c r="D1353" s="4">
        <v>4</v>
      </c>
      <c r="E1353" s="4">
        <v>5</v>
      </c>
      <c r="F1353" s="4">
        <v>1</v>
      </c>
      <c r="G1353" s="6" t="str">
        <f t="shared" si="52"/>
        <v>51</v>
      </c>
      <c r="H1353" s="5">
        <v>9.4</v>
      </c>
      <c r="I1353" s="5">
        <v>146.66454974241492</v>
      </c>
      <c r="J1353" s="5">
        <v>9205.0396922593009</v>
      </c>
      <c r="K1353" s="5">
        <v>13.049999999999999</v>
      </c>
      <c r="L1353" s="5">
        <v>174.51053375578363</v>
      </c>
      <c r="M1353" s="5">
        <v>10952.724382003717</v>
      </c>
      <c r="N1353" s="5">
        <v>27.969348659003824</v>
      </c>
      <c r="O1353" s="5">
        <v>-27.845984013368707</v>
      </c>
      <c r="P1353" s="5">
        <v>-1747.6846897444157</v>
      </c>
      <c r="Q1353" s="5">
        <v>-15.956620734618451</v>
      </c>
    </row>
    <row r="1354" spans="1:17" x14ac:dyDescent="0.2">
      <c r="A1354" s="4" t="s">
        <v>73</v>
      </c>
      <c r="B1354" s="4">
        <v>2015</v>
      </c>
      <c r="C1354" s="12" t="s">
        <v>72</v>
      </c>
      <c r="D1354" s="4">
        <v>1</v>
      </c>
      <c r="E1354" s="4">
        <v>6</v>
      </c>
      <c r="F1354" s="4">
        <v>1</v>
      </c>
      <c r="G1354" s="6" t="str">
        <f t="shared" si="52"/>
        <v>61</v>
      </c>
      <c r="H1354" s="5">
        <v>1.8</v>
      </c>
      <c r="I1354" s="5">
        <v>189.71676052249634</v>
      </c>
      <c r="J1354" s="5">
        <v>11907.105800028186</v>
      </c>
      <c r="K1354" s="5">
        <v>6.9</v>
      </c>
      <c r="L1354" s="5">
        <v>196.81</v>
      </c>
      <c r="M1354" s="5">
        <v>12352.295527551272</v>
      </c>
      <c r="N1354" s="5">
        <v>73.913043478260875</v>
      </c>
      <c r="O1354" s="5">
        <v>-7.0932394775036585</v>
      </c>
      <c r="P1354" s="5">
        <v>-445.18972752308582</v>
      </c>
      <c r="Q1354" s="5">
        <v>-3.6041052169623775</v>
      </c>
    </row>
    <row r="1355" spans="1:17" x14ac:dyDescent="0.2">
      <c r="A1355" s="4" t="s">
        <v>73</v>
      </c>
      <c r="B1355" s="4">
        <v>2015</v>
      </c>
      <c r="C1355" s="12" t="s">
        <v>72</v>
      </c>
      <c r="D1355" s="4">
        <v>2</v>
      </c>
      <c r="E1355" s="4">
        <v>6</v>
      </c>
      <c r="F1355" s="4">
        <v>1</v>
      </c>
      <c r="G1355" s="6" t="str">
        <f t="shared" si="52"/>
        <v>61</v>
      </c>
      <c r="H1355" s="5">
        <v>4.4000000000000004</v>
      </c>
      <c r="I1355" s="5">
        <v>202.62426143414686</v>
      </c>
      <c r="J1355" s="5">
        <v>12717.213344273116</v>
      </c>
      <c r="K1355" s="5">
        <v>6.9</v>
      </c>
      <c r="L1355" s="5">
        <v>196.81</v>
      </c>
      <c r="M1355" s="5">
        <v>12352.295527551272</v>
      </c>
      <c r="N1355" s="5">
        <v>36.231884057971016</v>
      </c>
      <c r="O1355" s="5">
        <v>5.8142614341468573</v>
      </c>
      <c r="P1355" s="5">
        <v>364.91781672184334</v>
      </c>
      <c r="Q1355" s="5">
        <v>2.9542510208560797</v>
      </c>
    </row>
    <row r="1356" spans="1:17" x14ac:dyDescent="0.2">
      <c r="A1356" s="4" t="s">
        <v>73</v>
      </c>
      <c r="B1356" s="4">
        <v>2015</v>
      </c>
      <c r="C1356" s="12" t="s">
        <v>72</v>
      </c>
      <c r="D1356" s="4">
        <v>3</v>
      </c>
      <c r="E1356" s="4">
        <v>6</v>
      </c>
      <c r="F1356" s="4">
        <v>1</v>
      </c>
      <c r="G1356" s="6" t="str">
        <f t="shared" si="52"/>
        <v>61</v>
      </c>
      <c r="H1356" s="5">
        <v>3.4</v>
      </c>
      <c r="I1356" s="5">
        <v>190.566026380924</v>
      </c>
      <c r="J1356" s="5">
        <v>11960.407882568494</v>
      </c>
      <c r="K1356" s="5">
        <v>6.9</v>
      </c>
      <c r="L1356" s="5">
        <v>196.81</v>
      </c>
      <c r="M1356" s="5">
        <v>12352.295527551272</v>
      </c>
      <c r="N1356" s="5">
        <v>50.724637681159422</v>
      </c>
      <c r="O1356" s="5">
        <v>-6.2439736190760016</v>
      </c>
      <c r="P1356" s="5">
        <v>-391.88764498277851</v>
      </c>
      <c r="Q1356" s="5">
        <v>-3.172589613879377</v>
      </c>
    </row>
    <row r="1357" spans="1:17" x14ac:dyDescent="0.2">
      <c r="A1357" s="4" t="s">
        <v>73</v>
      </c>
      <c r="B1357" s="4">
        <v>2015</v>
      </c>
      <c r="C1357" s="12" t="s">
        <v>72</v>
      </c>
      <c r="D1357" s="4">
        <v>4</v>
      </c>
      <c r="E1357" s="4">
        <v>6</v>
      </c>
      <c r="F1357" s="4">
        <v>1</v>
      </c>
      <c r="G1357" s="6" t="str">
        <f t="shared" si="52"/>
        <v>61</v>
      </c>
      <c r="H1357" s="5">
        <v>3.4</v>
      </c>
      <c r="I1357" s="5">
        <v>206.61519918515842</v>
      </c>
      <c r="J1357" s="5">
        <v>12967.6947351199</v>
      </c>
      <c r="K1357" s="5">
        <v>6.9</v>
      </c>
      <c r="L1357" s="5">
        <v>196.81</v>
      </c>
      <c r="M1357" s="5">
        <v>12352.295527551272</v>
      </c>
      <c r="N1357" s="5">
        <v>50.724637681159422</v>
      </c>
      <c r="O1357" s="5">
        <v>9.8051991851584148</v>
      </c>
      <c r="P1357" s="5">
        <v>615.39920756862739</v>
      </c>
      <c r="Q1357" s="5">
        <v>4.982063505491797</v>
      </c>
    </row>
    <row r="1358" spans="1:17" x14ac:dyDescent="0.2">
      <c r="A1358" s="4" t="s">
        <v>100</v>
      </c>
      <c r="B1358" s="4">
        <v>2015</v>
      </c>
      <c r="C1358" s="4" t="s">
        <v>72</v>
      </c>
      <c r="D1358" s="4">
        <v>1</v>
      </c>
      <c r="E1358" s="4">
        <v>6</v>
      </c>
      <c r="F1358" s="4">
        <v>1</v>
      </c>
      <c r="G1358" s="6" t="str">
        <f t="shared" si="52"/>
        <v>61</v>
      </c>
      <c r="H1358" s="5">
        <v>5.8</v>
      </c>
      <c r="I1358" s="5">
        <v>161.59377059361358</v>
      </c>
      <c r="J1358" s="5">
        <v>10142.035515388647</v>
      </c>
      <c r="K1358" s="5">
        <v>13.049999999999999</v>
      </c>
      <c r="L1358" s="5">
        <v>174.51053375578363</v>
      </c>
      <c r="M1358" s="5">
        <v>10952.724382003717</v>
      </c>
      <c r="N1358" s="5">
        <v>55.555555555555557</v>
      </c>
      <c r="O1358" s="5">
        <v>-12.916763162170042</v>
      </c>
      <c r="P1358" s="5">
        <v>-810.68886661506986</v>
      </c>
      <c r="Q1358" s="5">
        <v>-7.4017097330332033</v>
      </c>
    </row>
    <row r="1359" spans="1:17" x14ac:dyDescent="0.2">
      <c r="A1359" s="4" t="s">
        <v>100</v>
      </c>
      <c r="B1359" s="4">
        <v>2015</v>
      </c>
      <c r="C1359" s="4" t="s">
        <v>72</v>
      </c>
      <c r="D1359" s="4">
        <v>2</v>
      </c>
      <c r="E1359" s="4">
        <v>6</v>
      </c>
      <c r="F1359" s="4">
        <v>1</v>
      </c>
      <c r="G1359" s="6" t="str">
        <f t="shared" si="52"/>
        <v>61</v>
      </c>
      <c r="H1359" s="5">
        <v>6</v>
      </c>
      <c r="I1359" s="5">
        <v>182.39046391536868</v>
      </c>
      <c r="J1359" s="5">
        <v>11447.288815049085</v>
      </c>
      <c r="K1359" s="5">
        <v>13.049999999999999</v>
      </c>
      <c r="L1359" s="5">
        <v>174.51053375578363</v>
      </c>
      <c r="M1359" s="5">
        <v>10952.724382003717</v>
      </c>
      <c r="N1359" s="5">
        <v>54.022988505747129</v>
      </c>
      <c r="O1359" s="5">
        <v>7.8799301595850579</v>
      </c>
      <c r="P1359" s="5">
        <v>494.56443304536879</v>
      </c>
      <c r="Q1359" s="5">
        <v>4.5154467125821354</v>
      </c>
    </row>
    <row r="1360" spans="1:17" x14ac:dyDescent="0.2">
      <c r="A1360" s="4" t="s">
        <v>100</v>
      </c>
      <c r="B1360" s="4">
        <v>2015</v>
      </c>
      <c r="C1360" s="4" t="s">
        <v>72</v>
      </c>
      <c r="D1360" s="4">
        <v>3</v>
      </c>
      <c r="E1360" s="4">
        <v>6</v>
      </c>
      <c r="F1360" s="4">
        <v>1</v>
      </c>
      <c r="G1360" s="6" t="str">
        <f t="shared" si="52"/>
        <v>61</v>
      </c>
      <c r="H1360" s="5">
        <v>7</v>
      </c>
      <c r="I1360" s="5">
        <v>214.67889151292798</v>
      </c>
      <c r="J1360" s="5">
        <v>13473.792548624588</v>
      </c>
      <c r="K1360" s="5">
        <v>13.049999999999999</v>
      </c>
      <c r="L1360" s="5">
        <v>174.51053375578363</v>
      </c>
      <c r="M1360" s="5">
        <v>10952.724382003717</v>
      </c>
      <c r="N1360" s="5">
        <v>46.360153256704976</v>
      </c>
      <c r="O1360" s="5">
        <v>40.168357757144349</v>
      </c>
      <c r="P1360" s="5">
        <v>2521.0681666208711</v>
      </c>
      <c r="Q1360" s="5">
        <v>23.017726719784957</v>
      </c>
    </row>
    <row r="1361" spans="1:17" x14ac:dyDescent="0.2">
      <c r="A1361" s="4" t="s">
        <v>100</v>
      </c>
      <c r="B1361" s="4">
        <v>2015</v>
      </c>
      <c r="C1361" s="4" t="s">
        <v>72</v>
      </c>
      <c r="D1361" s="4">
        <v>4</v>
      </c>
      <c r="E1361" s="4">
        <v>6</v>
      </c>
      <c r="F1361" s="4">
        <v>1</v>
      </c>
      <c r="G1361" s="6" t="str">
        <f t="shared" si="52"/>
        <v>61</v>
      </c>
      <c r="H1361" s="5">
        <v>2.2000000000000002</v>
      </c>
      <c r="I1361" s="5">
        <v>157.18041545551225</v>
      </c>
      <c r="J1361" s="5">
        <v>9865.042136323229</v>
      </c>
      <c r="K1361" s="5">
        <v>13.049999999999999</v>
      </c>
      <c r="L1361" s="5">
        <v>174.51053375578363</v>
      </c>
      <c r="M1361" s="5">
        <v>10952.724382003717</v>
      </c>
      <c r="N1361" s="5">
        <v>83.141762452107272</v>
      </c>
      <c r="O1361" s="5">
        <v>-17.33011830027138</v>
      </c>
      <c r="P1361" s="5">
        <v>-1087.6822456804875</v>
      </c>
      <c r="Q1361" s="5">
        <v>-9.9307004152103424</v>
      </c>
    </row>
    <row r="1362" spans="1:17" x14ac:dyDescent="0.2">
      <c r="A1362" s="4" t="s">
        <v>73</v>
      </c>
      <c r="B1362" s="4">
        <v>2015</v>
      </c>
      <c r="C1362" s="12" t="s">
        <v>72</v>
      </c>
      <c r="D1362" s="4">
        <v>1</v>
      </c>
      <c r="E1362" s="4">
        <v>7</v>
      </c>
      <c r="F1362" s="4">
        <v>2</v>
      </c>
      <c r="G1362" s="6" t="str">
        <f t="shared" si="52"/>
        <v>72</v>
      </c>
      <c r="H1362" s="5">
        <v>0.6</v>
      </c>
      <c r="I1362" s="5">
        <v>199.34772161172154</v>
      </c>
      <c r="J1362" s="5">
        <v>12511.569382104588</v>
      </c>
      <c r="K1362" s="5">
        <v>6.9</v>
      </c>
      <c r="L1362" s="5">
        <v>196.81</v>
      </c>
      <c r="M1362" s="5">
        <v>12352.295527551272</v>
      </c>
      <c r="N1362" s="5">
        <v>91.304347826086968</v>
      </c>
      <c r="O1362" s="5">
        <v>2.5377216117215369</v>
      </c>
      <c r="P1362" s="5">
        <v>159.27385455331569</v>
      </c>
      <c r="Q1362" s="5">
        <v>1.2894271692096591</v>
      </c>
    </row>
    <row r="1363" spans="1:17" x14ac:dyDescent="0.2">
      <c r="A1363" s="4" t="s">
        <v>73</v>
      </c>
      <c r="B1363" s="4">
        <v>2015</v>
      </c>
      <c r="C1363" s="12" t="s">
        <v>72</v>
      </c>
      <c r="D1363" s="4">
        <v>2</v>
      </c>
      <c r="E1363" s="4">
        <v>7</v>
      </c>
      <c r="F1363" s="4">
        <v>2</v>
      </c>
      <c r="G1363" s="6" t="str">
        <f t="shared" si="52"/>
        <v>72</v>
      </c>
      <c r="H1363" s="5">
        <v>4.4000000000000004</v>
      </c>
      <c r="I1363" s="5">
        <v>206.54326834455864</v>
      </c>
      <c r="J1363" s="5">
        <v>12963.180172848504</v>
      </c>
      <c r="K1363" s="5">
        <v>6.9</v>
      </c>
      <c r="L1363" s="5">
        <v>196.81</v>
      </c>
      <c r="M1363" s="5">
        <v>12352.295527551272</v>
      </c>
      <c r="N1363" s="5">
        <v>36.231884057971016</v>
      </c>
      <c r="O1363" s="5">
        <v>9.7332683445586383</v>
      </c>
      <c r="P1363" s="5">
        <v>610.88464529723205</v>
      </c>
      <c r="Q1363" s="5">
        <v>4.9455151387422669</v>
      </c>
    </row>
    <row r="1364" spans="1:17" x14ac:dyDescent="0.2">
      <c r="A1364" s="4" t="s">
        <v>73</v>
      </c>
      <c r="B1364" s="4">
        <v>2015</v>
      </c>
      <c r="C1364" s="12" t="s">
        <v>72</v>
      </c>
      <c r="D1364" s="4">
        <v>3</v>
      </c>
      <c r="E1364" s="4">
        <v>7</v>
      </c>
      <c r="F1364" s="4">
        <v>2</v>
      </c>
      <c r="G1364" s="6" t="str">
        <f t="shared" si="52"/>
        <v>72</v>
      </c>
      <c r="H1364" s="5">
        <v>3.4</v>
      </c>
      <c r="I1364" s="5">
        <v>197.52846887275624</v>
      </c>
      <c r="J1364" s="5">
        <v>12397.388459026461</v>
      </c>
      <c r="K1364" s="5">
        <v>6.9</v>
      </c>
      <c r="L1364" s="5">
        <v>196.81</v>
      </c>
      <c r="M1364" s="5">
        <v>12352.295527551272</v>
      </c>
      <c r="N1364" s="5">
        <v>50.724637681159422</v>
      </c>
      <c r="O1364" s="5">
        <v>0.71846887275623317</v>
      </c>
      <c r="P1364" s="5">
        <v>45.092931475188379</v>
      </c>
      <c r="Q1364" s="5">
        <v>0.36505709707649486</v>
      </c>
    </row>
    <row r="1365" spans="1:17" x14ac:dyDescent="0.2">
      <c r="A1365" s="4" t="s">
        <v>73</v>
      </c>
      <c r="B1365" s="4">
        <v>2015</v>
      </c>
      <c r="C1365" s="12" t="s">
        <v>72</v>
      </c>
      <c r="D1365" s="4">
        <v>4</v>
      </c>
      <c r="E1365" s="4">
        <v>7</v>
      </c>
      <c r="F1365" s="4">
        <v>2</v>
      </c>
      <c r="G1365" s="6" t="str">
        <f t="shared" si="52"/>
        <v>72</v>
      </c>
      <c r="H1365" s="5">
        <v>5.2</v>
      </c>
      <c r="I1365" s="5">
        <v>199.57574302620452</v>
      </c>
      <c r="J1365" s="5">
        <v>12525.880585286866</v>
      </c>
      <c r="K1365" s="5">
        <v>6.9</v>
      </c>
      <c r="L1365" s="5">
        <v>196.81</v>
      </c>
      <c r="M1365" s="5">
        <v>12352.295527551272</v>
      </c>
      <c r="N1365" s="5">
        <v>24.637681159420293</v>
      </c>
      <c r="O1365" s="5">
        <v>2.7657430262045182</v>
      </c>
      <c r="P1365" s="5">
        <v>173.58505773559409</v>
      </c>
      <c r="Q1365" s="5">
        <v>1.4052858219625655</v>
      </c>
    </row>
    <row r="1366" spans="1:17" x14ac:dyDescent="0.2">
      <c r="A1366" s="4" t="s">
        <v>100</v>
      </c>
      <c r="B1366" s="4">
        <v>2015</v>
      </c>
      <c r="C1366" s="4" t="s">
        <v>72</v>
      </c>
      <c r="D1366" s="4">
        <v>1</v>
      </c>
      <c r="E1366" s="4">
        <v>7</v>
      </c>
      <c r="F1366" s="4">
        <v>2</v>
      </c>
      <c r="G1366" s="6" t="str">
        <f t="shared" si="52"/>
        <v>72</v>
      </c>
      <c r="H1366" s="5">
        <v>6</v>
      </c>
      <c r="I1366" s="5">
        <v>184.83280995824342</v>
      </c>
      <c r="J1366" s="5">
        <v>11600.576656633019</v>
      </c>
      <c r="K1366" s="5">
        <v>13.049999999999999</v>
      </c>
      <c r="L1366" s="5">
        <v>174.51053375578363</v>
      </c>
      <c r="M1366" s="5">
        <v>10952.724382003717</v>
      </c>
      <c r="N1366" s="5">
        <v>54.022988505747129</v>
      </c>
      <c r="O1366" s="5">
        <v>10.32227620245979</v>
      </c>
      <c r="P1366" s="5">
        <v>647.85227462930197</v>
      </c>
      <c r="Q1366" s="5">
        <v>5.9149874682666157</v>
      </c>
    </row>
    <row r="1367" spans="1:17" x14ac:dyDescent="0.2">
      <c r="A1367" s="4" t="s">
        <v>100</v>
      </c>
      <c r="B1367" s="4">
        <v>2015</v>
      </c>
      <c r="C1367" s="4" t="s">
        <v>72</v>
      </c>
      <c r="D1367" s="4">
        <v>2</v>
      </c>
      <c r="E1367" s="4">
        <v>7</v>
      </c>
      <c r="F1367" s="4">
        <v>2</v>
      </c>
      <c r="G1367" s="6" t="str">
        <f t="shared" si="52"/>
        <v>72</v>
      </c>
      <c r="H1367" s="5">
        <v>5.6</v>
      </c>
      <c r="I1367" s="5">
        <v>186.8045093468952</v>
      </c>
      <c r="J1367" s="5">
        <v>11724.325518683316</v>
      </c>
      <c r="K1367" s="5">
        <v>13.049999999999999</v>
      </c>
      <c r="L1367" s="5">
        <v>174.51053375578363</v>
      </c>
      <c r="M1367" s="5">
        <v>10952.724382003717</v>
      </c>
      <c r="N1367" s="5">
        <v>57.088122605363992</v>
      </c>
      <c r="O1367" s="5">
        <v>12.293975591111575</v>
      </c>
      <c r="P1367" s="5">
        <v>771.60113667959922</v>
      </c>
      <c r="Q1367" s="5">
        <v>7.0448329545058881</v>
      </c>
    </row>
    <row r="1368" spans="1:17" x14ac:dyDescent="0.2">
      <c r="A1368" s="4" t="s">
        <v>100</v>
      </c>
      <c r="B1368" s="4">
        <v>2015</v>
      </c>
      <c r="C1368" s="4" t="s">
        <v>72</v>
      </c>
      <c r="D1368" s="4">
        <v>3</v>
      </c>
      <c r="E1368" s="4">
        <v>7</v>
      </c>
      <c r="F1368" s="4">
        <v>2</v>
      </c>
      <c r="G1368" s="6" t="str">
        <f t="shared" si="52"/>
        <v>72</v>
      </c>
      <c r="H1368" s="5">
        <v>3.8</v>
      </c>
      <c r="I1368" s="5">
        <v>188.66638493642517</v>
      </c>
      <c r="J1368" s="5">
        <v>11841.181560131454</v>
      </c>
      <c r="K1368" s="5">
        <v>13.049999999999999</v>
      </c>
      <c r="L1368" s="5">
        <v>174.51053375578363</v>
      </c>
      <c r="M1368" s="5">
        <v>10952.724382003717</v>
      </c>
      <c r="N1368" s="5">
        <v>70.88122605363985</v>
      </c>
      <c r="O1368" s="5">
        <v>14.155851180641548</v>
      </c>
      <c r="P1368" s="5">
        <v>888.45717812773728</v>
      </c>
      <c r="Q1368" s="5">
        <v>8.1117459651185051</v>
      </c>
    </row>
    <row r="1369" spans="1:17" x14ac:dyDescent="0.2">
      <c r="A1369" s="4" t="s">
        <v>100</v>
      </c>
      <c r="B1369" s="4">
        <v>2015</v>
      </c>
      <c r="C1369" s="4" t="s">
        <v>72</v>
      </c>
      <c r="D1369" s="4">
        <v>4</v>
      </c>
      <c r="E1369" s="4">
        <v>7</v>
      </c>
      <c r="F1369" s="4">
        <v>2</v>
      </c>
      <c r="G1369" s="6" t="str">
        <f t="shared" si="52"/>
        <v>72</v>
      </c>
      <c r="H1369" s="5">
        <v>2.6</v>
      </c>
      <c r="I1369" s="5">
        <v>158.1890033894945</v>
      </c>
      <c r="J1369" s="5">
        <v>9928.343677027824</v>
      </c>
      <c r="K1369" s="5">
        <v>13.049999999999999</v>
      </c>
      <c r="L1369" s="5">
        <v>174.51053375578363</v>
      </c>
      <c r="M1369" s="5">
        <v>10952.724382003717</v>
      </c>
      <c r="N1369" s="5">
        <v>80.076628352490417</v>
      </c>
      <c r="O1369" s="5">
        <v>-16.321530366289124</v>
      </c>
      <c r="P1369" s="5">
        <v>-1024.3807049758925</v>
      </c>
      <c r="Q1369" s="5">
        <v>-9.3527479488029428</v>
      </c>
    </row>
    <row r="1370" spans="1:17" x14ac:dyDescent="0.2">
      <c r="A1370" s="4" t="s">
        <v>73</v>
      </c>
      <c r="B1370" s="4">
        <v>2015</v>
      </c>
      <c r="C1370" s="12" t="s">
        <v>72</v>
      </c>
      <c r="D1370" s="4">
        <v>1</v>
      </c>
      <c r="E1370" s="4">
        <v>8</v>
      </c>
      <c r="F1370" s="4">
        <v>2</v>
      </c>
      <c r="G1370" s="6" t="str">
        <f t="shared" si="52"/>
        <v>82</v>
      </c>
      <c r="H1370" s="5">
        <v>2.6</v>
      </c>
      <c r="I1370" s="5">
        <v>205.59187629568444</v>
      </c>
      <c r="J1370" s="5">
        <v>12903.468391179602</v>
      </c>
      <c r="K1370" s="5">
        <v>6.9</v>
      </c>
      <c r="L1370" s="5">
        <v>196.81</v>
      </c>
      <c r="M1370" s="5">
        <v>12352.295527551272</v>
      </c>
      <c r="N1370" s="5">
        <v>62.318840579710155</v>
      </c>
      <c r="O1370" s="5">
        <v>8.7818762956844409</v>
      </c>
      <c r="P1370" s="5">
        <v>551.17286362832965</v>
      </c>
      <c r="Q1370" s="5">
        <v>4.4621087829299579</v>
      </c>
    </row>
    <row r="1371" spans="1:17" x14ac:dyDescent="0.2">
      <c r="A1371" s="4" t="s">
        <v>73</v>
      </c>
      <c r="B1371" s="4">
        <v>2015</v>
      </c>
      <c r="C1371" s="12" t="s">
        <v>72</v>
      </c>
      <c r="D1371" s="4">
        <v>2</v>
      </c>
      <c r="E1371" s="4">
        <v>8</v>
      </c>
      <c r="F1371" s="4">
        <v>2</v>
      </c>
      <c r="G1371" s="6" t="str">
        <f t="shared" si="52"/>
        <v>82</v>
      </c>
      <c r="H1371" s="5">
        <v>2.6</v>
      </c>
      <c r="I1371" s="5">
        <v>200.90511745421762</v>
      </c>
      <c r="J1371" s="5">
        <v>12609.315501203675</v>
      </c>
      <c r="K1371" s="5">
        <v>6.9</v>
      </c>
      <c r="L1371" s="5">
        <v>196.81</v>
      </c>
      <c r="M1371" s="5">
        <v>12352.295527551272</v>
      </c>
      <c r="N1371" s="5">
        <v>62.318840579710155</v>
      </c>
      <c r="O1371" s="5">
        <v>4.0951174542176147</v>
      </c>
      <c r="P1371" s="5">
        <v>257.01997365240277</v>
      </c>
      <c r="Q1371" s="5">
        <v>2.0807466359522455</v>
      </c>
    </row>
    <row r="1372" spans="1:17" x14ac:dyDescent="0.2">
      <c r="A1372" s="4" t="s">
        <v>73</v>
      </c>
      <c r="B1372" s="4">
        <v>2015</v>
      </c>
      <c r="C1372" s="12" t="s">
        <v>72</v>
      </c>
      <c r="D1372" s="4">
        <v>3</v>
      </c>
      <c r="E1372" s="4">
        <v>8</v>
      </c>
      <c r="F1372" s="4">
        <v>2</v>
      </c>
      <c r="G1372" s="6" t="str">
        <f t="shared" si="52"/>
        <v>82</v>
      </c>
      <c r="H1372" s="5">
        <v>1.8</v>
      </c>
      <c r="I1372" s="5">
        <v>207.74865049163014</v>
      </c>
      <c r="J1372" s="5">
        <v>13038.833018254029</v>
      </c>
      <c r="K1372" s="5">
        <v>6.9</v>
      </c>
      <c r="L1372" s="5">
        <v>196.81</v>
      </c>
      <c r="M1372" s="5">
        <v>12352.295527551272</v>
      </c>
      <c r="N1372" s="5">
        <v>73.913043478260875</v>
      </c>
      <c r="O1372" s="5">
        <v>10.938650491630142</v>
      </c>
      <c r="P1372" s="5">
        <v>686.53749070275626</v>
      </c>
      <c r="Q1372" s="5">
        <v>5.5579749462070716</v>
      </c>
    </row>
    <row r="1373" spans="1:17" x14ac:dyDescent="0.2">
      <c r="A1373" s="4" t="s">
        <v>73</v>
      </c>
      <c r="B1373" s="4">
        <v>2015</v>
      </c>
      <c r="C1373" s="12" t="s">
        <v>72</v>
      </c>
      <c r="D1373" s="4">
        <v>4</v>
      </c>
      <c r="E1373" s="4">
        <v>8</v>
      </c>
      <c r="F1373" s="4">
        <v>2</v>
      </c>
      <c r="G1373" s="6" t="str">
        <f t="shared" si="52"/>
        <v>82</v>
      </c>
      <c r="H1373" s="5">
        <v>0.8</v>
      </c>
      <c r="I1373" s="5">
        <v>201.81901794861838</v>
      </c>
      <c r="J1373" s="5">
        <v>12666.674217679532</v>
      </c>
      <c r="K1373" s="5">
        <v>6.9</v>
      </c>
      <c r="L1373" s="5">
        <v>196.81</v>
      </c>
      <c r="M1373" s="5">
        <v>12352.295527551272</v>
      </c>
      <c r="N1373" s="5">
        <v>88.405797101449281</v>
      </c>
      <c r="O1373" s="5">
        <v>5.0090179486183786</v>
      </c>
      <c r="P1373" s="5">
        <v>314.37869012826013</v>
      </c>
      <c r="Q1373" s="5">
        <v>2.5451033731103001</v>
      </c>
    </row>
    <row r="1374" spans="1:17" x14ac:dyDescent="0.2">
      <c r="A1374" s="4" t="s">
        <v>100</v>
      </c>
      <c r="B1374" s="4">
        <v>2015</v>
      </c>
      <c r="C1374" s="4" t="s">
        <v>72</v>
      </c>
      <c r="D1374" s="4">
        <v>1</v>
      </c>
      <c r="E1374" s="4">
        <v>8</v>
      </c>
      <c r="F1374" s="4">
        <v>2</v>
      </c>
      <c r="G1374" s="6" t="str">
        <f t="shared" si="52"/>
        <v>82</v>
      </c>
      <c r="H1374" s="5">
        <v>15</v>
      </c>
      <c r="I1374" s="5">
        <v>196.77683397683396</v>
      </c>
      <c r="J1374" s="5">
        <v>12350.213943690591</v>
      </c>
      <c r="K1374" s="5">
        <v>13.049999999999999</v>
      </c>
      <c r="L1374" s="5">
        <v>174.51053375578363</v>
      </c>
      <c r="M1374" s="5">
        <v>10952.724382003717</v>
      </c>
      <c r="N1374" s="5">
        <v>-14.942528735632193</v>
      </c>
      <c r="O1374" s="5">
        <v>22.266300221050329</v>
      </c>
      <c r="P1374" s="5">
        <v>1397.4895616868744</v>
      </c>
      <c r="Q1374" s="5">
        <v>12.759287214266726</v>
      </c>
    </row>
    <row r="1375" spans="1:17" x14ac:dyDescent="0.2">
      <c r="A1375" s="4" t="s">
        <v>100</v>
      </c>
      <c r="B1375" s="4">
        <v>2015</v>
      </c>
      <c r="C1375" s="4" t="s">
        <v>72</v>
      </c>
      <c r="D1375" s="4">
        <v>2</v>
      </c>
      <c r="E1375" s="4">
        <v>8</v>
      </c>
      <c r="F1375" s="4">
        <v>2</v>
      </c>
      <c r="G1375" s="6" t="str">
        <f t="shared" si="52"/>
        <v>82</v>
      </c>
      <c r="H1375" s="5">
        <v>3.4</v>
      </c>
      <c r="I1375" s="5">
        <v>217.94819498821016</v>
      </c>
      <c r="J1375" s="5">
        <v>13678.982339264981</v>
      </c>
      <c r="K1375" s="5">
        <v>13.049999999999999</v>
      </c>
      <c r="L1375" s="5">
        <v>174.51053375578363</v>
      </c>
      <c r="M1375" s="5">
        <v>10952.724382003717</v>
      </c>
      <c r="N1375" s="5">
        <v>73.946360153256691</v>
      </c>
      <c r="O1375" s="5">
        <v>43.437661232426535</v>
      </c>
      <c r="P1375" s="5">
        <v>2726.2579572612649</v>
      </c>
      <c r="Q1375" s="5">
        <v>24.891139977380831</v>
      </c>
    </row>
    <row r="1376" spans="1:17" x14ac:dyDescent="0.2">
      <c r="A1376" s="4" t="s">
        <v>100</v>
      </c>
      <c r="B1376" s="4">
        <v>2015</v>
      </c>
      <c r="C1376" s="4" t="s">
        <v>72</v>
      </c>
      <c r="D1376" s="4">
        <v>3</v>
      </c>
      <c r="E1376" s="4">
        <v>8</v>
      </c>
      <c r="F1376" s="4">
        <v>2</v>
      </c>
      <c r="G1376" s="6" t="str">
        <f t="shared" si="52"/>
        <v>82</v>
      </c>
      <c r="H1376" s="5">
        <v>6</v>
      </c>
      <c r="I1376" s="5">
        <v>229.71421295945439</v>
      </c>
      <c r="J1376" s="5">
        <v>14417.447514628469</v>
      </c>
      <c r="K1376" s="5">
        <v>13.049999999999999</v>
      </c>
      <c r="L1376" s="5">
        <v>174.51053375578363</v>
      </c>
      <c r="M1376" s="5">
        <v>10952.724382003717</v>
      </c>
      <c r="N1376" s="5">
        <v>54.022988505747129</v>
      </c>
      <c r="O1376" s="5">
        <v>55.20367920367076</v>
      </c>
      <c r="P1376" s="5">
        <v>3464.7231326247529</v>
      </c>
      <c r="Q1376" s="5">
        <v>31.63343668464438</v>
      </c>
    </row>
    <row r="1377" spans="1:17" x14ac:dyDescent="0.2">
      <c r="A1377" s="4" t="s">
        <v>100</v>
      </c>
      <c r="B1377" s="4">
        <v>2015</v>
      </c>
      <c r="C1377" s="4" t="s">
        <v>72</v>
      </c>
      <c r="D1377" s="4">
        <v>4</v>
      </c>
      <c r="E1377" s="4">
        <v>8</v>
      </c>
      <c r="F1377" s="4">
        <v>2</v>
      </c>
      <c r="G1377" s="6" t="str">
        <f t="shared" si="52"/>
        <v>82</v>
      </c>
      <c r="H1377" s="5">
        <v>3</v>
      </c>
      <c r="I1377" s="5">
        <v>165.86266253163112</v>
      </c>
      <c r="J1377" s="5">
        <v>10409.962017058142</v>
      </c>
      <c r="K1377" s="5">
        <v>13.049999999999999</v>
      </c>
      <c r="L1377" s="5">
        <v>174.51053375578363</v>
      </c>
      <c r="M1377" s="5">
        <v>10952.724382003717</v>
      </c>
      <c r="N1377" s="5">
        <v>77.011494252873561</v>
      </c>
      <c r="O1377" s="5">
        <v>-8.6478712241525102</v>
      </c>
      <c r="P1377" s="5">
        <v>-542.76236494557452</v>
      </c>
      <c r="Q1377" s="5">
        <v>-4.9555009878398888</v>
      </c>
    </row>
    <row r="1378" spans="1:17" x14ac:dyDescent="0.2">
      <c r="A1378" s="4" t="s">
        <v>73</v>
      </c>
      <c r="B1378" s="4">
        <v>2015</v>
      </c>
      <c r="C1378" s="12" t="s">
        <v>72</v>
      </c>
      <c r="D1378" s="4">
        <v>1</v>
      </c>
      <c r="E1378" s="4">
        <v>9</v>
      </c>
      <c r="F1378" s="4">
        <v>2</v>
      </c>
      <c r="G1378" s="6" t="str">
        <f t="shared" si="52"/>
        <v>92</v>
      </c>
      <c r="H1378" s="5">
        <v>1.5</v>
      </c>
      <c r="I1378" s="5">
        <v>204.53282840236687</v>
      </c>
      <c r="J1378" s="5">
        <v>12836.999855251095</v>
      </c>
      <c r="K1378" s="5">
        <v>6.9</v>
      </c>
      <c r="L1378" s="5">
        <v>196.81</v>
      </c>
      <c r="M1378" s="5">
        <v>12352.295527551272</v>
      </c>
      <c r="N1378" s="5">
        <v>78.260869565217391</v>
      </c>
      <c r="O1378" s="5">
        <v>7.7228284023668721</v>
      </c>
      <c r="P1378" s="5">
        <v>484.7043276998229</v>
      </c>
      <c r="Q1378" s="5">
        <v>3.9240020336196655</v>
      </c>
    </row>
    <row r="1379" spans="1:17" x14ac:dyDescent="0.2">
      <c r="A1379" s="4" t="s">
        <v>73</v>
      </c>
      <c r="B1379" s="4">
        <v>2015</v>
      </c>
      <c r="C1379" s="12" t="s">
        <v>72</v>
      </c>
      <c r="D1379" s="4">
        <v>2</v>
      </c>
      <c r="E1379" s="4">
        <v>9</v>
      </c>
      <c r="F1379" s="4">
        <v>2</v>
      </c>
      <c r="G1379" s="6" t="str">
        <f t="shared" si="52"/>
        <v>92</v>
      </c>
      <c r="H1379" s="5">
        <v>3.4</v>
      </c>
      <c r="I1379" s="5">
        <v>202.5926627218935</v>
      </c>
      <c r="J1379" s="5">
        <v>12715.230128826526</v>
      </c>
      <c r="K1379" s="5">
        <v>6.9</v>
      </c>
      <c r="L1379" s="5">
        <v>196.81</v>
      </c>
      <c r="M1379" s="5">
        <v>12352.295527551272</v>
      </c>
      <c r="N1379" s="5">
        <v>50.724637681159422</v>
      </c>
      <c r="O1379" s="5">
        <v>5.7826627218935016</v>
      </c>
      <c r="P1379" s="5">
        <v>362.93460127525395</v>
      </c>
      <c r="Q1379" s="5">
        <v>2.9381955804550151</v>
      </c>
    </row>
    <row r="1380" spans="1:17" x14ac:dyDescent="0.2">
      <c r="A1380" s="4" t="s">
        <v>73</v>
      </c>
      <c r="B1380" s="4">
        <v>2015</v>
      </c>
      <c r="C1380" s="12" t="s">
        <v>72</v>
      </c>
      <c r="D1380" s="4">
        <v>3</v>
      </c>
      <c r="E1380" s="4">
        <v>9</v>
      </c>
      <c r="F1380" s="4">
        <v>2</v>
      </c>
      <c r="G1380" s="6" t="str">
        <f t="shared" si="52"/>
        <v>92</v>
      </c>
      <c r="H1380" s="5">
        <v>0.7</v>
      </c>
      <c r="I1380" s="5">
        <v>196.48351946695834</v>
      </c>
      <c r="J1380" s="5">
        <v>12331.804779987007</v>
      </c>
      <c r="K1380" s="5">
        <v>6.9</v>
      </c>
      <c r="L1380" s="5">
        <v>196.81</v>
      </c>
      <c r="M1380" s="5">
        <v>12352.295527551272</v>
      </c>
      <c r="N1380" s="5">
        <v>89.85507246376811</v>
      </c>
      <c r="O1380" s="5">
        <v>-0.32648053304166069</v>
      </c>
      <c r="P1380" s="5">
        <v>-20.490747564264893</v>
      </c>
      <c r="Q1380" s="5">
        <v>-0.16588615062326795</v>
      </c>
    </row>
    <row r="1381" spans="1:17" x14ac:dyDescent="0.2">
      <c r="A1381" s="4" t="s">
        <v>73</v>
      </c>
      <c r="B1381" s="4">
        <v>2015</v>
      </c>
      <c r="C1381" s="12" t="s">
        <v>72</v>
      </c>
      <c r="D1381" s="4">
        <v>4</v>
      </c>
      <c r="E1381" s="4">
        <v>9</v>
      </c>
      <c r="F1381" s="4">
        <v>2</v>
      </c>
      <c r="G1381" s="6" t="str">
        <f t="shared" si="52"/>
        <v>92</v>
      </c>
      <c r="H1381" s="5">
        <v>0.8</v>
      </c>
      <c r="I1381" s="5">
        <v>208.34391459074735</v>
      </c>
      <c r="J1381" s="5">
        <v>13076.19330517663</v>
      </c>
      <c r="K1381" s="5">
        <v>6.9</v>
      </c>
      <c r="L1381" s="5">
        <v>196.81</v>
      </c>
      <c r="M1381" s="5">
        <v>12352.295527551272</v>
      </c>
      <c r="N1381" s="5">
        <v>88.405797101449281</v>
      </c>
      <c r="O1381" s="5">
        <v>11.533914590747344</v>
      </c>
      <c r="P1381" s="5">
        <v>723.89777762535778</v>
      </c>
      <c r="Q1381" s="5">
        <v>5.8604311725762592</v>
      </c>
    </row>
    <row r="1382" spans="1:17" x14ac:dyDescent="0.2">
      <c r="A1382" s="4" t="s">
        <v>100</v>
      </c>
      <c r="B1382" s="4">
        <v>2015</v>
      </c>
      <c r="C1382" s="4" t="s">
        <v>72</v>
      </c>
      <c r="D1382" s="4">
        <v>1</v>
      </c>
      <c r="E1382" s="4">
        <v>9</v>
      </c>
      <c r="F1382" s="4">
        <v>2</v>
      </c>
      <c r="G1382" s="6" t="str">
        <f t="shared" si="52"/>
        <v>92</v>
      </c>
      <c r="H1382" s="5">
        <v>1.8</v>
      </c>
      <c r="I1382" s="5">
        <v>190.32463138307227</v>
      </c>
      <c r="J1382" s="5">
        <v>11945.257319323044</v>
      </c>
      <c r="K1382" s="5">
        <v>13.049999999999999</v>
      </c>
      <c r="L1382" s="5">
        <v>174.51053375578363</v>
      </c>
      <c r="M1382" s="5">
        <v>10952.724382003717</v>
      </c>
      <c r="N1382" s="5">
        <v>86.206896551724128</v>
      </c>
      <c r="O1382" s="5">
        <v>15.814097627288646</v>
      </c>
      <c r="P1382" s="5">
        <v>992.53293731932717</v>
      </c>
      <c r="Q1382" s="5">
        <v>9.061973100958749</v>
      </c>
    </row>
    <row r="1383" spans="1:17" x14ac:dyDescent="0.2">
      <c r="A1383" s="4" t="s">
        <v>100</v>
      </c>
      <c r="B1383" s="4">
        <v>2015</v>
      </c>
      <c r="C1383" s="4" t="s">
        <v>72</v>
      </c>
      <c r="D1383" s="4">
        <v>2</v>
      </c>
      <c r="E1383" s="4">
        <v>9</v>
      </c>
      <c r="F1383" s="4">
        <v>2</v>
      </c>
      <c r="G1383" s="6" t="str">
        <f t="shared" si="52"/>
        <v>92</v>
      </c>
      <c r="H1383" s="5">
        <v>4.5999999999999996</v>
      </c>
      <c r="I1383" s="5">
        <v>183.30181789396605</v>
      </c>
      <c r="J1383" s="5">
        <v>11504.487705724579</v>
      </c>
      <c r="K1383" s="5">
        <v>13.049999999999999</v>
      </c>
      <c r="L1383" s="5">
        <v>174.51053375578363</v>
      </c>
      <c r="M1383" s="5">
        <v>10952.724382003717</v>
      </c>
      <c r="N1383" s="5">
        <v>64.750957854406138</v>
      </c>
      <c r="O1383" s="5">
        <v>8.7912841381824194</v>
      </c>
      <c r="P1383" s="5">
        <v>551.7633237208629</v>
      </c>
      <c r="Q1383" s="5">
        <v>5.0376810780289354</v>
      </c>
    </row>
    <row r="1384" spans="1:17" x14ac:dyDescent="0.2">
      <c r="A1384" s="4" t="s">
        <v>100</v>
      </c>
      <c r="B1384" s="4">
        <v>2015</v>
      </c>
      <c r="C1384" s="4" t="s">
        <v>72</v>
      </c>
      <c r="D1384" s="4">
        <v>3</v>
      </c>
      <c r="E1384" s="4">
        <v>9</v>
      </c>
      <c r="F1384" s="4">
        <v>2</v>
      </c>
      <c r="G1384" s="6" t="str">
        <f t="shared" si="52"/>
        <v>92</v>
      </c>
      <c r="H1384" s="5">
        <v>4.8</v>
      </c>
      <c r="I1384" s="5">
        <v>195.61956466610314</v>
      </c>
      <c r="J1384" s="5">
        <v>12277.580782107783</v>
      </c>
      <c r="K1384" s="5">
        <v>13.049999999999999</v>
      </c>
      <c r="L1384" s="5">
        <v>174.51053375578363</v>
      </c>
      <c r="M1384" s="5">
        <v>10952.724382003717</v>
      </c>
      <c r="N1384" s="5">
        <v>63.218390804597703</v>
      </c>
      <c r="O1384" s="5">
        <v>21.109030910319518</v>
      </c>
      <c r="P1384" s="5">
        <v>1324.8564001040668</v>
      </c>
      <c r="Q1384" s="5">
        <v>12.096135663569893</v>
      </c>
    </row>
    <row r="1385" spans="1:17" x14ac:dyDescent="0.2">
      <c r="A1385" s="4" t="s">
        <v>100</v>
      </c>
      <c r="B1385" s="4">
        <v>2015</v>
      </c>
      <c r="C1385" s="4" t="s">
        <v>72</v>
      </c>
      <c r="D1385" s="4">
        <v>4</v>
      </c>
      <c r="E1385" s="4">
        <v>9</v>
      </c>
      <c r="F1385" s="4">
        <v>2</v>
      </c>
      <c r="G1385" s="6" t="str">
        <f t="shared" si="52"/>
        <v>92</v>
      </c>
      <c r="H1385" s="5">
        <v>1.4</v>
      </c>
      <c r="I1385" s="5">
        <v>146.94415386246206</v>
      </c>
      <c r="J1385" s="5">
        <v>9222.5883570707592</v>
      </c>
      <c r="K1385" s="5">
        <v>13.049999999999999</v>
      </c>
      <c r="L1385" s="5">
        <v>174.51053375578363</v>
      </c>
      <c r="M1385" s="5">
        <v>10952.724382003717</v>
      </c>
      <c r="N1385" s="5">
        <v>89.272030651340998</v>
      </c>
      <c r="O1385" s="5">
        <v>-27.566379893321567</v>
      </c>
      <c r="P1385" s="5">
        <v>-1730.1360249329573</v>
      </c>
      <c r="Q1385" s="5">
        <v>-15.796398819052929</v>
      </c>
    </row>
    <row r="1386" spans="1:17" x14ac:dyDescent="0.2">
      <c r="A1386" s="4" t="s">
        <v>73</v>
      </c>
      <c r="B1386" s="4">
        <v>2015</v>
      </c>
      <c r="C1386" s="12" t="s">
        <v>72</v>
      </c>
      <c r="D1386" s="4">
        <v>1</v>
      </c>
      <c r="E1386" s="4">
        <v>10</v>
      </c>
      <c r="F1386" s="4">
        <v>2</v>
      </c>
      <c r="G1386" s="6" t="str">
        <f t="shared" si="52"/>
        <v>102</v>
      </c>
      <c r="H1386" s="5">
        <v>0.9</v>
      </c>
      <c r="I1386" s="5">
        <v>198.06046280642431</v>
      </c>
      <c r="J1386" s="5">
        <v>12430.777749649562</v>
      </c>
      <c r="K1386" s="5">
        <v>6.9</v>
      </c>
      <c r="L1386" s="5">
        <v>196.81</v>
      </c>
      <c r="M1386" s="5">
        <v>12352.295527551272</v>
      </c>
      <c r="N1386" s="5">
        <v>86.956521739130437</v>
      </c>
      <c r="O1386" s="5">
        <v>1.2504628064243093</v>
      </c>
      <c r="P1386" s="5">
        <v>78.48222209828964</v>
      </c>
      <c r="Q1386" s="5">
        <v>0.63536548266059834</v>
      </c>
    </row>
    <row r="1387" spans="1:17" x14ac:dyDescent="0.2">
      <c r="A1387" s="4" t="s">
        <v>73</v>
      </c>
      <c r="B1387" s="4">
        <v>2015</v>
      </c>
      <c r="C1387" s="12" t="s">
        <v>72</v>
      </c>
      <c r="D1387" s="4">
        <v>2</v>
      </c>
      <c r="E1387" s="4">
        <v>10</v>
      </c>
      <c r="F1387" s="4">
        <v>2</v>
      </c>
      <c r="G1387" s="6" t="str">
        <f t="shared" si="52"/>
        <v>102</v>
      </c>
      <c r="H1387" s="5">
        <v>3.4</v>
      </c>
      <c r="I1387" s="5">
        <v>198.75017390493437</v>
      </c>
      <c r="J1387" s="5">
        <v>12474.065770163907</v>
      </c>
      <c r="K1387" s="5">
        <v>6.9</v>
      </c>
      <c r="L1387" s="5">
        <v>196.81</v>
      </c>
      <c r="M1387" s="5">
        <v>12352.295527551272</v>
      </c>
      <c r="N1387" s="5">
        <v>50.724637681159422</v>
      </c>
      <c r="O1387" s="5">
        <v>1.9401739049343689</v>
      </c>
      <c r="P1387" s="5">
        <v>121.77024261263432</v>
      </c>
      <c r="Q1387" s="5">
        <v>0.98581063204835861</v>
      </c>
    </row>
    <row r="1388" spans="1:17" x14ac:dyDescent="0.2">
      <c r="A1388" s="4" t="s">
        <v>73</v>
      </c>
      <c r="B1388" s="4">
        <v>2015</v>
      </c>
      <c r="C1388" s="12" t="s">
        <v>72</v>
      </c>
      <c r="D1388" s="4">
        <v>3</v>
      </c>
      <c r="E1388" s="4">
        <v>10</v>
      </c>
      <c r="F1388" s="4">
        <v>2</v>
      </c>
      <c r="G1388" s="6" t="str">
        <f t="shared" si="52"/>
        <v>102</v>
      </c>
      <c r="H1388" s="5">
        <v>3.4</v>
      </c>
      <c r="I1388" s="5">
        <v>197.87001665755056</v>
      </c>
      <c r="J1388" s="5">
        <v>12418.824865583851</v>
      </c>
      <c r="K1388" s="5">
        <v>6.9</v>
      </c>
      <c r="L1388" s="5">
        <v>196.81</v>
      </c>
      <c r="M1388" s="5">
        <v>12352.295527551272</v>
      </c>
      <c r="N1388" s="5">
        <v>50.724637681159422</v>
      </c>
      <c r="O1388" s="5">
        <v>1.0600166575505625</v>
      </c>
      <c r="P1388" s="5">
        <v>66.52933803257838</v>
      </c>
      <c r="Q1388" s="5">
        <v>0.53859898254690797</v>
      </c>
    </row>
    <row r="1389" spans="1:17" x14ac:dyDescent="0.2">
      <c r="A1389" s="4" t="s">
        <v>73</v>
      </c>
      <c r="B1389" s="4">
        <v>2015</v>
      </c>
      <c r="C1389" s="12" t="s">
        <v>72</v>
      </c>
      <c r="D1389" s="4">
        <v>4</v>
      </c>
      <c r="E1389" s="4">
        <v>10</v>
      </c>
      <c r="F1389" s="4">
        <v>2</v>
      </c>
      <c r="G1389" s="6" t="str">
        <f t="shared" si="52"/>
        <v>102</v>
      </c>
      <c r="H1389" s="5">
        <v>3.3</v>
      </c>
      <c r="I1389" s="5">
        <v>201.6025058114962</v>
      </c>
      <c r="J1389" s="5">
        <v>12653.085365979747</v>
      </c>
      <c r="K1389" s="5">
        <v>6.9</v>
      </c>
      <c r="L1389" s="5">
        <v>196.81</v>
      </c>
      <c r="M1389" s="5">
        <v>12352.295527551272</v>
      </c>
      <c r="N1389" s="5">
        <v>52.173913043478272</v>
      </c>
      <c r="O1389" s="5">
        <v>4.7925058114961985</v>
      </c>
      <c r="P1389" s="5">
        <v>300.78983842847447</v>
      </c>
      <c r="Q1389" s="5">
        <v>2.4350926332484151</v>
      </c>
    </row>
    <row r="1390" spans="1:17" x14ac:dyDescent="0.2">
      <c r="A1390" s="4" t="s">
        <v>100</v>
      </c>
      <c r="B1390" s="4">
        <v>2015</v>
      </c>
      <c r="C1390" s="4" t="s">
        <v>72</v>
      </c>
      <c r="D1390" s="4">
        <v>1</v>
      </c>
      <c r="E1390" s="4">
        <v>10</v>
      </c>
      <c r="F1390" s="4">
        <v>2</v>
      </c>
      <c r="G1390" s="6" t="str">
        <f t="shared" si="52"/>
        <v>102</v>
      </c>
      <c r="H1390" s="5">
        <v>5.2</v>
      </c>
      <c r="I1390" s="5">
        <v>195.12316524226995</v>
      </c>
      <c r="J1390" s="5">
        <v>12246.425493337427</v>
      </c>
      <c r="K1390" s="5">
        <v>13.049999999999999</v>
      </c>
      <c r="L1390" s="5">
        <v>174.51053375578363</v>
      </c>
      <c r="M1390" s="5">
        <v>10952.724382003717</v>
      </c>
      <c r="N1390" s="5">
        <v>60.153256704980841</v>
      </c>
      <c r="O1390" s="5">
        <v>20.612631486486322</v>
      </c>
      <c r="P1390" s="5">
        <v>1293.7011113337103</v>
      </c>
      <c r="Q1390" s="5">
        <v>11.811683250784382</v>
      </c>
    </row>
    <row r="1391" spans="1:17" x14ac:dyDescent="0.2">
      <c r="A1391" s="4" t="s">
        <v>100</v>
      </c>
      <c r="B1391" s="4">
        <v>2015</v>
      </c>
      <c r="C1391" s="4" t="s">
        <v>72</v>
      </c>
      <c r="D1391" s="4">
        <v>2</v>
      </c>
      <c r="E1391" s="4">
        <v>10</v>
      </c>
      <c r="F1391" s="4">
        <v>2</v>
      </c>
      <c r="G1391" s="6" t="str">
        <f t="shared" si="52"/>
        <v>102</v>
      </c>
      <c r="H1391" s="5">
        <v>6.8</v>
      </c>
      <c r="I1391" s="5">
        <v>213.35075969977362</v>
      </c>
      <c r="J1391" s="5">
        <v>13390.435622372745</v>
      </c>
      <c r="K1391" s="5">
        <v>13.049999999999999</v>
      </c>
      <c r="L1391" s="5">
        <v>174.51053375578363</v>
      </c>
      <c r="M1391" s="5">
        <v>10952.724382003717</v>
      </c>
      <c r="N1391" s="5">
        <v>47.892720306513411</v>
      </c>
      <c r="O1391" s="5">
        <v>38.840225943989992</v>
      </c>
      <c r="P1391" s="5">
        <v>2437.711240369028</v>
      </c>
      <c r="Q1391" s="5">
        <v>22.256665605266218</v>
      </c>
    </row>
    <row r="1392" spans="1:17" x14ac:dyDescent="0.2">
      <c r="A1392" s="4" t="s">
        <v>100</v>
      </c>
      <c r="B1392" s="4">
        <v>2015</v>
      </c>
      <c r="C1392" s="4" t="s">
        <v>72</v>
      </c>
      <c r="D1392" s="4">
        <v>3</v>
      </c>
      <c r="E1392" s="4">
        <v>10</v>
      </c>
      <c r="F1392" s="4">
        <v>2</v>
      </c>
      <c r="G1392" s="6" t="str">
        <f t="shared" si="52"/>
        <v>102</v>
      </c>
      <c r="H1392" s="5">
        <v>3</v>
      </c>
      <c r="I1392" s="5">
        <v>208.18553272296501</v>
      </c>
      <c r="J1392" s="5">
        <v>13066.252856840403</v>
      </c>
      <c r="K1392" s="5">
        <v>13.049999999999999</v>
      </c>
      <c r="L1392" s="5">
        <v>174.51053375578363</v>
      </c>
      <c r="M1392" s="5">
        <v>10952.724382003717</v>
      </c>
      <c r="N1392" s="5">
        <v>77.011494252873561</v>
      </c>
      <c r="O1392" s="5">
        <v>33.674998967181381</v>
      </c>
      <c r="P1392" s="5">
        <v>2113.5284748366867</v>
      </c>
      <c r="Q1392" s="5">
        <v>19.296828817398151</v>
      </c>
    </row>
    <row r="1393" spans="1:17" x14ac:dyDescent="0.2">
      <c r="A1393" s="4" t="s">
        <v>100</v>
      </c>
      <c r="B1393" s="4">
        <v>2015</v>
      </c>
      <c r="C1393" s="4" t="s">
        <v>72</v>
      </c>
      <c r="D1393" s="4">
        <v>4</v>
      </c>
      <c r="E1393" s="4">
        <v>10</v>
      </c>
      <c r="F1393" s="4">
        <v>2</v>
      </c>
      <c r="G1393" s="6" t="str">
        <f t="shared" si="52"/>
        <v>102</v>
      </c>
      <c r="H1393" s="5">
        <v>3.8</v>
      </c>
      <c r="I1393" s="5">
        <v>166.80483419876828</v>
      </c>
      <c r="J1393" s="5">
        <v>10469.095104148046</v>
      </c>
      <c r="K1393" s="5">
        <v>13.049999999999999</v>
      </c>
      <c r="L1393" s="5">
        <v>174.51053375578363</v>
      </c>
      <c r="M1393" s="5">
        <v>10952.724382003717</v>
      </c>
      <c r="N1393" s="5">
        <v>70.88122605363985</v>
      </c>
      <c r="O1393" s="5">
        <v>-7.7056995570153504</v>
      </c>
      <c r="P1393" s="5">
        <v>-483.62927785567081</v>
      </c>
      <c r="Q1393" s="5">
        <v>-4.4156071219167714</v>
      </c>
    </row>
    <row r="1394" spans="1:17" x14ac:dyDescent="0.2">
      <c r="A1394" s="4" t="s">
        <v>73</v>
      </c>
      <c r="B1394" s="4">
        <v>2015</v>
      </c>
      <c r="C1394" s="12" t="s">
        <v>72</v>
      </c>
      <c r="D1394" s="4">
        <v>1</v>
      </c>
      <c r="E1394" s="4">
        <v>11</v>
      </c>
      <c r="F1394" s="4">
        <v>2</v>
      </c>
      <c r="G1394" s="6" t="str">
        <f t="shared" si="52"/>
        <v>112</v>
      </c>
      <c r="H1394" s="5">
        <v>0.6</v>
      </c>
      <c r="I1394" s="5">
        <v>203.09119213643092</v>
      </c>
      <c r="J1394" s="5">
        <v>12746.519101223981</v>
      </c>
      <c r="K1394" s="5">
        <v>6.9</v>
      </c>
      <c r="L1394" s="5">
        <v>196.81</v>
      </c>
      <c r="M1394" s="5">
        <v>12352.295527551272</v>
      </c>
      <c r="N1394" s="5">
        <v>91.304347826086968</v>
      </c>
      <c r="O1394" s="5">
        <v>6.2811921364309171</v>
      </c>
      <c r="P1394" s="5">
        <v>394.22357367270888</v>
      </c>
      <c r="Q1394" s="5">
        <v>3.1915005012097541</v>
      </c>
    </row>
    <row r="1395" spans="1:17" x14ac:dyDescent="0.2">
      <c r="A1395" s="4" t="s">
        <v>73</v>
      </c>
      <c r="B1395" s="4">
        <v>2015</v>
      </c>
      <c r="C1395" s="12" t="s">
        <v>72</v>
      </c>
      <c r="D1395" s="4">
        <v>2</v>
      </c>
      <c r="E1395" s="4">
        <v>11</v>
      </c>
      <c r="F1395" s="4">
        <v>2</v>
      </c>
      <c r="G1395" s="6" t="str">
        <f t="shared" si="52"/>
        <v>112</v>
      </c>
      <c r="H1395" s="5">
        <v>3.4</v>
      </c>
      <c r="I1395" s="5">
        <v>205.00468245195208</v>
      </c>
      <c r="J1395" s="5">
        <v>12866.614613984637</v>
      </c>
      <c r="K1395" s="5">
        <v>6.9</v>
      </c>
      <c r="L1395" s="5">
        <v>196.81</v>
      </c>
      <c r="M1395" s="5">
        <v>12352.295527551272</v>
      </c>
      <c r="N1395" s="5">
        <v>50.724637681159422</v>
      </c>
      <c r="O1395" s="5">
        <v>8.194682451952076</v>
      </c>
      <c r="P1395" s="5">
        <v>514.31908643336465</v>
      </c>
      <c r="Q1395" s="5">
        <v>4.1637530877252544</v>
      </c>
    </row>
    <row r="1396" spans="1:17" x14ac:dyDescent="0.2">
      <c r="A1396" s="4" t="s">
        <v>73</v>
      </c>
      <c r="B1396" s="4">
        <v>2015</v>
      </c>
      <c r="C1396" s="12" t="s">
        <v>72</v>
      </c>
      <c r="D1396" s="4">
        <v>3</v>
      </c>
      <c r="E1396" s="4">
        <v>11</v>
      </c>
      <c r="F1396" s="4">
        <v>2</v>
      </c>
      <c r="G1396" s="6" t="str">
        <f t="shared" si="52"/>
        <v>112</v>
      </c>
      <c r="H1396" s="5">
        <v>3.4</v>
      </c>
      <c r="I1396" s="5">
        <v>197.8655824175824</v>
      </c>
      <c r="J1396" s="5">
        <v>12418.5465614198</v>
      </c>
      <c r="K1396" s="5">
        <v>6.9</v>
      </c>
      <c r="L1396" s="5">
        <v>196.81</v>
      </c>
      <c r="M1396" s="5">
        <v>12352.295527551272</v>
      </c>
      <c r="N1396" s="5">
        <v>50.724637681159422</v>
      </c>
      <c r="O1396" s="5">
        <v>1.0555824175824</v>
      </c>
      <c r="P1396" s="5">
        <v>66.251033868527884</v>
      </c>
      <c r="Q1396" s="5">
        <v>0.5363459263159448</v>
      </c>
    </row>
    <row r="1397" spans="1:17" x14ac:dyDescent="0.2">
      <c r="A1397" s="4" t="s">
        <v>73</v>
      </c>
      <c r="B1397" s="4">
        <v>2015</v>
      </c>
      <c r="C1397" s="12" t="s">
        <v>72</v>
      </c>
      <c r="D1397" s="4">
        <v>4</v>
      </c>
      <c r="E1397" s="4">
        <v>11</v>
      </c>
      <c r="F1397" s="4">
        <v>2</v>
      </c>
      <c r="G1397" s="6" t="str">
        <f t="shared" si="52"/>
        <v>112</v>
      </c>
      <c r="H1397" s="5">
        <v>1.8</v>
      </c>
      <c r="I1397" s="5">
        <v>204.1005682654814</v>
      </c>
      <c r="J1397" s="5">
        <v>12809.870111053193</v>
      </c>
      <c r="K1397" s="5">
        <v>6.9</v>
      </c>
      <c r="L1397" s="5">
        <v>196.81</v>
      </c>
      <c r="M1397" s="5">
        <v>12352.295527551272</v>
      </c>
      <c r="N1397" s="5">
        <v>73.913043478260875</v>
      </c>
      <c r="O1397" s="5">
        <v>7.2905682654813972</v>
      </c>
      <c r="P1397" s="5">
        <v>457.57458350192064</v>
      </c>
      <c r="Q1397" s="5">
        <v>3.7043688153454548</v>
      </c>
    </row>
    <row r="1398" spans="1:17" x14ac:dyDescent="0.2">
      <c r="A1398" s="4" t="s">
        <v>100</v>
      </c>
      <c r="B1398" s="4">
        <v>2015</v>
      </c>
      <c r="C1398" s="4" t="s">
        <v>72</v>
      </c>
      <c r="D1398" s="4">
        <v>1</v>
      </c>
      <c r="E1398" s="4">
        <v>11</v>
      </c>
      <c r="F1398" s="4">
        <v>2</v>
      </c>
      <c r="G1398" s="6" t="str">
        <f t="shared" si="52"/>
        <v>112</v>
      </c>
      <c r="H1398" s="5">
        <v>5.2</v>
      </c>
      <c r="I1398" s="5">
        <v>187.60972307460716</v>
      </c>
      <c r="J1398" s="5">
        <v>11774.862777600745</v>
      </c>
      <c r="K1398" s="5">
        <v>13.049999999999999</v>
      </c>
      <c r="L1398" s="5">
        <v>174.51053375578363</v>
      </c>
      <c r="M1398" s="5">
        <v>10952.724382003717</v>
      </c>
      <c r="N1398" s="5">
        <v>60.153256704980841</v>
      </c>
      <c r="O1398" s="5">
        <v>13.099189318823534</v>
      </c>
      <c r="P1398" s="5">
        <v>822.13839559702865</v>
      </c>
      <c r="Q1398" s="5">
        <v>7.5062456328023179</v>
      </c>
    </row>
    <row r="1399" spans="1:17" x14ac:dyDescent="0.2">
      <c r="A1399" s="4" t="s">
        <v>100</v>
      </c>
      <c r="B1399" s="4">
        <v>2015</v>
      </c>
      <c r="C1399" s="4" t="s">
        <v>72</v>
      </c>
      <c r="D1399" s="4">
        <v>2</v>
      </c>
      <c r="E1399" s="4">
        <v>11</v>
      </c>
      <c r="F1399" s="4">
        <v>2</v>
      </c>
      <c r="G1399" s="6" t="str">
        <f t="shared" si="52"/>
        <v>112</v>
      </c>
      <c r="H1399" s="5">
        <v>5</v>
      </c>
      <c r="I1399" s="5">
        <v>187.36314596606283</v>
      </c>
      <c r="J1399" s="5">
        <v>11759.386971924872</v>
      </c>
      <c r="K1399" s="5">
        <v>13.049999999999999</v>
      </c>
      <c r="L1399" s="5">
        <v>174.51053375578363</v>
      </c>
      <c r="M1399" s="5">
        <v>10952.724382003717</v>
      </c>
      <c r="N1399" s="5">
        <v>61.685823754789268</v>
      </c>
      <c r="O1399" s="5">
        <v>12.852612210279204</v>
      </c>
      <c r="P1399" s="5">
        <v>806.66258992115581</v>
      </c>
      <c r="Q1399" s="5">
        <v>7.3649492289477578</v>
      </c>
    </row>
    <row r="1400" spans="1:17" x14ac:dyDescent="0.2">
      <c r="A1400" s="4" t="s">
        <v>100</v>
      </c>
      <c r="B1400" s="4">
        <v>2015</v>
      </c>
      <c r="C1400" s="4" t="s">
        <v>72</v>
      </c>
      <c r="D1400" s="4">
        <v>3</v>
      </c>
      <c r="E1400" s="4">
        <v>11</v>
      </c>
      <c r="F1400" s="4">
        <v>2</v>
      </c>
      <c r="G1400" s="6" t="str">
        <f t="shared" si="52"/>
        <v>112</v>
      </c>
      <c r="H1400" s="5">
        <v>4.5999999999999996</v>
      </c>
      <c r="I1400" s="5">
        <v>218.17073842911563</v>
      </c>
      <c r="J1400" s="5">
        <v>13692.949730910643</v>
      </c>
      <c r="K1400" s="5">
        <v>13.049999999999999</v>
      </c>
      <c r="L1400" s="5">
        <v>174.51053375578363</v>
      </c>
      <c r="M1400" s="5">
        <v>10952.724382003717</v>
      </c>
      <c r="N1400" s="5">
        <v>64.750957854406138</v>
      </c>
      <c r="O1400" s="5">
        <v>43.660204673332004</v>
      </c>
      <c r="P1400" s="5">
        <v>2740.2253489069262</v>
      </c>
      <c r="Q1400" s="5">
        <v>25.018664337152096</v>
      </c>
    </row>
    <row r="1401" spans="1:17" x14ac:dyDescent="0.2">
      <c r="A1401" s="4" t="s">
        <v>100</v>
      </c>
      <c r="B1401" s="4">
        <v>2015</v>
      </c>
      <c r="C1401" s="4" t="s">
        <v>72</v>
      </c>
      <c r="D1401" s="4">
        <v>4</v>
      </c>
      <c r="E1401" s="4">
        <v>11</v>
      </c>
      <c r="F1401" s="4">
        <v>2</v>
      </c>
      <c r="G1401" s="6" t="str">
        <f t="shared" si="52"/>
        <v>112</v>
      </c>
      <c r="H1401" s="5">
        <v>2.2000000000000002</v>
      </c>
      <c r="I1401" s="5">
        <v>144.73050416616348</v>
      </c>
      <c r="J1401" s="5">
        <v>9083.6540791217012</v>
      </c>
      <c r="K1401" s="5">
        <v>13.049999999999999</v>
      </c>
      <c r="L1401" s="5">
        <v>174.51053375578363</v>
      </c>
      <c r="M1401" s="5">
        <v>10952.724382003717</v>
      </c>
      <c r="N1401" s="5">
        <v>83.141762452107272</v>
      </c>
      <c r="O1401" s="5">
        <v>-29.780029589620142</v>
      </c>
      <c r="P1401" s="5">
        <v>-1869.0703028820153</v>
      </c>
      <c r="Q1401" s="5">
        <v>-17.064889407361161</v>
      </c>
    </row>
    <row r="1402" spans="1:17" x14ac:dyDescent="0.2">
      <c r="A1402" s="4" t="s">
        <v>73</v>
      </c>
      <c r="B1402" s="4">
        <v>2015</v>
      </c>
      <c r="C1402" s="12" t="s">
        <v>72</v>
      </c>
      <c r="D1402" s="4">
        <v>1</v>
      </c>
      <c r="E1402" s="4">
        <v>15</v>
      </c>
      <c r="F1402" s="4">
        <v>3</v>
      </c>
      <c r="G1402" s="6" t="str">
        <f t="shared" si="52"/>
        <v>153</v>
      </c>
      <c r="H1402" s="5">
        <v>0.6</v>
      </c>
      <c r="I1402" s="5">
        <v>204.1875</v>
      </c>
      <c r="J1402" s="5">
        <v>12815.326167531504</v>
      </c>
      <c r="K1402" s="5">
        <v>6.9</v>
      </c>
      <c r="L1402" s="5">
        <v>196.81</v>
      </c>
      <c r="M1402" s="5">
        <v>12352.295527551272</v>
      </c>
      <c r="N1402" s="5">
        <v>91.304347826086968</v>
      </c>
      <c r="O1402" s="5">
        <v>7.3774999999999977</v>
      </c>
      <c r="P1402" s="5">
        <v>463.03063998023208</v>
      </c>
      <c r="Q1402" s="5">
        <v>3.7485392002438891</v>
      </c>
    </row>
    <row r="1403" spans="1:17" x14ac:dyDescent="0.2">
      <c r="A1403" s="4" t="s">
        <v>73</v>
      </c>
      <c r="B1403" s="4">
        <v>2015</v>
      </c>
      <c r="C1403" s="12" t="s">
        <v>72</v>
      </c>
      <c r="D1403" s="4">
        <v>2</v>
      </c>
      <c r="E1403" s="4">
        <v>15</v>
      </c>
      <c r="F1403" s="4">
        <v>3</v>
      </c>
      <c r="G1403" s="6" t="str">
        <f t="shared" si="52"/>
        <v>153</v>
      </c>
      <c r="H1403" s="5">
        <v>2.5</v>
      </c>
      <c r="I1403" s="5">
        <v>205.80617516811549</v>
      </c>
      <c r="J1403" s="5">
        <v>12916.918332765341</v>
      </c>
      <c r="K1403" s="5">
        <v>6.9</v>
      </c>
      <c r="L1403" s="5">
        <v>196.81</v>
      </c>
      <c r="M1403" s="5">
        <v>12352.295527551272</v>
      </c>
      <c r="N1403" s="5">
        <v>63.768115942028992</v>
      </c>
      <c r="O1403" s="5">
        <v>8.9961751681154851</v>
      </c>
      <c r="P1403" s="5">
        <v>564.62280521406865</v>
      </c>
      <c r="Q1403" s="5">
        <v>4.5709949535671441</v>
      </c>
    </row>
    <row r="1404" spans="1:17" x14ac:dyDescent="0.2">
      <c r="A1404" s="4" t="s">
        <v>73</v>
      </c>
      <c r="B1404" s="4">
        <v>2015</v>
      </c>
      <c r="C1404" s="12" t="s">
        <v>72</v>
      </c>
      <c r="D1404" s="4">
        <v>3</v>
      </c>
      <c r="E1404" s="4">
        <v>15</v>
      </c>
      <c r="F1404" s="4">
        <v>3</v>
      </c>
      <c r="G1404" s="6" t="str">
        <f t="shared" si="52"/>
        <v>153</v>
      </c>
      <c r="H1404" s="5">
        <v>1.8</v>
      </c>
      <c r="I1404" s="5">
        <v>211.92012961397577</v>
      </c>
      <c r="J1404" s="5">
        <v>13300.645644168482</v>
      </c>
      <c r="K1404" s="5">
        <v>6.9</v>
      </c>
      <c r="L1404" s="5">
        <v>196.81</v>
      </c>
      <c r="M1404" s="5">
        <v>12352.295527551272</v>
      </c>
      <c r="N1404" s="5">
        <v>73.913043478260875</v>
      </c>
      <c r="O1404" s="5">
        <v>15.110129613975772</v>
      </c>
      <c r="P1404" s="5">
        <v>948.35011661721001</v>
      </c>
      <c r="Q1404" s="5">
        <v>7.6775212712645615</v>
      </c>
    </row>
    <row r="1405" spans="1:17" x14ac:dyDescent="0.2">
      <c r="A1405" s="4" t="s">
        <v>73</v>
      </c>
      <c r="B1405" s="4">
        <v>2015</v>
      </c>
      <c r="C1405" s="12" t="s">
        <v>72</v>
      </c>
      <c r="D1405" s="4">
        <v>4</v>
      </c>
      <c r="E1405" s="4">
        <v>15</v>
      </c>
      <c r="F1405" s="4">
        <v>3</v>
      </c>
      <c r="G1405" s="6" t="str">
        <f t="shared" si="52"/>
        <v>153</v>
      </c>
      <c r="H1405" s="5">
        <v>0.8</v>
      </c>
      <c r="I1405" s="5">
        <v>201.10327961727307</v>
      </c>
      <c r="J1405" s="5">
        <v>12621.752661919289</v>
      </c>
      <c r="K1405" s="5">
        <v>6.9</v>
      </c>
      <c r="L1405" s="5">
        <v>196.81</v>
      </c>
      <c r="M1405" s="5">
        <v>12352.295527551272</v>
      </c>
      <c r="N1405" s="5">
        <v>88.405797101449281</v>
      </c>
      <c r="O1405" s="5">
        <v>4.2932796172730718</v>
      </c>
      <c r="P1405" s="5">
        <v>269.45713436801634</v>
      </c>
      <c r="Q1405" s="5">
        <v>2.1814336757649913</v>
      </c>
    </row>
    <row r="1406" spans="1:17" x14ac:dyDescent="0.2">
      <c r="A1406" s="4" t="s">
        <v>100</v>
      </c>
      <c r="B1406" s="4">
        <v>2015</v>
      </c>
      <c r="C1406" s="4" t="s">
        <v>72</v>
      </c>
      <c r="D1406" s="4">
        <v>1</v>
      </c>
      <c r="E1406" s="4">
        <v>15</v>
      </c>
      <c r="F1406" s="4">
        <v>3</v>
      </c>
      <c r="G1406" s="6" t="str">
        <f t="shared" si="52"/>
        <v>153</v>
      </c>
      <c r="H1406" s="5">
        <v>3.2</v>
      </c>
      <c r="I1406" s="5">
        <v>184.46754914239347</v>
      </c>
      <c r="J1406" s="5">
        <v>11577.651960011846</v>
      </c>
      <c r="K1406" s="5">
        <v>13.049999999999999</v>
      </c>
      <c r="L1406" s="5">
        <v>174.51053375578363</v>
      </c>
      <c r="M1406" s="5">
        <v>10952.724382003717</v>
      </c>
      <c r="N1406" s="5">
        <v>75.478927203065126</v>
      </c>
      <c r="O1406" s="5">
        <v>9.9570153866098394</v>
      </c>
      <c r="P1406" s="5">
        <v>624.92757800812979</v>
      </c>
      <c r="Q1406" s="5">
        <v>5.7056815839805157</v>
      </c>
    </row>
    <row r="1407" spans="1:17" x14ac:dyDescent="0.2">
      <c r="A1407" s="4" t="s">
        <v>100</v>
      </c>
      <c r="B1407" s="4">
        <v>2015</v>
      </c>
      <c r="C1407" s="4" t="s">
        <v>72</v>
      </c>
      <c r="D1407" s="4">
        <v>2</v>
      </c>
      <c r="E1407" s="4">
        <v>15</v>
      </c>
      <c r="F1407" s="4">
        <v>3</v>
      </c>
      <c r="G1407" s="6" t="str">
        <f t="shared" si="52"/>
        <v>153</v>
      </c>
      <c r="H1407" s="5">
        <v>3</v>
      </c>
      <c r="I1407" s="5">
        <v>194.26523758712921</v>
      </c>
      <c r="J1407" s="5">
        <v>12192.579774433116</v>
      </c>
      <c r="K1407" s="5">
        <v>13.049999999999999</v>
      </c>
      <c r="L1407" s="5">
        <v>174.51053375578363</v>
      </c>
      <c r="M1407" s="5">
        <v>10952.724382003717</v>
      </c>
      <c r="N1407" s="5">
        <v>77.011494252873561</v>
      </c>
      <c r="O1407" s="5">
        <v>19.75470383134558</v>
      </c>
      <c r="P1407" s="5">
        <v>1239.8553924293992</v>
      </c>
      <c r="Q1407" s="5">
        <v>11.320063841527775</v>
      </c>
    </row>
    <row r="1408" spans="1:17" x14ac:dyDescent="0.2">
      <c r="A1408" s="4" t="s">
        <v>100</v>
      </c>
      <c r="B1408" s="4">
        <v>2015</v>
      </c>
      <c r="C1408" s="4" t="s">
        <v>72</v>
      </c>
      <c r="D1408" s="4">
        <v>3</v>
      </c>
      <c r="E1408" s="4">
        <v>15</v>
      </c>
      <c r="F1408" s="4">
        <v>3</v>
      </c>
      <c r="G1408" s="6" t="str">
        <f t="shared" si="52"/>
        <v>153</v>
      </c>
      <c r="H1408" s="5">
        <v>3.2</v>
      </c>
      <c r="I1408" s="5">
        <v>198.1123355377654</v>
      </c>
      <c r="J1408" s="5">
        <v>12434.033414033212</v>
      </c>
      <c r="K1408" s="5">
        <v>13.049999999999999</v>
      </c>
      <c r="L1408" s="5">
        <v>174.51053375578363</v>
      </c>
      <c r="M1408" s="5">
        <v>10952.724382003717</v>
      </c>
      <c r="N1408" s="5">
        <v>75.478927203065126</v>
      </c>
      <c r="O1408" s="5">
        <v>23.601801781981777</v>
      </c>
      <c r="P1408" s="5">
        <v>1481.3090320294959</v>
      </c>
      <c r="Q1408" s="5">
        <v>13.524571425018383</v>
      </c>
    </row>
    <row r="1409" spans="1:17" x14ac:dyDescent="0.2">
      <c r="A1409" s="4" t="s">
        <v>100</v>
      </c>
      <c r="B1409" s="4">
        <v>2015</v>
      </c>
      <c r="C1409" s="4" t="s">
        <v>72</v>
      </c>
      <c r="D1409" s="4">
        <v>4</v>
      </c>
      <c r="E1409" s="4">
        <v>15</v>
      </c>
      <c r="F1409" s="4">
        <v>3</v>
      </c>
      <c r="G1409" s="6" t="str">
        <f t="shared" si="52"/>
        <v>153</v>
      </c>
      <c r="H1409" s="5">
        <v>1.7</v>
      </c>
      <c r="I1409" s="5">
        <v>177.16110525437327</v>
      </c>
      <c r="J1409" s="5">
        <v>11119.080982112877</v>
      </c>
      <c r="K1409" s="5">
        <v>13.049999999999999</v>
      </c>
      <c r="L1409" s="5">
        <v>174.51053375578363</v>
      </c>
      <c r="M1409" s="5">
        <v>10952.724382003717</v>
      </c>
      <c r="N1409" s="5">
        <v>86.973180076628353</v>
      </c>
      <c r="O1409" s="5">
        <v>2.6505714985896418</v>
      </c>
      <c r="P1409" s="5">
        <v>166.35660010916035</v>
      </c>
      <c r="Q1409" s="5">
        <v>1.5188604616263219</v>
      </c>
    </row>
    <row r="1410" spans="1:17" x14ac:dyDescent="0.2">
      <c r="A1410" s="4" t="s">
        <v>73</v>
      </c>
      <c r="B1410" s="4">
        <v>2015</v>
      </c>
      <c r="C1410" s="12" t="s">
        <v>72</v>
      </c>
      <c r="D1410" s="4">
        <v>1</v>
      </c>
      <c r="E1410" s="4">
        <v>16</v>
      </c>
      <c r="F1410" s="4">
        <v>3</v>
      </c>
      <c r="G1410" s="6" t="str">
        <f t="shared" ref="G1410:G1473" si="53">E1410&amp;F1410</f>
        <v>163</v>
      </c>
      <c r="H1410" s="5">
        <v>2.5</v>
      </c>
      <c r="I1410" s="5">
        <v>203.36511084648092</v>
      </c>
      <c r="J1410" s="5">
        <v>12763.710935262206</v>
      </c>
      <c r="K1410" s="5">
        <v>6.9</v>
      </c>
      <c r="L1410" s="5">
        <v>196.81</v>
      </c>
      <c r="M1410" s="5">
        <v>12352.295527551272</v>
      </c>
      <c r="N1410" s="5">
        <v>63.768115942028992</v>
      </c>
      <c r="O1410" s="5">
        <v>6.5551108464809147</v>
      </c>
      <c r="P1410" s="5">
        <v>411.41540771093423</v>
      </c>
      <c r="Q1410" s="5">
        <v>3.3306797655001823</v>
      </c>
    </row>
    <row r="1411" spans="1:17" x14ac:dyDescent="0.2">
      <c r="A1411" s="4" t="s">
        <v>73</v>
      </c>
      <c r="B1411" s="4">
        <v>2015</v>
      </c>
      <c r="C1411" s="12" t="s">
        <v>72</v>
      </c>
      <c r="D1411" s="4">
        <v>2</v>
      </c>
      <c r="E1411" s="4">
        <v>16</v>
      </c>
      <c r="F1411" s="4">
        <v>3</v>
      </c>
      <c r="G1411" s="6" t="str">
        <f t="shared" si="53"/>
        <v>163</v>
      </c>
      <c r="H1411" s="5">
        <v>0.7</v>
      </c>
      <c r="I1411" s="5">
        <v>204.91098875959619</v>
      </c>
      <c r="J1411" s="5">
        <v>12860.734159856049</v>
      </c>
      <c r="K1411" s="5">
        <v>6.9</v>
      </c>
      <c r="L1411" s="5">
        <v>196.81</v>
      </c>
      <c r="M1411" s="5">
        <v>12352.295527551272</v>
      </c>
      <c r="N1411" s="5">
        <v>89.85507246376811</v>
      </c>
      <c r="O1411" s="5">
        <v>8.1009887595961914</v>
      </c>
      <c r="P1411" s="5">
        <v>508.43863230477655</v>
      </c>
      <c r="Q1411" s="5">
        <v>4.1161469232235071</v>
      </c>
    </row>
    <row r="1412" spans="1:17" x14ac:dyDescent="0.2">
      <c r="A1412" s="4" t="s">
        <v>73</v>
      </c>
      <c r="B1412" s="4">
        <v>2015</v>
      </c>
      <c r="C1412" s="12" t="s">
        <v>72</v>
      </c>
      <c r="D1412" s="4">
        <v>3</v>
      </c>
      <c r="E1412" s="4">
        <v>16</v>
      </c>
      <c r="F1412" s="4">
        <v>3</v>
      </c>
      <c r="G1412" s="6" t="str">
        <f t="shared" si="53"/>
        <v>163</v>
      </c>
      <c r="H1412" s="5">
        <v>3.6</v>
      </c>
      <c r="I1412" s="5">
        <v>193.45158795451044</v>
      </c>
      <c r="J1412" s="5">
        <v>12141.513056695245</v>
      </c>
      <c r="K1412" s="5">
        <v>6.9</v>
      </c>
      <c r="L1412" s="5">
        <v>196.81</v>
      </c>
      <c r="M1412" s="5">
        <v>12352.295527551272</v>
      </c>
      <c r="N1412" s="5">
        <v>47.826086956521742</v>
      </c>
      <c r="O1412" s="5">
        <v>-3.3584120454895583</v>
      </c>
      <c r="P1412" s="5">
        <v>-210.78247085602743</v>
      </c>
      <c r="Q1412" s="5">
        <v>-1.7064234772062088</v>
      </c>
    </row>
    <row r="1413" spans="1:17" x14ac:dyDescent="0.2">
      <c r="A1413" s="4" t="s">
        <v>73</v>
      </c>
      <c r="B1413" s="4">
        <v>2015</v>
      </c>
      <c r="C1413" s="12" t="s">
        <v>72</v>
      </c>
      <c r="D1413" s="4">
        <v>4</v>
      </c>
      <c r="E1413" s="4">
        <v>16</v>
      </c>
      <c r="F1413" s="4">
        <v>3</v>
      </c>
      <c r="G1413" s="6" t="str">
        <f t="shared" si="53"/>
        <v>163</v>
      </c>
      <c r="H1413" s="5">
        <v>1.5</v>
      </c>
      <c r="I1413" s="5">
        <v>195.53639184217727</v>
      </c>
      <c r="J1413" s="5">
        <v>12272.360644406481</v>
      </c>
      <c r="K1413" s="5">
        <v>6.9</v>
      </c>
      <c r="L1413" s="5">
        <v>196.81</v>
      </c>
      <c r="M1413" s="5">
        <v>12352.295527551272</v>
      </c>
      <c r="N1413" s="5">
        <v>78.260869565217391</v>
      </c>
      <c r="O1413" s="5">
        <v>-1.2736081578227356</v>
      </c>
      <c r="P1413" s="5">
        <v>-79.934883144791456</v>
      </c>
      <c r="Q1413" s="5">
        <v>-0.64712573437463572</v>
      </c>
    </row>
    <row r="1414" spans="1:17" x14ac:dyDescent="0.2">
      <c r="A1414" s="4" t="s">
        <v>100</v>
      </c>
      <c r="B1414" s="4">
        <v>2015</v>
      </c>
      <c r="C1414" s="4" t="s">
        <v>72</v>
      </c>
      <c r="D1414" s="4">
        <v>1</v>
      </c>
      <c r="E1414" s="4">
        <v>16</v>
      </c>
      <c r="F1414" s="4">
        <v>3</v>
      </c>
      <c r="G1414" s="6" t="str">
        <f t="shared" si="53"/>
        <v>163</v>
      </c>
      <c r="H1414" s="5">
        <v>2</v>
      </c>
      <c r="I1414" s="5">
        <v>167.05408163265307</v>
      </c>
      <c r="J1414" s="5">
        <v>10484.738506225322</v>
      </c>
      <c r="K1414" s="5">
        <v>13.049999999999999</v>
      </c>
      <c r="L1414" s="5">
        <v>174.51053375578363</v>
      </c>
      <c r="M1414" s="5">
        <v>10952.724382003717</v>
      </c>
      <c r="N1414" s="5">
        <v>84.674329501915707</v>
      </c>
      <c r="O1414" s="5">
        <v>-7.4564521231305605</v>
      </c>
      <c r="P1414" s="5">
        <v>-467.98587577839498</v>
      </c>
      <c r="Q1414" s="5">
        <v>-4.2727805380306716</v>
      </c>
    </row>
    <row r="1415" spans="1:17" x14ac:dyDescent="0.2">
      <c r="A1415" s="4" t="s">
        <v>100</v>
      </c>
      <c r="B1415" s="4">
        <v>2015</v>
      </c>
      <c r="C1415" s="4" t="s">
        <v>72</v>
      </c>
      <c r="D1415" s="4">
        <v>2</v>
      </c>
      <c r="E1415" s="4">
        <v>16</v>
      </c>
      <c r="F1415" s="4">
        <v>3</v>
      </c>
      <c r="G1415" s="6" t="str">
        <f t="shared" si="53"/>
        <v>163</v>
      </c>
      <c r="H1415" s="5">
        <v>3</v>
      </c>
      <c r="I1415" s="5">
        <v>191.30125674952993</v>
      </c>
      <c r="J1415" s="5">
        <v>12006.552808099976</v>
      </c>
      <c r="K1415" s="5">
        <v>13.049999999999999</v>
      </c>
      <c r="L1415" s="5">
        <v>174.51053375578363</v>
      </c>
      <c r="M1415" s="5">
        <v>10952.724382003717</v>
      </c>
      <c r="N1415" s="5">
        <v>77.011494252873561</v>
      </c>
      <c r="O1415" s="5">
        <v>16.7907229937463</v>
      </c>
      <c r="P1415" s="5">
        <v>1053.8284260962591</v>
      </c>
      <c r="Q1415" s="5">
        <v>9.6216100153838564</v>
      </c>
    </row>
    <row r="1416" spans="1:17" x14ac:dyDescent="0.2">
      <c r="A1416" s="4" t="s">
        <v>100</v>
      </c>
      <c r="B1416" s="4">
        <v>2015</v>
      </c>
      <c r="C1416" s="4" t="s">
        <v>72</v>
      </c>
      <c r="D1416" s="4">
        <v>3</v>
      </c>
      <c r="E1416" s="4">
        <v>16</v>
      </c>
      <c r="F1416" s="4">
        <v>3</v>
      </c>
      <c r="G1416" s="6" t="str">
        <f t="shared" si="53"/>
        <v>163</v>
      </c>
      <c r="H1416" s="5">
        <v>1.8</v>
      </c>
      <c r="I1416" s="5">
        <v>217.05004876780026</v>
      </c>
      <c r="J1416" s="5">
        <v>13622.612401043061</v>
      </c>
      <c r="K1416" s="5">
        <v>13.049999999999999</v>
      </c>
      <c r="L1416" s="5">
        <v>174.51053375578363</v>
      </c>
      <c r="M1416" s="5">
        <v>10952.724382003717</v>
      </c>
      <c r="N1416" s="5">
        <v>86.206896551724128</v>
      </c>
      <c r="O1416" s="5">
        <v>42.539515012016636</v>
      </c>
      <c r="P1416" s="5">
        <v>2669.8880190393447</v>
      </c>
      <c r="Q1416" s="5">
        <v>24.376474070927998</v>
      </c>
    </row>
    <row r="1417" spans="1:17" x14ac:dyDescent="0.2">
      <c r="A1417" s="4" t="s">
        <v>100</v>
      </c>
      <c r="B1417" s="4">
        <v>2015</v>
      </c>
      <c r="C1417" s="4" t="s">
        <v>72</v>
      </c>
      <c r="D1417" s="4">
        <v>4</v>
      </c>
      <c r="E1417" s="4">
        <v>16</v>
      </c>
      <c r="F1417" s="4">
        <v>3</v>
      </c>
      <c r="G1417" s="6" t="str">
        <f t="shared" si="53"/>
        <v>163</v>
      </c>
      <c r="H1417" s="5">
        <v>1.4</v>
      </c>
      <c r="I1417" s="5">
        <v>175.13840065450253</v>
      </c>
      <c r="J1417" s="5">
        <v>10992.130903445426</v>
      </c>
      <c r="K1417" s="5">
        <v>13.049999999999999</v>
      </c>
      <c r="L1417" s="5">
        <v>174.51053375578363</v>
      </c>
      <c r="M1417" s="5">
        <v>10952.724382003717</v>
      </c>
      <c r="N1417" s="5">
        <v>89.272030651340998</v>
      </c>
      <c r="O1417" s="5">
        <v>0.62786689871890644</v>
      </c>
      <c r="P1417" s="5">
        <v>39.406521441709629</v>
      </c>
      <c r="Q1417" s="5">
        <v>0.35978739231727574</v>
      </c>
    </row>
    <row r="1418" spans="1:17" x14ac:dyDescent="0.2">
      <c r="A1418" s="4" t="s">
        <v>73</v>
      </c>
      <c r="B1418" s="4">
        <v>2015</v>
      </c>
      <c r="C1418" s="12" t="s">
        <v>72</v>
      </c>
      <c r="D1418" s="4">
        <v>1</v>
      </c>
      <c r="E1418" s="4">
        <v>17</v>
      </c>
      <c r="F1418" s="4">
        <v>3</v>
      </c>
      <c r="G1418" s="6" t="str">
        <f t="shared" si="53"/>
        <v>173</v>
      </c>
      <c r="H1418" s="5">
        <v>2.6</v>
      </c>
      <c r="I1418" s="5">
        <v>205.12597825390387</v>
      </c>
      <c r="J1418" s="5">
        <v>12874.227446625051</v>
      </c>
      <c r="K1418" s="5">
        <v>6.9</v>
      </c>
      <c r="L1418" s="5">
        <v>196.81</v>
      </c>
      <c r="M1418" s="5">
        <v>12352.295527551272</v>
      </c>
      <c r="N1418" s="5">
        <v>62.318840579710155</v>
      </c>
      <c r="O1418" s="5">
        <v>8.3159782539038645</v>
      </c>
      <c r="P1418" s="5">
        <v>521.93191907377877</v>
      </c>
      <c r="Q1418" s="5">
        <v>4.2253840017803306</v>
      </c>
    </row>
    <row r="1419" spans="1:17" x14ac:dyDescent="0.2">
      <c r="A1419" s="4" t="s">
        <v>73</v>
      </c>
      <c r="B1419" s="4">
        <v>2015</v>
      </c>
      <c r="C1419" s="12" t="s">
        <v>72</v>
      </c>
      <c r="D1419" s="4">
        <v>2</v>
      </c>
      <c r="E1419" s="4">
        <v>17</v>
      </c>
      <c r="F1419" s="4">
        <v>3</v>
      </c>
      <c r="G1419" s="6" t="str">
        <f t="shared" si="53"/>
        <v>173</v>
      </c>
      <c r="H1419" s="5">
        <v>2.5</v>
      </c>
      <c r="I1419" s="5">
        <v>218.90078025653276</v>
      </c>
      <c r="J1419" s="5">
        <v>13738.769010417425</v>
      </c>
      <c r="K1419" s="5">
        <v>6.9</v>
      </c>
      <c r="L1419" s="5">
        <v>196.81</v>
      </c>
      <c r="M1419" s="5">
        <v>12352.295527551272</v>
      </c>
      <c r="N1419" s="5">
        <v>63.768115942028992</v>
      </c>
      <c r="O1419" s="5">
        <v>22.090780256532753</v>
      </c>
      <c r="P1419" s="5">
        <v>1386.4734828661531</v>
      </c>
      <c r="Q1419" s="5">
        <v>11.224419621224918</v>
      </c>
    </row>
    <row r="1420" spans="1:17" x14ac:dyDescent="0.2">
      <c r="A1420" s="4" t="s">
        <v>73</v>
      </c>
      <c r="B1420" s="4">
        <v>2015</v>
      </c>
      <c r="C1420" s="12" t="s">
        <v>72</v>
      </c>
      <c r="D1420" s="4">
        <v>3</v>
      </c>
      <c r="E1420" s="4">
        <v>17</v>
      </c>
      <c r="F1420" s="4">
        <v>3</v>
      </c>
      <c r="G1420" s="6" t="str">
        <f t="shared" si="53"/>
        <v>173</v>
      </c>
      <c r="H1420" s="5">
        <v>0.8</v>
      </c>
      <c r="I1420" s="5">
        <v>222.4738934911243</v>
      </c>
      <c r="J1420" s="5">
        <v>13963.026673275406</v>
      </c>
      <c r="K1420" s="5">
        <v>6.9</v>
      </c>
      <c r="L1420" s="5">
        <v>196.81</v>
      </c>
      <c r="M1420" s="5">
        <v>12352.295527551272</v>
      </c>
      <c r="N1420" s="5">
        <v>88.405797101449281</v>
      </c>
      <c r="O1420" s="5">
        <v>25.663893491124298</v>
      </c>
      <c r="P1420" s="5">
        <v>1610.731145724134</v>
      </c>
      <c r="Q1420" s="5">
        <v>13.039933687883895</v>
      </c>
    </row>
    <row r="1421" spans="1:17" s="7" customFormat="1" x14ac:dyDescent="0.2">
      <c r="A1421" s="7" t="s">
        <v>73</v>
      </c>
      <c r="B1421" s="7">
        <v>2015</v>
      </c>
      <c r="C1421" s="13" t="s">
        <v>72</v>
      </c>
      <c r="D1421" s="7">
        <v>4</v>
      </c>
      <c r="E1421" s="7">
        <v>17</v>
      </c>
      <c r="F1421" s="7">
        <v>3</v>
      </c>
      <c r="G1421" s="6" t="str">
        <f t="shared" si="53"/>
        <v>173</v>
      </c>
      <c r="H1421" s="9">
        <v>1.7</v>
      </c>
      <c r="I1421" s="9">
        <v>189.1880354139787</v>
      </c>
      <c r="J1421" s="9">
        <v>11873.921669174842</v>
      </c>
      <c r="K1421" s="9">
        <v>6.9</v>
      </c>
      <c r="L1421" s="9">
        <v>196.81</v>
      </c>
      <c r="M1421" s="9">
        <v>12352.295527551272</v>
      </c>
      <c r="N1421" s="9">
        <v>75.362318840579718</v>
      </c>
      <c r="O1421" s="9">
        <v>-7.6219645860213063</v>
      </c>
      <c r="P1421" s="9">
        <v>-478.37385837642978</v>
      </c>
      <c r="Q1421" s="9">
        <v>-3.8727526985525658</v>
      </c>
    </row>
    <row r="1422" spans="1:17" x14ac:dyDescent="0.2">
      <c r="A1422" s="4" t="s">
        <v>100</v>
      </c>
      <c r="B1422" s="4">
        <v>2015</v>
      </c>
      <c r="C1422" s="4" t="s">
        <v>72</v>
      </c>
      <c r="D1422" s="4">
        <v>1</v>
      </c>
      <c r="E1422" s="4">
        <v>17</v>
      </c>
      <c r="F1422" s="4">
        <v>3</v>
      </c>
      <c r="G1422" s="6" t="str">
        <f t="shared" si="53"/>
        <v>173</v>
      </c>
      <c r="H1422" s="5">
        <v>2.6</v>
      </c>
      <c r="I1422" s="5">
        <v>175.37098603091826</v>
      </c>
      <c r="J1422" s="5">
        <v>11006.728552471766</v>
      </c>
      <c r="K1422" s="5">
        <v>13.049999999999999</v>
      </c>
      <c r="L1422" s="5">
        <v>174.51053375578363</v>
      </c>
      <c r="M1422" s="5">
        <v>10952.724382003717</v>
      </c>
      <c r="N1422" s="5">
        <v>80.076628352490417</v>
      </c>
      <c r="O1422" s="5">
        <v>0.86045227513463374</v>
      </c>
      <c r="P1422" s="5">
        <v>54.004170468049779</v>
      </c>
      <c r="Q1422" s="5">
        <v>0.49306609556233649</v>
      </c>
    </row>
    <row r="1423" spans="1:17" x14ac:dyDescent="0.2">
      <c r="A1423" s="4" t="s">
        <v>100</v>
      </c>
      <c r="B1423" s="4">
        <v>2015</v>
      </c>
      <c r="C1423" s="4" t="s">
        <v>72</v>
      </c>
      <c r="D1423" s="4">
        <v>2</v>
      </c>
      <c r="E1423" s="4">
        <v>17</v>
      </c>
      <c r="F1423" s="4">
        <v>3</v>
      </c>
      <c r="G1423" s="6" t="str">
        <f t="shared" si="53"/>
        <v>173</v>
      </c>
      <c r="H1423" s="5">
        <v>7</v>
      </c>
      <c r="I1423" s="5">
        <v>203.89614877430265</v>
      </c>
      <c r="J1423" s="5">
        <v>12797.04022452999</v>
      </c>
      <c r="K1423" s="5">
        <v>13.049999999999999</v>
      </c>
      <c r="L1423" s="5">
        <v>174.51053375578363</v>
      </c>
      <c r="M1423" s="5">
        <v>10952.724382003717</v>
      </c>
      <c r="N1423" s="5">
        <v>46.360153256704976</v>
      </c>
      <c r="O1423" s="5">
        <v>29.385615018519019</v>
      </c>
      <c r="P1423" s="5">
        <v>1844.3158425262736</v>
      </c>
      <c r="Q1423" s="5">
        <v>16.838877508473104</v>
      </c>
    </row>
    <row r="1424" spans="1:17" x14ac:dyDescent="0.2">
      <c r="A1424" s="4" t="s">
        <v>100</v>
      </c>
      <c r="B1424" s="4">
        <v>2015</v>
      </c>
      <c r="C1424" s="4" t="s">
        <v>72</v>
      </c>
      <c r="D1424" s="4">
        <v>3</v>
      </c>
      <c r="E1424" s="4">
        <v>17</v>
      </c>
      <c r="F1424" s="4">
        <v>3</v>
      </c>
      <c r="G1424" s="6" t="str">
        <f t="shared" si="53"/>
        <v>173</v>
      </c>
      <c r="H1424" s="5">
        <v>3</v>
      </c>
      <c r="I1424" s="5">
        <v>206.74486621698551</v>
      </c>
      <c r="J1424" s="5">
        <v>12975.832967411496</v>
      </c>
      <c r="K1424" s="5">
        <v>13.049999999999999</v>
      </c>
      <c r="L1424" s="5">
        <v>174.51053375578363</v>
      </c>
      <c r="M1424" s="5">
        <v>10952.724382003717</v>
      </c>
      <c r="N1424" s="5">
        <v>77.011494252873561</v>
      </c>
      <c r="O1424" s="5">
        <v>32.234332461201888</v>
      </c>
      <c r="P1424" s="5">
        <v>2023.1085854077792</v>
      </c>
      <c r="Q1424" s="5">
        <v>18.471281800279055</v>
      </c>
    </row>
    <row r="1425" spans="1:17" x14ac:dyDescent="0.2">
      <c r="A1425" s="4" t="s">
        <v>100</v>
      </c>
      <c r="B1425" s="4">
        <v>2015</v>
      </c>
      <c r="C1425" s="4" t="s">
        <v>72</v>
      </c>
      <c r="D1425" s="4">
        <v>4</v>
      </c>
      <c r="E1425" s="4">
        <v>17</v>
      </c>
      <c r="F1425" s="4">
        <v>3</v>
      </c>
      <c r="G1425" s="6" t="str">
        <f t="shared" si="53"/>
        <v>173</v>
      </c>
      <c r="H1425" s="5">
        <v>2.2000000000000002</v>
      </c>
      <c r="I1425" s="5">
        <v>157.27121822721105</v>
      </c>
      <c r="J1425" s="5">
        <v>9870.7411489279984</v>
      </c>
      <c r="K1425" s="5">
        <v>13.049999999999999</v>
      </c>
      <c r="L1425" s="5">
        <v>174.51053375578363</v>
      </c>
      <c r="M1425" s="5">
        <v>10952.724382003717</v>
      </c>
      <c r="N1425" s="5">
        <v>83.141762452107272</v>
      </c>
      <c r="O1425" s="5">
        <v>-17.239315528572575</v>
      </c>
      <c r="P1425" s="5">
        <v>-1081.9832330757181</v>
      </c>
      <c r="Q1425" s="5">
        <v>-9.8786675838708327</v>
      </c>
    </row>
    <row r="1426" spans="1:17" x14ac:dyDescent="0.2">
      <c r="A1426" s="4" t="s">
        <v>73</v>
      </c>
      <c r="B1426" s="4">
        <v>2015</v>
      </c>
      <c r="C1426" s="12" t="s">
        <v>72</v>
      </c>
      <c r="D1426" s="4">
        <v>1</v>
      </c>
      <c r="E1426" s="4">
        <v>18</v>
      </c>
      <c r="F1426" s="4">
        <v>3</v>
      </c>
      <c r="G1426" s="6" t="str">
        <f t="shared" si="53"/>
        <v>183</v>
      </c>
      <c r="H1426" s="5">
        <v>4.2</v>
      </c>
      <c r="I1426" s="5">
        <v>201.07056672828438</v>
      </c>
      <c r="J1426" s="5">
        <v>12619.699517910609</v>
      </c>
      <c r="K1426" s="5">
        <v>6.9</v>
      </c>
      <c r="L1426" s="5">
        <v>196.81</v>
      </c>
      <c r="M1426" s="5">
        <v>12352.295527551272</v>
      </c>
      <c r="N1426" s="5">
        <v>39.130434782608695</v>
      </c>
      <c r="O1426" s="5">
        <v>4.260566728284374</v>
      </c>
      <c r="P1426" s="5">
        <v>267.4039903593366</v>
      </c>
      <c r="Q1426" s="5">
        <v>2.1648121174149644</v>
      </c>
    </row>
    <row r="1427" spans="1:17" x14ac:dyDescent="0.2">
      <c r="A1427" s="4" t="s">
        <v>73</v>
      </c>
      <c r="B1427" s="4">
        <v>2015</v>
      </c>
      <c r="C1427" s="12" t="s">
        <v>72</v>
      </c>
      <c r="D1427" s="4">
        <v>2</v>
      </c>
      <c r="E1427" s="4">
        <v>18</v>
      </c>
      <c r="F1427" s="4">
        <v>3</v>
      </c>
      <c r="G1427" s="6" t="str">
        <f t="shared" si="53"/>
        <v>183</v>
      </c>
      <c r="H1427" s="5">
        <v>1.7</v>
      </c>
      <c r="I1427" s="5">
        <v>208.5908535120854</v>
      </c>
      <c r="J1427" s="5">
        <v>13091.691819142499</v>
      </c>
      <c r="K1427" s="5">
        <v>6.9</v>
      </c>
      <c r="L1427" s="5">
        <v>196.81</v>
      </c>
      <c r="M1427" s="5">
        <v>12352.295527551272</v>
      </c>
      <c r="N1427" s="5">
        <v>75.362318840579718</v>
      </c>
      <c r="O1427" s="5">
        <v>11.7808535120854</v>
      </c>
      <c r="P1427" s="5">
        <v>739.39629159122705</v>
      </c>
      <c r="Q1427" s="5">
        <v>5.985901891207468</v>
      </c>
    </row>
    <row r="1428" spans="1:17" x14ac:dyDescent="0.2">
      <c r="A1428" s="4" t="s">
        <v>73</v>
      </c>
      <c r="B1428" s="4">
        <v>2015</v>
      </c>
      <c r="C1428" s="12" t="s">
        <v>72</v>
      </c>
      <c r="D1428" s="4">
        <v>3</v>
      </c>
      <c r="E1428" s="4">
        <v>18</v>
      </c>
      <c r="F1428" s="4">
        <v>3</v>
      </c>
      <c r="G1428" s="6" t="str">
        <f t="shared" si="53"/>
        <v>183</v>
      </c>
      <c r="H1428" s="5">
        <v>4.2</v>
      </c>
      <c r="I1428" s="5">
        <v>192.96619047619046</v>
      </c>
      <c r="J1428" s="5">
        <v>12111.048277971924</v>
      </c>
      <c r="K1428" s="5">
        <v>6.9</v>
      </c>
      <c r="L1428" s="5">
        <v>196.81</v>
      </c>
      <c r="M1428" s="5">
        <v>12352.295527551272</v>
      </c>
      <c r="N1428" s="5">
        <v>39.130434782608695</v>
      </c>
      <c r="O1428" s="5">
        <v>-3.84380952380954</v>
      </c>
      <c r="P1428" s="5">
        <v>-241.24724957934814</v>
      </c>
      <c r="Q1428" s="5">
        <v>-1.9530560051875083</v>
      </c>
    </row>
    <row r="1429" spans="1:17" x14ac:dyDescent="0.2">
      <c r="A1429" s="4" t="s">
        <v>73</v>
      </c>
      <c r="B1429" s="4">
        <v>2015</v>
      </c>
      <c r="C1429" s="12" t="s">
        <v>72</v>
      </c>
      <c r="D1429" s="4">
        <v>4</v>
      </c>
      <c r="E1429" s="4">
        <v>18</v>
      </c>
      <c r="F1429" s="4">
        <v>3</v>
      </c>
      <c r="G1429" s="6" t="str">
        <f t="shared" si="53"/>
        <v>183</v>
      </c>
      <c r="H1429" s="5">
        <v>3.4</v>
      </c>
      <c r="I1429" s="5">
        <v>213.86568502503408</v>
      </c>
      <c r="J1429" s="5">
        <v>13422.753643775304</v>
      </c>
      <c r="K1429" s="5">
        <v>6.9</v>
      </c>
      <c r="L1429" s="5">
        <v>196.81</v>
      </c>
      <c r="M1429" s="5">
        <v>12352.295527551272</v>
      </c>
      <c r="N1429" s="5">
        <v>50.724637681159422</v>
      </c>
      <c r="O1429" s="5">
        <v>17.05568502503408</v>
      </c>
      <c r="P1429" s="5">
        <v>1070.458116224032</v>
      </c>
      <c r="Q1429" s="5">
        <v>8.6660662695158202</v>
      </c>
    </row>
    <row r="1430" spans="1:17" x14ac:dyDescent="0.2">
      <c r="A1430" s="4" t="s">
        <v>100</v>
      </c>
      <c r="B1430" s="4">
        <v>2015</v>
      </c>
      <c r="C1430" s="4" t="s">
        <v>72</v>
      </c>
      <c r="D1430" s="4">
        <v>1</v>
      </c>
      <c r="E1430" s="4">
        <v>18</v>
      </c>
      <c r="F1430" s="4">
        <v>3</v>
      </c>
      <c r="G1430" s="6" t="str">
        <f t="shared" si="53"/>
        <v>183</v>
      </c>
      <c r="H1430" s="5">
        <v>4.4000000000000004</v>
      </c>
      <c r="I1430" s="5">
        <v>176.10042265426881</v>
      </c>
      <c r="J1430" s="5">
        <v>11052.509847834021</v>
      </c>
      <c r="K1430" s="5">
        <v>13.049999999999999</v>
      </c>
      <c r="L1430" s="5">
        <v>174.51053375578363</v>
      </c>
      <c r="M1430" s="5">
        <v>10952.724382003717</v>
      </c>
      <c r="N1430" s="5">
        <v>66.283524904214559</v>
      </c>
      <c r="O1430" s="5">
        <v>1.5898888984851851</v>
      </c>
      <c r="P1430" s="5">
        <v>99.78546583030402</v>
      </c>
      <c r="Q1430" s="5">
        <v>0.91105612037732153</v>
      </c>
    </row>
    <row r="1431" spans="1:17" x14ac:dyDescent="0.2">
      <c r="A1431" s="4" t="s">
        <v>100</v>
      </c>
      <c r="B1431" s="4">
        <v>2015</v>
      </c>
      <c r="C1431" s="4" t="s">
        <v>72</v>
      </c>
      <c r="D1431" s="4">
        <v>2</v>
      </c>
      <c r="E1431" s="4">
        <v>18</v>
      </c>
      <c r="F1431" s="4">
        <v>3</v>
      </c>
      <c r="G1431" s="6" t="str">
        <f t="shared" si="53"/>
        <v>183</v>
      </c>
      <c r="H1431" s="5">
        <v>3.4</v>
      </c>
      <c r="I1431" s="5">
        <v>172.51674725274725</v>
      </c>
      <c r="J1431" s="5">
        <v>10827.589276549988</v>
      </c>
      <c r="K1431" s="5">
        <v>13.049999999999999</v>
      </c>
      <c r="L1431" s="5">
        <v>174.51053375578363</v>
      </c>
      <c r="M1431" s="5">
        <v>10952.724382003717</v>
      </c>
      <c r="N1431" s="5">
        <v>73.946360153256691</v>
      </c>
      <c r="O1431" s="5">
        <v>-1.9937865030363753</v>
      </c>
      <c r="P1431" s="5">
        <v>-125.1351054537281</v>
      </c>
      <c r="Q1431" s="5">
        <v>-1.1425020943586968</v>
      </c>
    </row>
    <row r="1432" spans="1:17" x14ac:dyDescent="0.2">
      <c r="A1432" s="4" t="s">
        <v>100</v>
      </c>
      <c r="B1432" s="4">
        <v>2015</v>
      </c>
      <c r="C1432" s="4" t="s">
        <v>72</v>
      </c>
      <c r="D1432" s="4">
        <v>3</v>
      </c>
      <c r="E1432" s="4">
        <v>18</v>
      </c>
      <c r="F1432" s="4">
        <v>3</v>
      </c>
      <c r="G1432" s="6" t="str">
        <f t="shared" si="53"/>
        <v>183</v>
      </c>
      <c r="H1432" s="5">
        <v>4.5999999999999996</v>
      </c>
      <c r="I1432" s="5">
        <v>200.24474168365569</v>
      </c>
      <c r="J1432" s="5">
        <v>12567.868640387582</v>
      </c>
      <c r="K1432" s="5">
        <v>13.049999999999999</v>
      </c>
      <c r="L1432" s="5">
        <v>174.51053375578363</v>
      </c>
      <c r="M1432" s="5">
        <v>10952.724382003717</v>
      </c>
      <c r="N1432" s="5">
        <v>64.750957854406138</v>
      </c>
      <c r="O1432" s="5">
        <v>25.734207927872063</v>
      </c>
      <c r="P1432" s="5">
        <v>1615.1442583838652</v>
      </c>
      <c r="Q1432" s="5">
        <v>14.746506915098569</v>
      </c>
    </row>
    <row r="1433" spans="1:17" x14ac:dyDescent="0.2">
      <c r="A1433" s="4" t="s">
        <v>100</v>
      </c>
      <c r="B1433" s="4">
        <v>2015</v>
      </c>
      <c r="C1433" s="4" t="s">
        <v>72</v>
      </c>
      <c r="D1433" s="4">
        <v>4</v>
      </c>
      <c r="E1433" s="4">
        <v>18</v>
      </c>
      <c r="F1433" s="4">
        <v>3</v>
      </c>
      <c r="G1433" s="6" t="str">
        <f t="shared" si="53"/>
        <v>183</v>
      </c>
      <c r="H1433" s="5">
        <v>4.4000000000000004</v>
      </c>
      <c r="I1433" s="5">
        <v>167.01564302228593</v>
      </c>
      <c r="J1433" s="5">
        <v>10482.326001398722</v>
      </c>
      <c r="K1433" s="5">
        <v>13.049999999999999</v>
      </c>
      <c r="L1433" s="5">
        <v>174.51053375578363</v>
      </c>
      <c r="M1433" s="5">
        <v>10952.724382003717</v>
      </c>
      <c r="N1433" s="5">
        <v>66.283524904214559</v>
      </c>
      <c r="O1433" s="5">
        <v>-7.494890733497698</v>
      </c>
      <c r="P1433" s="5">
        <v>-470.3983806049946</v>
      </c>
      <c r="Q1433" s="5">
        <v>-4.2948070653352719</v>
      </c>
    </row>
    <row r="1434" spans="1:17" x14ac:dyDescent="0.2">
      <c r="A1434" s="4" t="s">
        <v>73</v>
      </c>
      <c r="B1434" s="4">
        <v>2015</v>
      </c>
      <c r="C1434" s="12" t="s">
        <v>72</v>
      </c>
      <c r="D1434" s="4">
        <v>1</v>
      </c>
      <c r="E1434" s="4">
        <v>19</v>
      </c>
      <c r="F1434" s="4">
        <v>3</v>
      </c>
      <c r="G1434" s="6" t="str">
        <f t="shared" si="53"/>
        <v>193</v>
      </c>
      <c r="H1434" s="5">
        <v>0.5</v>
      </c>
      <c r="I1434" s="5">
        <v>201.58246308452772</v>
      </c>
      <c r="J1434" s="5">
        <v>12651.827433523607</v>
      </c>
      <c r="K1434" s="5">
        <v>6.9</v>
      </c>
      <c r="L1434" s="5">
        <v>196.81</v>
      </c>
      <c r="M1434" s="5">
        <v>12352.295527551272</v>
      </c>
      <c r="N1434" s="5">
        <v>92.753623188405797</v>
      </c>
      <c r="O1434" s="5">
        <v>4.7724630845277147</v>
      </c>
      <c r="P1434" s="5">
        <v>299.53190597233515</v>
      </c>
      <c r="Q1434" s="5">
        <v>2.4249088382336863</v>
      </c>
    </row>
    <row r="1435" spans="1:17" x14ac:dyDescent="0.2">
      <c r="A1435" s="4" t="s">
        <v>73</v>
      </c>
      <c r="B1435" s="4">
        <v>2015</v>
      </c>
      <c r="C1435" s="12" t="s">
        <v>72</v>
      </c>
      <c r="D1435" s="4">
        <v>2</v>
      </c>
      <c r="E1435" s="4">
        <v>19</v>
      </c>
      <c r="F1435" s="4">
        <v>3</v>
      </c>
      <c r="G1435" s="6" t="str">
        <f t="shared" si="53"/>
        <v>193</v>
      </c>
      <c r="H1435" s="5">
        <v>0.9</v>
      </c>
      <c r="I1435" s="5">
        <v>206.46493697342393</v>
      </c>
      <c r="J1435" s="5">
        <v>12958.263897022407</v>
      </c>
      <c r="K1435" s="5">
        <v>6.9</v>
      </c>
      <c r="L1435" s="5">
        <v>196.81</v>
      </c>
      <c r="M1435" s="5">
        <v>12352.295527551272</v>
      </c>
      <c r="N1435" s="5">
        <v>86.956521739130437</v>
      </c>
      <c r="O1435" s="5">
        <v>9.6549369734239292</v>
      </c>
      <c r="P1435" s="5">
        <v>605.96836947113479</v>
      </c>
      <c r="Q1435" s="5">
        <v>4.9057146351424965</v>
      </c>
    </row>
    <row r="1436" spans="1:17" x14ac:dyDescent="0.2">
      <c r="A1436" s="4" t="s">
        <v>73</v>
      </c>
      <c r="B1436" s="4">
        <v>2015</v>
      </c>
      <c r="C1436" s="12" t="s">
        <v>72</v>
      </c>
      <c r="D1436" s="4">
        <v>3</v>
      </c>
      <c r="E1436" s="4">
        <v>19</v>
      </c>
      <c r="F1436" s="4">
        <v>3</v>
      </c>
      <c r="G1436" s="6" t="str">
        <f t="shared" si="53"/>
        <v>193</v>
      </c>
      <c r="H1436" s="5">
        <v>1</v>
      </c>
      <c r="I1436" s="5">
        <v>207.66304329788858</v>
      </c>
      <c r="J1436" s="5">
        <v>13033.460093319422</v>
      </c>
      <c r="K1436" s="5">
        <v>6.9</v>
      </c>
      <c r="L1436" s="5">
        <v>196.81</v>
      </c>
      <c r="M1436" s="5">
        <v>12352.295527551272</v>
      </c>
      <c r="N1436" s="5">
        <v>85.507246376811594</v>
      </c>
      <c r="O1436" s="5">
        <v>10.853043297888576</v>
      </c>
      <c r="P1436" s="5">
        <v>681.16456576814926</v>
      </c>
      <c r="Q1436" s="5">
        <v>5.5144775661239684</v>
      </c>
    </row>
    <row r="1437" spans="1:17" x14ac:dyDescent="0.2">
      <c r="A1437" s="4" t="s">
        <v>73</v>
      </c>
      <c r="B1437" s="4">
        <v>2015</v>
      </c>
      <c r="C1437" s="12" t="s">
        <v>72</v>
      </c>
      <c r="D1437" s="4">
        <v>4</v>
      </c>
      <c r="E1437" s="4">
        <v>19</v>
      </c>
      <c r="F1437" s="4">
        <v>3</v>
      </c>
      <c r="G1437" s="6" t="str">
        <f t="shared" si="53"/>
        <v>193</v>
      </c>
      <c r="H1437" s="5">
        <v>2.5</v>
      </c>
      <c r="I1437" s="5">
        <v>199.7981632653061</v>
      </c>
      <c r="J1437" s="5">
        <v>12539.840244474364</v>
      </c>
      <c r="K1437" s="5">
        <v>6.9</v>
      </c>
      <c r="L1437" s="5">
        <v>196.81</v>
      </c>
      <c r="M1437" s="5">
        <v>12352.295527551272</v>
      </c>
      <c r="N1437" s="5">
        <v>63.768115942028992</v>
      </c>
      <c r="O1437" s="5">
        <v>2.988163265306099</v>
      </c>
      <c r="P1437" s="5">
        <v>187.54471692309198</v>
      </c>
      <c r="Q1437" s="5">
        <v>1.5182984936263986</v>
      </c>
    </row>
    <row r="1438" spans="1:17" x14ac:dyDescent="0.2">
      <c r="A1438" s="4" t="s">
        <v>100</v>
      </c>
      <c r="B1438" s="4">
        <v>2015</v>
      </c>
      <c r="C1438" s="4" t="s">
        <v>72</v>
      </c>
      <c r="D1438" s="4">
        <v>1</v>
      </c>
      <c r="E1438" s="4">
        <v>19</v>
      </c>
      <c r="F1438" s="4">
        <v>3</v>
      </c>
      <c r="G1438" s="6" t="str">
        <f t="shared" si="53"/>
        <v>193</v>
      </c>
      <c r="H1438" s="5">
        <v>2.2000000000000002</v>
      </c>
      <c r="I1438" s="5">
        <v>161.27996055226825</v>
      </c>
      <c r="J1438" s="5">
        <v>10122.340000068232</v>
      </c>
      <c r="K1438" s="5">
        <v>13.049999999999999</v>
      </c>
      <c r="L1438" s="5">
        <v>174.51053375578363</v>
      </c>
      <c r="M1438" s="5">
        <v>10952.724382003717</v>
      </c>
      <c r="N1438" s="5">
        <v>83.141762452107272</v>
      </c>
      <c r="O1438" s="5">
        <v>-13.230573203515377</v>
      </c>
      <c r="P1438" s="5">
        <v>-830.38438193548427</v>
      </c>
      <c r="Q1438" s="5">
        <v>-7.5815327125356911</v>
      </c>
    </row>
    <row r="1439" spans="1:17" x14ac:dyDescent="0.2">
      <c r="A1439" s="4" t="s">
        <v>100</v>
      </c>
      <c r="B1439" s="4">
        <v>2015</v>
      </c>
      <c r="C1439" s="4" t="s">
        <v>72</v>
      </c>
      <c r="D1439" s="4">
        <v>2</v>
      </c>
      <c r="E1439" s="4">
        <v>19</v>
      </c>
      <c r="F1439" s="4">
        <v>3</v>
      </c>
      <c r="G1439" s="6" t="str">
        <f t="shared" si="53"/>
        <v>193</v>
      </c>
      <c r="H1439" s="5">
        <v>3.4</v>
      </c>
      <c r="I1439" s="5">
        <v>193.01497972692235</v>
      </c>
      <c r="J1439" s="5">
        <v>12114.110415280029</v>
      </c>
      <c r="K1439" s="5">
        <v>13.049999999999999</v>
      </c>
      <c r="L1439" s="5">
        <v>174.51053375578363</v>
      </c>
      <c r="M1439" s="5">
        <v>10952.724382003717</v>
      </c>
      <c r="N1439" s="5">
        <v>73.946360153256691</v>
      </c>
      <c r="O1439" s="5">
        <v>18.504445971138722</v>
      </c>
      <c r="P1439" s="5">
        <v>1161.3860332763124</v>
      </c>
      <c r="Q1439" s="5">
        <v>10.603626940385455</v>
      </c>
    </row>
    <row r="1440" spans="1:17" x14ac:dyDescent="0.2">
      <c r="A1440" s="4" t="s">
        <v>100</v>
      </c>
      <c r="B1440" s="4">
        <v>2015</v>
      </c>
      <c r="C1440" s="4" t="s">
        <v>72</v>
      </c>
      <c r="D1440" s="4">
        <v>3</v>
      </c>
      <c r="E1440" s="4">
        <v>19</v>
      </c>
      <c r="F1440" s="4">
        <v>3</v>
      </c>
      <c r="G1440" s="6" t="str">
        <f t="shared" si="53"/>
        <v>193</v>
      </c>
      <c r="H1440" s="5">
        <v>3.8</v>
      </c>
      <c r="I1440" s="5">
        <v>185.74380919684145</v>
      </c>
      <c r="J1440" s="5">
        <v>11657.753282925063</v>
      </c>
      <c r="K1440" s="5">
        <v>13.049999999999999</v>
      </c>
      <c r="L1440" s="5">
        <v>174.51053375578363</v>
      </c>
      <c r="M1440" s="5">
        <v>10952.724382003717</v>
      </c>
      <c r="N1440" s="5">
        <v>70.88122605363985</v>
      </c>
      <c r="O1440" s="5">
        <v>11.233275441057827</v>
      </c>
      <c r="P1440" s="5">
        <v>705.02890092134658</v>
      </c>
      <c r="Q1440" s="5">
        <v>6.4370185565864393</v>
      </c>
    </row>
    <row r="1441" spans="1:17" s="7" customFormat="1" x14ac:dyDescent="0.2">
      <c r="A1441" s="7" t="s">
        <v>100</v>
      </c>
      <c r="B1441" s="7">
        <v>2015</v>
      </c>
      <c r="C1441" s="7" t="s">
        <v>72</v>
      </c>
      <c r="D1441" s="7">
        <v>4</v>
      </c>
      <c r="E1441" s="7">
        <v>19</v>
      </c>
      <c r="F1441" s="7">
        <v>3</v>
      </c>
      <c r="G1441" s="6" t="str">
        <f t="shared" si="53"/>
        <v>193</v>
      </c>
      <c r="H1441" s="9">
        <v>1.8</v>
      </c>
      <c r="I1441" s="9">
        <v>123.22706252556377</v>
      </c>
      <c r="J1441" s="9">
        <v>7734.0434597215708</v>
      </c>
      <c r="K1441" s="9">
        <v>13.049999999999999</v>
      </c>
      <c r="L1441" s="9">
        <v>174.51053375578363</v>
      </c>
      <c r="M1441" s="9">
        <v>10952.724382003717</v>
      </c>
      <c r="N1441" s="9">
        <v>86.206896551724128</v>
      </c>
      <c r="O1441" s="9">
        <v>-51.28347123021986</v>
      </c>
      <c r="P1441" s="9">
        <v>-3218.6809222821457</v>
      </c>
      <c r="Q1441" s="9">
        <v>-29.387034768908453</v>
      </c>
    </row>
    <row r="1442" spans="1:17" x14ac:dyDescent="0.2">
      <c r="A1442" s="4" t="s">
        <v>53</v>
      </c>
      <c r="B1442" s="4">
        <v>2015</v>
      </c>
      <c r="C1442" s="4" t="s">
        <v>52</v>
      </c>
      <c r="D1442" s="4">
        <v>1</v>
      </c>
      <c r="E1442" s="4">
        <v>1</v>
      </c>
      <c r="F1442" s="4">
        <v>0</v>
      </c>
      <c r="G1442" s="6" t="str">
        <f t="shared" si="53"/>
        <v>10</v>
      </c>
      <c r="H1442" s="5">
        <v>1.8</v>
      </c>
      <c r="I1442" s="5">
        <v>182.2</v>
      </c>
      <c r="J1442" s="5">
        <v>11435.334815913022</v>
      </c>
      <c r="K1442" s="5">
        <v>1.8</v>
      </c>
      <c r="L1442" s="5">
        <v>182.2</v>
      </c>
      <c r="M1442" s="5">
        <v>11435.334815913022</v>
      </c>
      <c r="N1442" s="5">
        <v>0</v>
      </c>
      <c r="O1442" s="5">
        <v>0</v>
      </c>
      <c r="P1442" s="5">
        <v>0</v>
      </c>
      <c r="Q1442" s="5">
        <v>0</v>
      </c>
    </row>
    <row r="1443" spans="1:17" x14ac:dyDescent="0.2">
      <c r="A1443" s="4" t="s">
        <v>53</v>
      </c>
      <c r="B1443" s="4">
        <v>2015</v>
      </c>
      <c r="C1443" s="4" t="s">
        <v>52</v>
      </c>
      <c r="D1443" s="4">
        <v>2</v>
      </c>
      <c r="E1443" s="4">
        <v>1</v>
      </c>
      <c r="F1443" s="4">
        <v>0</v>
      </c>
      <c r="G1443" s="6" t="str">
        <f t="shared" si="53"/>
        <v>10</v>
      </c>
      <c r="H1443" s="5">
        <v>2</v>
      </c>
      <c r="I1443" s="5">
        <v>155.6</v>
      </c>
      <c r="J1443" s="5">
        <v>9765.8512478379034</v>
      </c>
      <c r="K1443" s="5">
        <v>2</v>
      </c>
      <c r="L1443" s="5">
        <v>155.6</v>
      </c>
      <c r="M1443" s="5">
        <v>9765.8512478379034</v>
      </c>
      <c r="N1443" s="5">
        <v>0</v>
      </c>
      <c r="O1443" s="5">
        <v>0</v>
      </c>
      <c r="P1443" s="5">
        <v>0</v>
      </c>
      <c r="Q1443" s="5">
        <v>0</v>
      </c>
    </row>
    <row r="1444" spans="1:17" x14ac:dyDescent="0.2">
      <c r="A1444" s="4" t="s">
        <v>53</v>
      </c>
      <c r="B1444" s="4">
        <v>2015</v>
      </c>
      <c r="C1444" s="4" t="s">
        <v>52</v>
      </c>
      <c r="D1444" s="4">
        <v>3</v>
      </c>
      <c r="E1444" s="4">
        <v>1</v>
      </c>
      <c r="F1444" s="4">
        <v>0</v>
      </c>
      <c r="G1444" s="6" t="str">
        <f t="shared" si="53"/>
        <v>10</v>
      </c>
      <c r="H1444" s="5">
        <v>0.8</v>
      </c>
      <c r="I1444" s="5">
        <v>165.3</v>
      </c>
      <c r="J1444" s="5">
        <v>10374.647887323945</v>
      </c>
      <c r="K1444" s="5">
        <v>0.8</v>
      </c>
      <c r="L1444" s="5">
        <v>165.3</v>
      </c>
      <c r="M1444" s="5">
        <v>10374.647887323945</v>
      </c>
      <c r="N1444" s="5">
        <v>0</v>
      </c>
      <c r="O1444" s="5">
        <v>0</v>
      </c>
      <c r="P1444" s="5">
        <v>0</v>
      </c>
      <c r="Q1444" s="5">
        <v>0</v>
      </c>
    </row>
    <row r="1445" spans="1:17" x14ac:dyDescent="0.2">
      <c r="A1445" s="4" t="s">
        <v>53</v>
      </c>
      <c r="B1445" s="4">
        <v>2015</v>
      </c>
      <c r="C1445" s="4" t="s">
        <v>52</v>
      </c>
      <c r="D1445" s="4">
        <v>4</v>
      </c>
      <c r="E1445" s="4">
        <v>1</v>
      </c>
      <c r="F1445" s="4">
        <v>0</v>
      </c>
      <c r="G1445" s="6" t="str">
        <f t="shared" si="53"/>
        <v>10</v>
      </c>
      <c r="H1445" s="5">
        <v>4.2</v>
      </c>
      <c r="I1445" s="5">
        <v>185</v>
      </c>
      <c r="J1445" s="5">
        <v>11611.069928341982</v>
      </c>
      <c r="K1445" s="5">
        <v>4.2</v>
      </c>
      <c r="L1445" s="5">
        <v>185</v>
      </c>
      <c r="M1445" s="5">
        <v>11611.069928341982</v>
      </c>
      <c r="N1445" s="5">
        <v>0</v>
      </c>
      <c r="O1445" s="5">
        <v>0</v>
      </c>
      <c r="P1445" s="5">
        <v>0</v>
      </c>
      <c r="Q1445" s="5">
        <v>0</v>
      </c>
    </row>
    <row r="1446" spans="1:17" x14ac:dyDescent="0.2">
      <c r="A1446" s="4" t="s">
        <v>99</v>
      </c>
      <c r="B1446" s="4">
        <v>2015</v>
      </c>
      <c r="C1446" s="4" t="s">
        <v>52</v>
      </c>
      <c r="D1446" s="4">
        <v>1</v>
      </c>
      <c r="E1446" s="4">
        <v>1</v>
      </c>
      <c r="F1446" s="4">
        <v>0</v>
      </c>
      <c r="G1446" s="6" t="str">
        <f t="shared" si="53"/>
        <v>10</v>
      </c>
      <c r="H1446" s="5">
        <v>60</v>
      </c>
      <c r="I1446" s="5">
        <v>167.29</v>
      </c>
      <c r="J1446" s="5">
        <v>10499.54534222881</v>
      </c>
      <c r="K1446" s="5">
        <v>60</v>
      </c>
      <c r="L1446" s="5">
        <v>167.29</v>
      </c>
      <c r="M1446" s="5">
        <v>10499.54534222881</v>
      </c>
      <c r="N1446" s="5">
        <v>0</v>
      </c>
      <c r="O1446" s="5">
        <v>0</v>
      </c>
      <c r="P1446" s="5">
        <v>0</v>
      </c>
      <c r="Q1446" s="5">
        <v>0</v>
      </c>
    </row>
    <row r="1447" spans="1:17" x14ac:dyDescent="0.2">
      <c r="A1447" s="4" t="s">
        <v>99</v>
      </c>
      <c r="B1447" s="4">
        <v>2015</v>
      </c>
      <c r="C1447" s="4" t="s">
        <v>52</v>
      </c>
      <c r="D1447" s="4">
        <v>2</v>
      </c>
      <c r="E1447" s="4">
        <v>1</v>
      </c>
      <c r="F1447" s="4">
        <v>0</v>
      </c>
      <c r="G1447" s="6" t="str">
        <f t="shared" si="53"/>
        <v>10</v>
      </c>
      <c r="H1447" s="5">
        <v>65</v>
      </c>
      <c r="I1447" s="5">
        <v>165.09</v>
      </c>
      <c r="J1447" s="5">
        <v>10361.467753891771</v>
      </c>
      <c r="K1447" s="5">
        <v>65</v>
      </c>
      <c r="L1447" s="5">
        <v>165.09</v>
      </c>
      <c r="M1447" s="5">
        <v>10361.467753891771</v>
      </c>
      <c r="N1447" s="5">
        <v>0</v>
      </c>
      <c r="O1447" s="5">
        <v>0</v>
      </c>
      <c r="P1447" s="5">
        <v>0</v>
      </c>
      <c r="Q1447" s="5">
        <v>0</v>
      </c>
    </row>
    <row r="1448" spans="1:17" x14ac:dyDescent="0.2">
      <c r="A1448" s="4" t="s">
        <v>99</v>
      </c>
      <c r="B1448" s="4">
        <v>2015</v>
      </c>
      <c r="C1448" s="4" t="s">
        <v>52</v>
      </c>
      <c r="D1448" s="4">
        <v>3</v>
      </c>
      <c r="E1448" s="4">
        <v>1</v>
      </c>
      <c r="F1448" s="4">
        <v>0</v>
      </c>
      <c r="G1448" s="6" t="str">
        <f t="shared" si="53"/>
        <v>10</v>
      </c>
      <c r="H1448" s="5">
        <v>50</v>
      </c>
      <c r="I1448" s="5">
        <v>171.65</v>
      </c>
      <c r="J1448" s="5">
        <v>10773.190017296763</v>
      </c>
      <c r="K1448" s="5">
        <v>50</v>
      </c>
      <c r="L1448" s="5">
        <v>171.65</v>
      </c>
      <c r="M1448" s="5">
        <v>10773.190017296763</v>
      </c>
      <c r="N1448" s="5">
        <v>0</v>
      </c>
      <c r="O1448" s="5">
        <v>0</v>
      </c>
      <c r="P1448" s="5">
        <v>0</v>
      </c>
      <c r="Q1448" s="5">
        <v>0</v>
      </c>
    </row>
    <row r="1449" spans="1:17" x14ac:dyDescent="0.2">
      <c r="A1449" s="4" t="s">
        <v>99</v>
      </c>
      <c r="B1449" s="4">
        <v>2015</v>
      </c>
      <c r="C1449" s="4" t="s">
        <v>52</v>
      </c>
      <c r="D1449" s="4">
        <v>4</v>
      </c>
      <c r="E1449" s="4">
        <v>1</v>
      </c>
      <c r="F1449" s="4">
        <v>0</v>
      </c>
      <c r="G1449" s="6" t="str">
        <f t="shared" si="53"/>
        <v>10</v>
      </c>
      <c r="H1449" s="5">
        <v>60</v>
      </c>
      <c r="I1449" s="5">
        <v>162.11000000000001</v>
      </c>
      <c r="J1449" s="5">
        <v>10174.435384235238</v>
      </c>
      <c r="K1449" s="5">
        <v>60</v>
      </c>
      <c r="L1449" s="5">
        <v>162.11000000000001</v>
      </c>
      <c r="M1449" s="5">
        <v>10174.435384235238</v>
      </c>
      <c r="N1449" s="5">
        <v>0</v>
      </c>
      <c r="O1449" s="5">
        <v>0</v>
      </c>
      <c r="P1449" s="5">
        <v>0</v>
      </c>
      <c r="Q1449" s="5">
        <v>0</v>
      </c>
    </row>
    <row r="1450" spans="1:17" x14ac:dyDescent="0.2">
      <c r="A1450" s="4" t="s">
        <v>99</v>
      </c>
      <c r="B1450" s="4">
        <v>2015</v>
      </c>
      <c r="C1450" s="4" t="s">
        <v>52</v>
      </c>
      <c r="D1450" s="4">
        <v>1</v>
      </c>
      <c r="E1450" s="4">
        <v>2</v>
      </c>
      <c r="F1450" s="4">
        <v>1</v>
      </c>
      <c r="G1450" s="6" t="str">
        <f t="shared" si="53"/>
        <v>21</v>
      </c>
      <c r="H1450" s="5">
        <v>55</v>
      </c>
      <c r="I1450" s="5">
        <v>167.52</v>
      </c>
      <c r="J1450" s="5">
        <v>10513.980726464048</v>
      </c>
      <c r="K1450" s="5">
        <v>60</v>
      </c>
      <c r="L1450" s="5">
        <v>167.29</v>
      </c>
      <c r="M1450" s="5">
        <v>10499.54534222881</v>
      </c>
      <c r="N1450" s="5">
        <v>8.3333333333333321</v>
      </c>
      <c r="O1450" s="5">
        <v>0.23000000000001819</v>
      </c>
      <c r="P1450" s="5">
        <v>14.435384235237507</v>
      </c>
      <c r="Q1450" s="5">
        <v>0.13748580309643396</v>
      </c>
    </row>
    <row r="1451" spans="1:17" x14ac:dyDescent="0.2">
      <c r="A1451" s="4" t="s">
        <v>99</v>
      </c>
      <c r="B1451" s="4">
        <v>2015</v>
      </c>
      <c r="C1451" s="4" t="s">
        <v>52</v>
      </c>
      <c r="D1451" s="4">
        <v>2</v>
      </c>
      <c r="E1451" s="4">
        <v>2</v>
      </c>
      <c r="F1451" s="4">
        <v>1</v>
      </c>
      <c r="G1451" s="6" t="str">
        <f t="shared" si="53"/>
        <v>21</v>
      </c>
      <c r="H1451" s="5">
        <v>55</v>
      </c>
      <c r="I1451" s="5">
        <v>166.94</v>
      </c>
      <c r="J1451" s="5">
        <v>10477.578453175191</v>
      </c>
      <c r="K1451" s="5">
        <v>65</v>
      </c>
      <c r="L1451" s="5">
        <v>165.09</v>
      </c>
      <c r="M1451" s="5">
        <v>10361.467753891771</v>
      </c>
      <c r="N1451" s="5">
        <v>15.384615384615385</v>
      </c>
      <c r="O1451" s="5">
        <v>1.8499999999999943</v>
      </c>
      <c r="P1451" s="5">
        <v>116.11069928341931</v>
      </c>
      <c r="Q1451" s="5">
        <v>1.1206008843660984</v>
      </c>
    </row>
    <row r="1452" spans="1:17" x14ac:dyDescent="0.2">
      <c r="A1452" s="4" t="s">
        <v>99</v>
      </c>
      <c r="B1452" s="4">
        <v>2015</v>
      </c>
      <c r="C1452" s="4" t="s">
        <v>52</v>
      </c>
      <c r="D1452" s="4">
        <v>3</v>
      </c>
      <c r="E1452" s="4">
        <v>2</v>
      </c>
      <c r="F1452" s="4">
        <v>1</v>
      </c>
      <c r="G1452" s="6" t="str">
        <f t="shared" si="53"/>
        <v>21</v>
      </c>
      <c r="H1452" s="5">
        <v>50</v>
      </c>
      <c r="I1452" s="5">
        <v>169.22</v>
      </c>
      <c r="J1452" s="5">
        <v>10620.677044724487</v>
      </c>
      <c r="K1452" s="5">
        <v>50</v>
      </c>
      <c r="L1452" s="5">
        <v>171.65</v>
      </c>
      <c r="M1452" s="5">
        <v>10773.190017296763</v>
      </c>
      <c r="N1452" s="5">
        <v>0</v>
      </c>
      <c r="O1452" s="5">
        <v>-2.4300000000000068</v>
      </c>
      <c r="P1452" s="5">
        <v>-152.51297257227634</v>
      </c>
      <c r="Q1452" s="5">
        <v>-1.4156714244101423</v>
      </c>
    </row>
    <row r="1453" spans="1:17" x14ac:dyDescent="0.2">
      <c r="A1453" s="4" t="s">
        <v>99</v>
      </c>
      <c r="B1453" s="4">
        <v>2015</v>
      </c>
      <c r="C1453" s="4" t="s">
        <v>52</v>
      </c>
      <c r="D1453" s="4">
        <v>4</v>
      </c>
      <c r="E1453" s="4">
        <v>2</v>
      </c>
      <c r="F1453" s="4">
        <v>1</v>
      </c>
      <c r="G1453" s="6" t="str">
        <f t="shared" si="53"/>
        <v>21</v>
      </c>
      <c r="H1453" s="5">
        <v>50</v>
      </c>
      <c r="I1453" s="5">
        <v>170.63</v>
      </c>
      <c r="J1453" s="5">
        <v>10709.172226340499</v>
      </c>
      <c r="K1453" s="5">
        <v>60</v>
      </c>
      <c r="L1453" s="5">
        <v>162.11000000000001</v>
      </c>
      <c r="M1453" s="5">
        <v>10174.435384235238</v>
      </c>
      <c r="N1453" s="5">
        <v>16.666666666666664</v>
      </c>
      <c r="O1453" s="5">
        <v>8.5199999999999818</v>
      </c>
      <c r="P1453" s="5">
        <v>534.73684210526153</v>
      </c>
      <c r="Q1453" s="5">
        <v>5.2556905804700342</v>
      </c>
    </row>
    <row r="1454" spans="1:17" x14ac:dyDescent="0.2">
      <c r="A1454" s="4" t="s">
        <v>99</v>
      </c>
      <c r="B1454" s="4">
        <v>2015</v>
      </c>
      <c r="C1454" s="4" t="s">
        <v>52</v>
      </c>
      <c r="D1454" s="4">
        <v>1</v>
      </c>
      <c r="E1454" s="4">
        <v>3</v>
      </c>
      <c r="F1454" s="4">
        <v>1</v>
      </c>
      <c r="G1454" s="6" t="str">
        <f t="shared" si="53"/>
        <v>31</v>
      </c>
      <c r="H1454" s="5">
        <v>60</v>
      </c>
      <c r="I1454" s="5">
        <v>163.28</v>
      </c>
      <c r="J1454" s="5">
        <v>10247.86755621448</v>
      </c>
      <c r="K1454" s="5">
        <v>60</v>
      </c>
      <c r="L1454" s="5">
        <v>167.29</v>
      </c>
      <c r="M1454" s="5">
        <v>10499.54534222881</v>
      </c>
      <c r="N1454" s="5">
        <v>0</v>
      </c>
      <c r="O1454" s="5">
        <v>-4.0099999999999909</v>
      </c>
      <c r="P1454" s="5">
        <v>-251.6777860143302</v>
      </c>
      <c r="Q1454" s="5">
        <v>-2.3970350887679945</v>
      </c>
    </row>
    <row r="1455" spans="1:17" x14ac:dyDescent="0.2">
      <c r="A1455" s="4" t="s">
        <v>99</v>
      </c>
      <c r="B1455" s="4">
        <v>2015</v>
      </c>
      <c r="C1455" s="4" t="s">
        <v>52</v>
      </c>
      <c r="D1455" s="4">
        <v>2</v>
      </c>
      <c r="E1455" s="4">
        <v>3</v>
      </c>
      <c r="F1455" s="4">
        <v>1</v>
      </c>
      <c r="G1455" s="6" t="str">
        <f t="shared" si="53"/>
        <v>31</v>
      </c>
      <c r="H1455" s="5">
        <v>60</v>
      </c>
      <c r="I1455" s="5">
        <v>165.94</v>
      </c>
      <c r="J1455" s="5">
        <v>10414.815913021992</v>
      </c>
      <c r="K1455" s="5">
        <v>65</v>
      </c>
      <c r="L1455" s="5">
        <v>165.09</v>
      </c>
      <c r="M1455" s="5">
        <v>10361.467753891771</v>
      </c>
      <c r="N1455" s="5">
        <v>7.6923076923076925</v>
      </c>
      <c r="O1455" s="5">
        <v>0.84999999999999432</v>
      </c>
      <c r="P1455" s="5">
        <v>53.348159130220665</v>
      </c>
      <c r="Q1455" s="5">
        <v>0.51487067660064934</v>
      </c>
    </row>
    <row r="1456" spans="1:17" x14ac:dyDescent="0.2">
      <c r="A1456" s="4" t="s">
        <v>99</v>
      </c>
      <c r="B1456" s="4">
        <v>2015</v>
      </c>
      <c r="C1456" s="4" t="s">
        <v>52</v>
      </c>
      <c r="D1456" s="4">
        <v>3</v>
      </c>
      <c r="E1456" s="4">
        <v>3</v>
      </c>
      <c r="F1456" s="4">
        <v>1</v>
      </c>
      <c r="G1456" s="6" t="str">
        <f t="shared" si="53"/>
        <v>31</v>
      </c>
      <c r="H1456" s="5">
        <v>60</v>
      </c>
      <c r="I1456" s="5">
        <v>174.26</v>
      </c>
      <c r="J1456" s="5">
        <v>10937.000247096614</v>
      </c>
      <c r="K1456" s="5">
        <v>50</v>
      </c>
      <c r="L1456" s="5">
        <v>171.65</v>
      </c>
      <c r="M1456" s="5">
        <v>10773.190017296763</v>
      </c>
      <c r="N1456" s="5">
        <v>-20</v>
      </c>
      <c r="O1456" s="5">
        <v>2.6099999999999852</v>
      </c>
      <c r="P1456" s="5">
        <v>163.81022979985028</v>
      </c>
      <c r="Q1456" s="5">
        <v>1.5205359743664297</v>
      </c>
    </row>
    <row r="1457" spans="1:17" x14ac:dyDescent="0.2">
      <c r="A1457" s="4" t="s">
        <v>99</v>
      </c>
      <c r="B1457" s="4">
        <v>2015</v>
      </c>
      <c r="C1457" s="4" t="s">
        <v>52</v>
      </c>
      <c r="D1457" s="4">
        <v>4</v>
      </c>
      <c r="E1457" s="4">
        <v>3</v>
      </c>
      <c r="F1457" s="4">
        <v>1</v>
      </c>
      <c r="G1457" s="6" t="str">
        <f t="shared" si="53"/>
        <v>31</v>
      </c>
      <c r="H1457" s="5">
        <v>60</v>
      </c>
      <c r="I1457" s="5">
        <v>175.22</v>
      </c>
      <c r="J1457" s="5">
        <v>10997.252285643686</v>
      </c>
      <c r="K1457" s="5">
        <v>60</v>
      </c>
      <c r="L1457" s="5">
        <v>162.11000000000001</v>
      </c>
      <c r="M1457" s="5">
        <v>10174.435384235238</v>
      </c>
      <c r="N1457" s="5">
        <v>0</v>
      </c>
      <c r="O1457" s="5">
        <v>13.109999999999985</v>
      </c>
      <c r="P1457" s="5">
        <v>822.81690140844876</v>
      </c>
      <c r="Q1457" s="5">
        <v>8.08710135093453</v>
      </c>
    </row>
    <row r="1458" spans="1:17" x14ac:dyDescent="0.2">
      <c r="A1458" s="4" t="s">
        <v>99</v>
      </c>
      <c r="B1458" s="4">
        <v>2015</v>
      </c>
      <c r="C1458" s="4" t="s">
        <v>52</v>
      </c>
      <c r="D1458" s="4">
        <v>1</v>
      </c>
      <c r="E1458" s="4">
        <v>4</v>
      </c>
      <c r="F1458" s="4">
        <v>1</v>
      </c>
      <c r="G1458" s="6" t="str">
        <f t="shared" si="53"/>
        <v>41</v>
      </c>
      <c r="H1458" s="5">
        <v>45</v>
      </c>
      <c r="I1458" s="5">
        <v>172.85</v>
      </c>
      <c r="J1458" s="5">
        <v>10848.505065480602</v>
      </c>
      <c r="K1458" s="5">
        <v>60</v>
      </c>
      <c r="L1458" s="5">
        <v>167.29</v>
      </c>
      <c r="M1458" s="5">
        <v>10499.54534222881</v>
      </c>
      <c r="N1458" s="5">
        <v>25</v>
      </c>
      <c r="O1458" s="5">
        <v>5.5600000000000023</v>
      </c>
      <c r="P1458" s="5">
        <v>348.95972325179173</v>
      </c>
      <c r="Q1458" s="5">
        <v>3.3235698487656196</v>
      </c>
    </row>
    <row r="1459" spans="1:17" x14ac:dyDescent="0.2">
      <c r="A1459" s="4" t="s">
        <v>99</v>
      </c>
      <c r="B1459" s="4">
        <v>2015</v>
      </c>
      <c r="C1459" s="4" t="s">
        <v>52</v>
      </c>
      <c r="D1459" s="4">
        <v>2</v>
      </c>
      <c r="E1459" s="4">
        <v>4</v>
      </c>
      <c r="F1459" s="4">
        <v>1</v>
      </c>
      <c r="G1459" s="6" t="str">
        <f t="shared" si="53"/>
        <v>41</v>
      </c>
      <c r="H1459" s="5">
        <v>50</v>
      </c>
      <c r="I1459" s="5">
        <v>169.04</v>
      </c>
      <c r="J1459" s="5">
        <v>10609.379787496911</v>
      </c>
      <c r="K1459" s="5">
        <v>65</v>
      </c>
      <c r="L1459" s="5">
        <v>165.09</v>
      </c>
      <c r="M1459" s="5">
        <v>10361.467753891771</v>
      </c>
      <c r="N1459" s="5">
        <v>23.076923076923077</v>
      </c>
      <c r="O1459" s="5">
        <v>3.9499999999999886</v>
      </c>
      <c r="P1459" s="5">
        <v>247.9120336051401</v>
      </c>
      <c r="Q1459" s="5">
        <v>2.3926343206735767</v>
      </c>
    </row>
    <row r="1460" spans="1:17" x14ac:dyDescent="0.2">
      <c r="A1460" s="4" t="s">
        <v>99</v>
      </c>
      <c r="B1460" s="4">
        <v>2015</v>
      </c>
      <c r="C1460" s="4" t="s">
        <v>52</v>
      </c>
      <c r="D1460" s="4">
        <v>3</v>
      </c>
      <c r="E1460" s="4">
        <v>4</v>
      </c>
      <c r="F1460" s="4">
        <v>1</v>
      </c>
      <c r="G1460" s="6" t="str">
        <f t="shared" si="53"/>
        <v>41</v>
      </c>
      <c r="H1460" s="5">
        <v>55</v>
      </c>
      <c r="I1460" s="5">
        <v>171.96</v>
      </c>
      <c r="J1460" s="5">
        <v>10792.646404744255</v>
      </c>
      <c r="K1460" s="5">
        <v>50</v>
      </c>
      <c r="L1460" s="5">
        <v>171.65</v>
      </c>
      <c r="M1460" s="5">
        <v>10773.190017296763</v>
      </c>
      <c r="N1460" s="5">
        <v>-10</v>
      </c>
      <c r="O1460" s="5">
        <v>0.31000000000000227</v>
      </c>
      <c r="P1460" s="5">
        <v>19.456387447491579</v>
      </c>
      <c r="Q1460" s="5">
        <v>0.18060005825807968</v>
      </c>
    </row>
    <row r="1461" spans="1:17" x14ac:dyDescent="0.2">
      <c r="A1461" s="4" t="s">
        <v>99</v>
      </c>
      <c r="B1461" s="4">
        <v>2015</v>
      </c>
      <c r="C1461" s="4" t="s">
        <v>52</v>
      </c>
      <c r="D1461" s="4">
        <v>4</v>
      </c>
      <c r="E1461" s="4">
        <v>4</v>
      </c>
      <c r="F1461" s="4">
        <v>1</v>
      </c>
      <c r="G1461" s="6" t="str">
        <f t="shared" si="53"/>
        <v>41</v>
      </c>
      <c r="H1461" s="5">
        <v>55</v>
      </c>
      <c r="I1461" s="5">
        <v>166.17</v>
      </c>
      <c r="J1461" s="5">
        <v>10429.251297257226</v>
      </c>
      <c r="K1461" s="5">
        <v>60</v>
      </c>
      <c r="L1461" s="5">
        <v>162.11000000000001</v>
      </c>
      <c r="M1461" s="5">
        <v>10174.435384235238</v>
      </c>
      <c r="N1461" s="5">
        <v>8.3333333333333321</v>
      </c>
      <c r="O1461" s="5">
        <v>4.0599999999999739</v>
      </c>
      <c r="P1461" s="5">
        <v>254.81591302198831</v>
      </c>
      <c r="Q1461" s="5">
        <v>2.5044722719140995</v>
      </c>
    </row>
    <row r="1462" spans="1:17" x14ac:dyDescent="0.2">
      <c r="A1462" s="4" t="s">
        <v>99</v>
      </c>
      <c r="B1462" s="4">
        <v>2015</v>
      </c>
      <c r="C1462" s="4" t="s">
        <v>52</v>
      </c>
      <c r="D1462" s="4">
        <v>1</v>
      </c>
      <c r="E1462" s="4">
        <v>5</v>
      </c>
      <c r="F1462" s="4">
        <v>1</v>
      </c>
      <c r="G1462" s="6" t="str">
        <f t="shared" si="53"/>
        <v>51</v>
      </c>
      <c r="H1462" s="5">
        <v>50</v>
      </c>
      <c r="I1462" s="5">
        <v>163.98</v>
      </c>
      <c r="J1462" s="5">
        <v>10291.801334321719</v>
      </c>
      <c r="K1462" s="5">
        <v>60</v>
      </c>
      <c r="L1462" s="5">
        <v>167.29</v>
      </c>
      <c r="M1462" s="5">
        <v>10499.54534222881</v>
      </c>
      <c r="N1462" s="5">
        <v>16.666666666666664</v>
      </c>
      <c r="O1462" s="5">
        <v>-3.3100000000000023</v>
      </c>
      <c r="P1462" s="5">
        <v>-207.74400790709115</v>
      </c>
      <c r="Q1462" s="5">
        <v>-1.9786000358658569</v>
      </c>
    </row>
    <row r="1463" spans="1:17" x14ac:dyDescent="0.2">
      <c r="A1463" s="4" t="s">
        <v>99</v>
      </c>
      <c r="B1463" s="4">
        <v>2015</v>
      </c>
      <c r="C1463" s="4" t="s">
        <v>52</v>
      </c>
      <c r="D1463" s="4">
        <v>2</v>
      </c>
      <c r="E1463" s="4">
        <v>5</v>
      </c>
      <c r="F1463" s="4">
        <v>1</v>
      </c>
      <c r="G1463" s="6" t="str">
        <f t="shared" si="53"/>
        <v>51</v>
      </c>
      <c r="H1463" s="5">
        <v>55</v>
      </c>
      <c r="I1463" s="5">
        <v>159.21</v>
      </c>
      <c r="J1463" s="5">
        <v>9992.424017790956</v>
      </c>
      <c r="K1463" s="5">
        <v>65</v>
      </c>
      <c r="L1463" s="5">
        <v>165.09</v>
      </c>
      <c r="M1463" s="5">
        <v>10361.467753891771</v>
      </c>
      <c r="N1463" s="5">
        <v>15.384615384615385</v>
      </c>
      <c r="O1463" s="5">
        <v>-5.8799999999999955</v>
      </c>
      <c r="P1463" s="5">
        <v>-369.04373610081529</v>
      </c>
      <c r="Q1463" s="5">
        <v>-3.5616936216609116</v>
      </c>
    </row>
    <row r="1464" spans="1:17" x14ac:dyDescent="0.2">
      <c r="A1464" s="4" t="s">
        <v>99</v>
      </c>
      <c r="B1464" s="4">
        <v>2015</v>
      </c>
      <c r="C1464" s="4" t="s">
        <v>52</v>
      </c>
      <c r="D1464" s="4">
        <v>3</v>
      </c>
      <c r="E1464" s="4">
        <v>5</v>
      </c>
      <c r="F1464" s="4">
        <v>1</v>
      </c>
      <c r="G1464" s="6" t="str">
        <f t="shared" si="53"/>
        <v>51</v>
      </c>
      <c r="H1464" s="5">
        <v>55</v>
      </c>
      <c r="I1464" s="5">
        <v>170.64</v>
      </c>
      <c r="J1464" s="5">
        <v>10709.799851742031</v>
      </c>
      <c r="K1464" s="5">
        <v>50</v>
      </c>
      <c r="L1464" s="5">
        <v>171.65</v>
      </c>
      <c r="M1464" s="5">
        <v>10773.190017296763</v>
      </c>
      <c r="N1464" s="5">
        <v>-10</v>
      </c>
      <c r="O1464" s="5">
        <v>-1.0100000000000193</v>
      </c>
      <c r="P1464" s="5">
        <v>-63.390165554732448</v>
      </c>
      <c r="Q1464" s="5">
        <v>-0.58840664142150223</v>
      </c>
    </row>
    <row r="1465" spans="1:17" x14ac:dyDescent="0.2">
      <c r="A1465" s="4" t="s">
        <v>99</v>
      </c>
      <c r="B1465" s="4">
        <v>2015</v>
      </c>
      <c r="C1465" s="4" t="s">
        <v>52</v>
      </c>
      <c r="D1465" s="4">
        <v>4</v>
      </c>
      <c r="E1465" s="4">
        <v>5</v>
      </c>
      <c r="F1465" s="4">
        <v>1</v>
      </c>
      <c r="G1465" s="6" t="str">
        <f t="shared" si="53"/>
        <v>51</v>
      </c>
      <c r="H1465" s="5">
        <v>55</v>
      </c>
      <c r="I1465" s="5">
        <v>171.05</v>
      </c>
      <c r="J1465" s="5">
        <v>10735.532493204844</v>
      </c>
      <c r="K1465" s="5">
        <v>60</v>
      </c>
      <c r="L1465" s="5">
        <v>162.11000000000001</v>
      </c>
      <c r="M1465" s="5">
        <v>10174.435384235238</v>
      </c>
      <c r="N1465" s="5">
        <v>8.3333333333333321</v>
      </c>
      <c r="O1465" s="5">
        <v>8.9399999999999977</v>
      </c>
      <c r="P1465" s="5">
        <v>561.09710896960678</v>
      </c>
      <c r="Q1465" s="5">
        <v>5.5147739189439227</v>
      </c>
    </row>
    <row r="1466" spans="1:17" x14ac:dyDescent="0.2">
      <c r="A1466" s="4" t="s">
        <v>99</v>
      </c>
      <c r="B1466" s="4">
        <v>2015</v>
      </c>
      <c r="C1466" s="4" t="s">
        <v>52</v>
      </c>
      <c r="D1466" s="4">
        <v>1</v>
      </c>
      <c r="E1466" s="4">
        <v>6</v>
      </c>
      <c r="F1466" s="4">
        <v>1</v>
      </c>
      <c r="G1466" s="6" t="str">
        <f t="shared" si="53"/>
        <v>61</v>
      </c>
      <c r="H1466" s="5">
        <v>60</v>
      </c>
      <c r="I1466" s="5">
        <v>167.88</v>
      </c>
      <c r="J1466" s="5">
        <v>10536.575240919199</v>
      </c>
      <c r="K1466" s="5">
        <v>60</v>
      </c>
      <c r="L1466" s="5">
        <v>167.29</v>
      </c>
      <c r="M1466" s="5">
        <v>10499.54534222881</v>
      </c>
      <c r="N1466" s="5">
        <v>0</v>
      </c>
      <c r="O1466" s="5">
        <v>0.59000000000000341</v>
      </c>
      <c r="P1466" s="5">
        <v>37.029898690389018</v>
      </c>
      <c r="Q1466" s="5">
        <v>0.35268097316039049</v>
      </c>
    </row>
    <row r="1467" spans="1:17" x14ac:dyDescent="0.2">
      <c r="A1467" s="4" t="s">
        <v>99</v>
      </c>
      <c r="B1467" s="4">
        <v>2015</v>
      </c>
      <c r="C1467" s="4" t="s">
        <v>52</v>
      </c>
      <c r="D1467" s="4">
        <v>2</v>
      </c>
      <c r="E1467" s="4">
        <v>6</v>
      </c>
      <c r="F1467" s="4">
        <v>1</v>
      </c>
      <c r="G1467" s="6" t="str">
        <f t="shared" si="53"/>
        <v>61</v>
      </c>
      <c r="H1467" s="5">
        <v>50</v>
      </c>
      <c r="I1467" s="5">
        <v>156.01</v>
      </c>
      <c r="J1467" s="5">
        <v>9791.5838893007167</v>
      </c>
      <c r="K1467" s="5">
        <v>65</v>
      </c>
      <c r="L1467" s="5">
        <v>165.09</v>
      </c>
      <c r="M1467" s="5">
        <v>10361.467753891771</v>
      </c>
      <c r="N1467" s="5">
        <v>23.076923076923077</v>
      </c>
      <c r="O1467" s="5">
        <v>-9.0800000000000125</v>
      </c>
      <c r="P1467" s="5">
        <v>-569.88386459105459</v>
      </c>
      <c r="Q1467" s="5">
        <v>-5.5000302865103841</v>
      </c>
    </row>
    <row r="1468" spans="1:17" x14ac:dyDescent="0.2">
      <c r="A1468" s="4" t="s">
        <v>99</v>
      </c>
      <c r="B1468" s="4">
        <v>2015</v>
      </c>
      <c r="C1468" s="4" t="s">
        <v>52</v>
      </c>
      <c r="D1468" s="4">
        <v>3</v>
      </c>
      <c r="E1468" s="4">
        <v>6</v>
      </c>
      <c r="F1468" s="4">
        <v>1</v>
      </c>
      <c r="G1468" s="6" t="str">
        <f t="shared" si="53"/>
        <v>61</v>
      </c>
      <c r="H1468" s="5">
        <v>40</v>
      </c>
      <c r="I1468" s="5">
        <v>168.37</v>
      </c>
      <c r="J1468" s="5">
        <v>10567.328885594268</v>
      </c>
      <c r="K1468" s="5">
        <v>50</v>
      </c>
      <c r="L1468" s="5">
        <v>171.65</v>
      </c>
      <c r="M1468" s="5">
        <v>10773.190017296763</v>
      </c>
      <c r="N1468" s="5">
        <v>20</v>
      </c>
      <c r="O1468" s="5">
        <v>-3.2800000000000011</v>
      </c>
      <c r="P1468" s="5">
        <v>-205.86113170249519</v>
      </c>
      <c r="Q1468" s="5">
        <v>-1.9108651325371349</v>
      </c>
    </row>
    <row r="1469" spans="1:17" x14ac:dyDescent="0.2">
      <c r="A1469" s="4" t="s">
        <v>99</v>
      </c>
      <c r="B1469" s="4">
        <v>2015</v>
      </c>
      <c r="C1469" s="4" t="s">
        <v>52</v>
      </c>
      <c r="D1469" s="4">
        <v>4</v>
      </c>
      <c r="E1469" s="4">
        <v>6</v>
      </c>
      <c r="F1469" s="4">
        <v>1</v>
      </c>
      <c r="G1469" s="6" t="str">
        <f t="shared" si="53"/>
        <v>61</v>
      </c>
      <c r="H1469" s="5">
        <v>60</v>
      </c>
      <c r="I1469" s="5">
        <v>169.16</v>
      </c>
      <c r="J1469" s="5">
        <v>10616.911292315295</v>
      </c>
      <c r="K1469" s="5">
        <v>60</v>
      </c>
      <c r="L1469" s="5">
        <v>162.11000000000001</v>
      </c>
      <c r="M1469" s="5">
        <v>10174.435384235238</v>
      </c>
      <c r="N1469" s="5">
        <v>0</v>
      </c>
      <c r="O1469" s="5">
        <v>7.0499999999999829</v>
      </c>
      <c r="P1469" s="5">
        <v>442.47590808005771</v>
      </c>
      <c r="Q1469" s="5">
        <v>4.3488988958114696</v>
      </c>
    </row>
    <row r="1470" spans="1:17" x14ac:dyDescent="0.2">
      <c r="A1470" s="4" t="s">
        <v>53</v>
      </c>
      <c r="B1470" s="4">
        <v>2015</v>
      </c>
      <c r="C1470" s="4" t="s">
        <v>52</v>
      </c>
      <c r="D1470" s="4">
        <v>1</v>
      </c>
      <c r="E1470" s="4">
        <v>7</v>
      </c>
      <c r="F1470" s="4">
        <v>2</v>
      </c>
      <c r="G1470" s="6" t="str">
        <f t="shared" si="53"/>
        <v>72</v>
      </c>
      <c r="H1470" s="5">
        <v>0.4</v>
      </c>
      <c r="I1470" s="5">
        <v>163.6</v>
      </c>
      <c r="J1470" s="5">
        <v>10267.951569063503</v>
      </c>
      <c r="K1470" s="5">
        <v>1.8</v>
      </c>
      <c r="L1470" s="5">
        <v>182.2</v>
      </c>
      <c r="M1470" s="5">
        <v>11435.334815913022</v>
      </c>
      <c r="N1470" s="5">
        <v>77.777777777777771</v>
      </c>
      <c r="O1470" s="5">
        <v>-18.599999999999994</v>
      </c>
      <c r="P1470" s="5">
        <v>-1167.3832468495184</v>
      </c>
      <c r="Q1470" s="5">
        <v>-10.208562019758508</v>
      </c>
    </row>
    <row r="1471" spans="1:17" x14ac:dyDescent="0.2">
      <c r="A1471" s="4" t="s">
        <v>53</v>
      </c>
      <c r="B1471" s="4">
        <v>2015</v>
      </c>
      <c r="C1471" s="4" t="s">
        <v>52</v>
      </c>
      <c r="D1471" s="4">
        <v>2</v>
      </c>
      <c r="E1471" s="4">
        <v>7</v>
      </c>
      <c r="F1471" s="4">
        <v>2</v>
      </c>
      <c r="G1471" s="6" t="str">
        <f t="shared" si="53"/>
        <v>72</v>
      </c>
      <c r="H1471" s="5">
        <v>1.6</v>
      </c>
      <c r="I1471" s="5">
        <v>172.9</v>
      </c>
      <c r="J1471" s="5">
        <v>10851.643192488264</v>
      </c>
      <c r="K1471" s="5">
        <v>2</v>
      </c>
      <c r="L1471" s="5">
        <v>155.6</v>
      </c>
      <c r="M1471" s="5">
        <v>9765.8512478379034</v>
      </c>
      <c r="N1471" s="5">
        <v>19.999999999999996</v>
      </c>
      <c r="O1471" s="5">
        <v>17.300000000000011</v>
      </c>
      <c r="P1471" s="5">
        <v>1085.7919446503602</v>
      </c>
      <c r="Q1471" s="5">
        <v>11.118251928020587</v>
      </c>
    </row>
    <row r="1472" spans="1:17" x14ac:dyDescent="0.2">
      <c r="A1472" s="4" t="s">
        <v>53</v>
      </c>
      <c r="B1472" s="4">
        <v>2015</v>
      </c>
      <c r="C1472" s="4" t="s">
        <v>52</v>
      </c>
      <c r="D1472" s="4">
        <v>3</v>
      </c>
      <c r="E1472" s="4">
        <v>7</v>
      </c>
      <c r="F1472" s="4">
        <v>2</v>
      </c>
      <c r="G1472" s="6" t="str">
        <f t="shared" si="53"/>
        <v>72</v>
      </c>
      <c r="H1472" s="5">
        <v>1</v>
      </c>
      <c r="I1472" s="5">
        <v>166</v>
      </c>
      <c r="J1472" s="5">
        <v>10418.581665431184</v>
      </c>
      <c r="K1472" s="5">
        <v>0.8</v>
      </c>
      <c r="L1472" s="5">
        <v>165.3</v>
      </c>
      <c r="M1472" s="5">
        <v>10374.647887323945</v>
      </c>
      <c r="N1472" s="5">
        <v>-24.999999999999993</v>
      </c>
      <c r="O1472" s="5">
        <v>0.69999999999998863</v>
      </c>
      <c r="P1472" s="5">
        <v>43.93377810723905</v>
      </c>
      <c r="Q1472" s="5">
        <v>0.42347247428916263</v>
      </c>
    </row>
    <row r="1473" spans="1:17" x14ac:dyDescent="0.2">
      <c r="A1473" s="4" t="s">
        <v>53</v>
      </c>
      <c r="B1473" s="4">
        <v>2015</v>
      </c>
      <c r="C1473" s="4" t="s">
        <v>52</v>
      </c>
      <c r="D1473" s="4">
        <v>4</v>
      </c>
      <c r="E1473" s="4">
        <v>7</v>
      </c>
      <c r="F1473" s="4">
        <v>2</v>
      </c>
      <c r="G1473" s="6" t="str">
        <f t="shared" si="53"/>
        <v>72</v>
      </c>
      <c r="H1473" s="5">
        <v>3.8</v>
      </c>
      <c r="I1473" s="5">
        <v>186.7</v>
      </c>
      <c r="J1473" s="5">
        <v>11717.766246602421</v>
      </c>
      <c r="K1473" s="5">
        <v>4.2</v>
      </c>
      <c r="L1473" s="5">
        <v>185</v>
      </c>
      <c r="M1473" s="5">
        <v>11611.069928341982</v>
      </c>
      <c r="N1473" s="5">
        <v>9.5238095238095308</v>
      </c>
      <c r="O1473" s="5">
        <v>1.6999999999999886</v>
      </c>
      <c r="P1473" s="5">
        <v>106.69631826043951</v>
      </c>
      <c r="Q1473" s="5">
        <v>0.91891891891891608</v>
      </c>
    </row>
    <row r="1474" spans="1:17" x14ac:dyDescent="0.2">
      <c r="A1474" s="4" t="s">
        <v>99</v>
      </c>
      <c r="B1474" s="4">
        <v>2015</v>
      </c>
      <c r="C1474" s="4" t="s">
        <v>52</v>
      </c>
      <c r="D1474" s="4">
        <v>1</v>
      </c>
      <c r="E1474" s="4">
        <v>7</v>
      </c>
      <c r="F1474" s="4">
        <v>2</v>
      </c>
      <c r="G1474" s="6" t="str">
        <f t="shared" ref="G1474:G1537" si="54">E1474&amp;F1474</f>
        <v>72</v>
      </c>
      <c r="H1474" s="5">
        <v>40</v>
      </c>
      <c r="I1474" s="5">
        <v>170.55</v>
      </c>
      <c r="J1474" s="5">
        <v>10704.151223128243</v>
      </c>
      <c r="K1474" s="5">
        <v>60</v>
      </c>
      <c r="L1474" s="5">
        <v>167.29</v>
      </c>
      <c r="M1474" s="5">
        <v>10499.54534222881</v>
      </c>
      <c r="N1474" s="5">
        <v>33.333333333333329</v>
      </c>
      <c r="O1474" s="5">
        <v>3.2600000000000193</v>
      </c>
      <c r="P1474" s="5">
        <v>204.60588089943303</v>
      </c>
      <c r="Q1474" s="5">
        <v>1.9487118178014358</v>
      </c>
    </row>
    <row r="1475" spans="1:17" x14ac:dyDescent="0.2">
      <c r="A1475" s="4" t="s">
        <v>99</v>
      </c>
      <c r="B1475" s="4">
        <v>2015</v>
      </c>
      <c r="C1475" s="4" t="s">
        <v>52</v>
      </c>
      <c r="D1475" s="4">
        <v>2</v>
      </c>
      <c r="E1475" s="4">
        <v>7</v>
      </c>
      <c r="F1475" s="4">
        <v>2</v>
      </c>
      <c r="G1475" s="6" t="str">
        <f t="shared" si="54"/>
        <v>72</v>
      </c>
      <c r="H1475" s="5">
        <v>55</v>
      </c>
      <c r="I1475" s="5">
        <v>172.62</v>
      </c>
      <c r="J1475" s="5">
        <v>10834.069681245368</v>
      </c>
      <c r="K1475" s="5">
        <v>65</v>
      </c>
      <c r="L1475" s="5">
        <v>165.09</v>
      </c>
      <c r="M1475" s="5">
        <v>10361.467753891771</v>
      </c>
      <c r="N1475" s="5">
        <v>15.384615384615385</v>
      </c>
      <c r="O1475" s="5">
        <v>7.5300000000000011</v>
      </c>
      <c r="P1475" s="5">
        <v>472.60192735359669</v>
      </c>
      <c r="Q1475" s="5">
        <v>4.5611484644739377</v>
      </c>
    </row>
    <row r="1476" spans="1:17" x14ac:dyDescent="0.2">
      <c r="A1476" s="4" t="s">
        <v>99</v>
      </c>
      <c r="B1476" s="4">
        <v>2015</v>
      </c>
      <c r="C1476" s="4" t="s">
        <v>52</v>
      </c>
      <c r="D1476" s="4">
        <v>3</v>
      </c>
      <c r="E1476" s="4">
        <v>7</v>
      </c>
      <c r="F1476" s="4">
        <v>2</v>
      </c>
      <c r="G1476" s="6" t="str">
        <f t="shared" si="54"/>
        <v>72</v>
      </c>
      <c r="H1476" s="5">
        <v>60</v>
      </c>
      <c r="I1476" s="5">
        <v>168.48</v>
      </c>
      <c r="J1476" s="5">
        <v>10574.232765011118</v>
      </c>
      <c r="K1476" s="5">
        <v>50</v>
      </c>
      <c r="L1476" s="5">
        <v>171.65</v>
      </c>
      <c r="M1476" s="5">
        <v>10773.190017296763</v>
      </c>
      <c r="N1476" s="5">
        <v>-20</v>
      </c>
      <c r="O1476" s="5">
        <v>-3.1700000000000159</v>
      </c>
      <c r="P1476" s="5">
        <v>-198.95725228564515</v>
      </c>
      <c r="Q1476" s="5">
        <v>-1.846781240897188</v>
      </c>
    </row>
    <row r="1477" spans="1:17" x14ac:dyDescent="0.2">
      <c r="A1477" s="4" t="s">
        <v>99</v>
      </c>
      <c r="B1477" s="4">
        <v>2015</v>
      </c>
      <c r="C1477" s="4" t="s">
        <v>52</v>
      </c>
      <c r="D1477" s="4">
        <v>4</v>
      </c>
      <c r="E1477" s="4">
        <v>7</v>
      </c>
      <c r="F1477" s="4">
        <v>2</v>
      </c>
      <c r="G1477" s="6" t="str">
        <f t="shared" si="54"/>
        <v>72</v>
      </c>
      <c r="H1477" s="5">
        <v>50</v>
      </c>
      <c r="I1477" s="5">
        <v>175.01</v>
      </c>
      <c r="J1477" s="5">
        <v>10984.072152211515</v>
      </c>
      <c r="K1477" s="5">
        <v>60</v>
      </c>
      <c r="L1477" s="5">
        <v>162.11000000000001</v>
      </c>
      <c r="M1477" s="5">
        <v>10174.435384235238</v>
      </c>
      <c r="N1477" s="5">
        <v>16.666666666666664</v>
      </c>
      <c r="O1477" s="5">
        <v>12.899999999999977</v>
      </c>
      <c r="P1477" s="5">
        <v>809.63676797627704</v>
      </c>
      <c r="Q1477" s="5">
        <v>7.9575596816975942</v>
      </c>
    </row>
    <row r="1478" spans="1:17" x14ac:dyDescent="0.2">
      <c r="A1478" s="4" t="s">
        <v>53</v>
      </c>
      <c r="B1478" s="4">
        <v>2015</v>
      </c>
      <c r="C1478" s="4" t="s">
        <v>52</v>
      </c>
      <c r="D1478" s="4">
        <v>1</v>
      </c>
      <c r="E1478" s="4">
        <v>8</v>
      </c>
      <c r="F1478" s="4">
        <v>2</v>
      </c>
      <c r="G1478" s="6" t="str">
        <f t="shared" si="54"/>
        <v>82</v>
      </c>
      <c r="H1478" s="5">
        <v>1.2</v>
      </c>
      <c r="I1478" s="5">
        <v>169.7</v>
      </c>
      <c r="J1478" s="5">
        <v>10650.803063998022</v>
      </c>
      <c r="K1478" s="5">
        <v>1.8</v>
      </c>
      <c r="L1478" s="5">
        <v>182.2</v>
      </c>
      <c r="M1478" s="5">
        <v>11435.334815913022</v>
      </c>
      <c r="N1478" s="5">
        <v>33.333333333333336</v>
      </c>
      <c r="O1478" s="5">
        <v>-12.5</v>
      </c>
      <c r="P1478" s="5">
        <v>-784.5317519149994</v>
      </c>
      <c r="Q1478" s="5">
        <v>-6.8605927552140571</v>
      </c>
    </row>
    <row r="1479" spans="1:17" x14ac:dyDescent="0.2">
      <c r="A1479" s="4" t="s">
        <v>53</v>
      </c>
      <c r="B1479" s="4">
        <v>2015</v>
      </c>
      <c r="C1479" s="4" t="s">
        <v>52</v>
      </c>
      <c r="D1479" s="4">
        <v>2</v>
      </c>
      <c r="E1479" s="4">
        <v>8</v>
      </c>
      <c r="F1479" s="4">
        <v>2</v>
      </c>
      <c r="G1479" s="6" t="str">
        <f t="shared" si="54"/>
        <v>82</v>
      </c>
      <c r="H1479" s="5">
        <v>2.4</v>
      </c>
      <c r="I1479" s="5">
        <v>160.4</v>
      </c>
      <c r="J1479" s="5">
        <v>10067.111440573264</v>
      </c>
      <c r="K1479" s="5">
        <v>2</v>
      </c>
      <c r="L1479" s="5">
        <v>155.6</v>
      </c>
      <c r="M1479" s="5">
        <v>9765.8512478379034</v>
      </c>
      <c r="N1479" s="5">
        <v>-19.999999999999996</v>
      </c>
      <c r="O1479" s="5">
        <v>4.8000000000000114</v>
      </c>
      <c r="P1479" s="5">
        <v>301.26019273536076</v>
      </c>
      <c r="Q1479" s="5">
        <v>3.0848329048843319</v>
      </c>
    </row>
    <row r="1480" spans="1:17" x14ac:dyDescent="0.2">
      <c r="A1480" s="4" t="s">
        <v>53</v>
      </c>
      <c r="B1480" s="4">
        <v>2015</v>
      </c>
      <c r="C1480" s="4" t="s">
        <v>52</v>
      </c>
      <c r="D1480" s="4">
        <v>3</v>
      </c>
      <c r="E1480" s="4">
        <v>8</v>
      </c>
      <c r="F1480" s="4">
        <v>2</v>
      </c>
      <c r="G1480" s="6" t="str">
        <f t="shared" si="54"/>
        <v>82</v>
      </c>
      <c r="H1480" s="5">
        <v>2</v>
      </c>
      <c r="I1480" s="5">
        <v>176.3</v>
      </c>
      <c r="J1480" s="5">
        <v>11065.035829009143</v>
      </c>
      <c r="K1480" s="5">
        <v>0.8</v>
      </c>
      <c r="L1480" s="5">
        <v>165.3</v>
      </c>
      <c r="M1480" s="5">
        <v>10374.647887323945</v>
      </c>
      <c r="N1480" s="5">
        <v>-149.99999999999997</v>
      </c>
      <c r="O1480" s="5">
        <v>11</v>
      </c>
      <c r="P1480" s="5">
        <v>690.3879416851978</v>
      </c>
      <c r="Q1480" s="5">
        <v>6.6545674531155354</v>
      </c>
    </row>
    <row r="1481" spans="1:17" x14ac:dyDescent="0.2">
      <c r="A1481" s="4" t="s">
        <v>53</v>
      </c>
      <c r="B1481" s="4">
        <v>2015</v>
      </c>
      <c r="C1481" s="4" t="s">
        <v>52</v>
      </c>
      <c r="D1481" s="4">
        <v>4</v>
      </c>
      <c r="E1481" s="4">
        <v>8</v>
      </c>
      <c r="F1481" s="4">
        <v>2</v>
      </c>
      <c r="G1481" s="6" t="str">
        <f t="shared" si="54"/>
        <v>82</v>
      </c>
      <c r="H1481" s="5">
        <v>2</v>
      </c>
      <c r="I1481" s="5">
        <v>175.2</v>
      </c>
      <c r="J1481" s="5">
        <v>10995.997034840622</v>
      </c>
      <c r="K1481" s="5">
        <v>4.2</v>
      </c>
      <c r="L1481" s="5">
        <v>185</v>
      </c>
      <c r="M1481" s="5">
        <v>11611.069928341982</v>
      </c>
      <c r="N1481" s="5">
        <v>52.380952380952387</v>
      </c>
      <c r="O1481" s="5">
        <v>-9.8000000000000114</v>
      </c>
      <c r="P1481" s="5">
        <v>-615.07289350135943</v>
      </c>
      <c r="Q1481" s="5">
        <v>-5.2972972972973009</v>
      </c>
    </row>
    <row r="1482" spans="1:17" x14ac:dyDescent="0.2">
      <c r="A1482" s="4" t="s">
        <v>99</v>
      </c>
      <c r="B1482" s="4">
        <v>2015</v>
      </c>
      <c r="C1482" s="4" t="s">
        <v>52</v>
      </c>
      <c r="D1482" s="4">
        <v>1</v>
      </c>
      <c r="E1482" s="4">
        <v>8</v>
      </c>
      <c r="F1482" s="4">
        <v>2</v>
      </c>
      <c r="G1482" s="6" t="str">
        <f t="shared" si="54"/>
        <v>82</v>
      </c>
      <c r="H1482" s="5">
        <v>50</v>
      </c>
      <c r="I1482" s="5">
        <v>177.38</v>
      </c>
      <c r="J1482" s="5">
        <v>11132.819372374597</v>
      </c>
      <c r="K1482" s="5">
        <v>60</v>
      </c>
      <c r="L1482" s="5">
        <v>167.29</v>
      </c>
      <c r="M1482" s="5">
        <v>10499.54534222881</v>
      </c>
      <c r="N1482" s="5">
        <v>16.666666666666664</v>
      </c>
      <c r="O1482" s="5">
        <v>10.090000000000003</v>
      </c>
      <c r="P1482" s="5">
        <v>633.27403014578704</v>
      </c>
      <c r="Q1482" s="5">
        <v>6.0314424054037907</v>
      </c>
    </row>
    <row r="1483" spans="1:17" x14ac:dyDescent="0.2">
      <c r="A1483" s="4" t="s">
        <v>99</v>
      </c>
      <c r="B1483" s="4">
        <v>2015</v>
      </c>
      <c r="C1483" s="4" t="s">
        <v>52</v>
      </c>
      <c r="D1483" s="4">
        <v>2</v>
      </c>
      <c r="E1483" s="4">
        <v>8</v>
      </c>
      <c r="F1483" s="4">
        <v>2</v>
      </c>
      <c r="G1483" s="6" t="str">
        <f t="shared" si="54"/>
        <v>82</v>
      </c>
      <c r="H1483" s="5">
        <v>55</v>
      </c>
      <c r="I1483" s="5">
        <v>174.07</v>
      </c>
      <c r="J1483" s="5">
        <v>10925.075364467506</v>
      </c>
      <c r="K1483" s="5">
        <v>65</v>
      </c>
      <c r="L1483" s="5">
        <v>165.09</v>
      </c>
      <c r="M1483" s="5">
        <v>10361.467753891771</v>
      </c>
      <c r="N1483" s="5">
        <v>15.384615384615385</v>
      </c>
      <c r="O1483" s="5">
        <v>8.9799999999999898</v>
      </c>
      <c r="P1483" s="5">
        <v>563.60761057573472</v>
      </c>
      <c r="Q1483" s="5">
        <v>5.4394572657338385</v>
      </c>
    </row>
    <row r="1484" spans="1:17" x14ac:dyDescent="0.2">
      <c r="A1484" s="4" t="s">
        <v>99</v>
      </c>
      <c r="B1484" s="4">
        <v>2015</v>
      </c>
      <c r="C1484" s="4" t="s">
        <v>52</v>
      </c>
      <c r="D1484" s="4">
        <v>3</v>
      </c>
      <c r="E1484" s="4">
        <v>8</v>
      </c>
      <c r="F1484" s="4">
        <v>2</v>
      </c>
      <c r="G1484" s="6" t="str">
        <f t="shared" si="54"/>
        <v>82</v>
      </c>
      <c r="H1484" s="5">
        <v>55</v>
      </c>
      <c r="I1484" s="5">
        <v>166.25</v>
      </c>
      <c r="J1484" s="5">
        <v>10434.272300469484</v>
      </c>
      <c r="K1484" s="5">
        <v>50</v>
      </c>
      <c r="L1484" s="5">
        <v>171.65</v>
      </c>
      <c r="M1484" s="5">
        <v>10773.190017296763</v>
      </c>
      <c r="N1484" s="5">
        <v>-10</v>
      </c>
      <c r="O1484" s="5">
        <v>-5.4000000000000057</v>
      </c>
      <c r="P1484" s="5">
        <v>-338.91771682727995</v>
      </c>
      <c r="Q1484" s="5">
        <v>-3.1459364986891973</v>
      </c>
    </row>
    <row r="1485" spans="1:17" x14ac:dyDescent="0.2">
      <c r="A1485" s="4" t="s">
        <v>99</v>
      </c>
      <c r="B1485" s="4">
        <v>2015</v>
      </c>
      <c r="C1485" s="4" t="s">
        <v>52</v>
      </c>
      <c r="D1485" s="4">
        <v>4</v>
      </c>
      <c r="E1485" s="4">
        <v>8</v>
      </c>
      <c r="F1485" s="4">
        <v>2</v>
      </c>
      <c r="G1485" s="6" t="str">
        <f t="shared" si="54"/>
        <v>82</v>
      </c>
      <c r="H1485" s="5">
        <v>55</v>
      </c>
      <c r="I1485" s="5">
        <v>159.03</v>
      </c>
      <c r="J1485" s="5">
        <v>9981.1267605633802</v>
      </c>
      <c r="K1485" s="5">
        <v>60</v>
      </c>
      <c r="L1485" s="5">
        <v>162.11000000000001</v>
      </c>
      <c r="M1485" s="5">
        <v>10174.435384235238</v>
      </c>
      <c r="N1485" s="5">
        <v>8.3333333333333321</v>
      </c>
      <c r="O1485" s="5">
        <v>-3.0800000000000125</v>
      </c>
      <c r="P1485" s="5">
        <v>-193.30862367185728</v>
      </c>
      <c r="Q1485" s="5">
        <v>-1.8999444821417708</v>
      </c>
    </row>
    <row r="1486" spans="1:17" x14ac:dyDescent="0.2">
      <c r="A1486" s="4" t="s">
        <v>53</v>
      </c>
      <c r="B1486" s="4">
        <v>2015</v>
      </c>
      <c r="C1486" s="4" t="s">
        <v>52</v>
      </c>
      <c r="D1486" s="4">
        <v>1</v>
      </c>
      <c r="E1486" s="4">
        <v>9</v>
      </c>
      <c r="F1486" s="4">
        <v>2</v>
      </c>
      <c r="G1486" s="6" t="str">
        <f t="shared" si="54"/>
        <v>92</v>
      </c>
      <c r="H1486" s="5">
        <v>0.4</v>
      </c>
      <c r="I1486" s="5">
        <v>152.19999999999999</v>
      </c>
      <c r="J1486" s="5">
        <v>9552.4586113170244</v>
      </c>
      <c r="K1486" s="5">
        <v>1.8</v>
      </c>
      <c r="L1486" s="5">
        <v>182.2</v>
      </c>
      <c r="M1486" s="5">
        <v>11435.334815913022</v>
      </c>
      <c r="N1486" s="5">
        <v>77.777777777777771</v>
      </c>
      <c r="O1486" s="5">
        <v>-30</v>
      </c>
      <c r="P1486" s="5">
        <v>-1882.8762045959975</v>
      </c>
      <c r="Q1486" s="5">
        <v>-16.465422612513724</v>
      </c>
    </row>
    <row r="1487" spans="1:17" x14ac:dyDescent="0.2">
      <c r="A1487" s="4" t="s">
        <v>53</v>
      </c>
      <c r="B1487" s="4">
        <v>2015</v>
      </c>
      <c r="C1487" s="4" t="s">
        <v>52</v>
      </c>
      <c r="D1487" s="4">
        <v>2</v>
      </c>
      <c r="E1487" s="4">
        <v>9</v>
      </c>
      <c r="F1487" s="4">
        <v>2</v>
      </c>
      <c r="G1487" s="6" t="str">
        <f t="shared" si="54"/>
        <v>92</v>
      </c>
      <c r="H1487" s="5">
        <v>1.4</v>
      </c>
      <c r="I1487" s="5">
        <v>180</v>
      </c>
      <c r="J1487" s="5">
        <v>11297.257227575981</v>
      </c>
      <c r="K1487" s="5">
        <v>2</v>
      </c>
      <c r="L1487" s="5">
        <v>155.6</v>
      </c>
      <c r="M1487" s="5">
        <v>9765.8512478379034</v>
      </c>
      <c r="N1487" s="5">
        <v>30.000000000000004</v>
      </c>
      <c r="O1487" s="5">
        <v>24.400000000000006</v>
      </c>
      <c r="P1487" s="5">
        <v>1531.4059797380778</v>
      </c>
      <c r="Q1487" s="5">
        <v>15.681233933161959</v>
      </c>
    </row>
    <row r="1488" spans="1:17" x14ac:dyDescent="0.2">
      <c r="A1488" s="4" t="s">
        <v>53</v>
      </c>
      <c r="B1488" s="4">
        <v>2015</v>
      </c>
      <c r="C1488" s="4" t="s">
        <v>52</v>
      </c>
      <c r="D1488" s="4">
        <v>3</v>
      </c>
      <c r="E1488" s="4">
        <v>9</v>
      </c>
      <c r="F1488" s="4">
        <v>2</v>
      </c>
      <c r="G1488" s="6" t="str">
        <f t="shared" si="54"/>
        <v>92</v>
      </c>
      <c r="H1488" s="5">
        <v>1.2</v>
      </c>
      <c r="I1488" s="5">
        <v>170.6</v>
      </c>
      <c r="J1488" s="5">
        <v>10707.289350135903</v>
      </c>
      <c r="K1488" s="5">
        <v>0.8</v>
      </c>
      <c r="L1488" s="5">
        <v>165.3</v>
      </c>
      <c r="M1488" s="5">
        <v>10374.647887323945</v>
      </c>
      <c r="N1488" s="5">
        <v>-49.999999999999986</v>
      </c>
      <c r="O1488" s="5">
        <v>5.2999999999999829</v>
      </c>
      <c r="P1488" s="5">
        <v>332.64146281195826</v>
      </c>
      <c r="Q1488" s="5">
        <v>3.2062915910465701</v>
      </c>
    </row>
    <row r="1489" spans="1:17" x14ac:dyDescent="0.2">
      <c r="A1489" s="4" t="s">
        <v>53</v>
      </c>
      <c r="B1489" s="4">
        <v>2015</v>
      </c>
      <c r="C1489" s="4" t="s">
        <v>52</v>
      </c>
      <c r="D1489" s="4">
        <v>4</v>
      </c>
      <c r="E1489" s="4">
        <v>9</v>
      </c>
      <c r="F1489" s="4">
        <v>2</v>
      </c>
      <c r="G1489" s="6" t="str">
        <f t="shared" si="54"/>
        <v>92</v>
      </c>
      <c r="H1489" s="5">
        <v>2.6</v>
      </c>
      <c r="I1489" s="5">
        <v>175.1</v>
      </c>
      <c r="J1489" s="5">
        <v>10989.720780825302</v>
      </c>
      <c r="K1489" s="5">
        <v>4.2</v>
      </c>
      <c r="L1489" s="5">
        <v>185</v>
      </c>
      <c r="M1489" s="5">
        <v>11611.069928341982</v>
      </c>
      <c r="N1489" s="5">
        <v>38.095238095238095</v>
      </c>
      <c r="O1489" s="5">
        <v>-9.9000000000000057</v>
      </c>
      <c r="P1489" s="5">
        <v>-621.3491475166793</v>
      </c>
      <c r="Q1489" s="5">
        <v>-5.3513513513513535</v>
      </c>
    </row>
    <row r="1490" spans="1:17" x14ac:dyDescent="0.2">
      <c r="A1490" s="4" t="s">
        <v>99</v>
      </c>
      <c r="B1490" s="4">
        <v>2015</v>
      </c>
      <c r="C1490" s="4" t="s">
        <v>52</v>
      </c>
      <c r="D1490" s="4">
        <v>1</v>
      </c>
      <c r="E1490" s="4">
        <v>9</v>
      </c>
      <c r="F1490" s="4">
        <v>2</v>
      </c>
      <c r="G1490" s="6" t="str">
        <f t="shared" si="54"/>
        <v>92</v>
      </c>
      <c r="H1490" s="5">
        <v>50</v>
      </c>
      <c r="I1490" s="5">
        <v>174.22</v>
      </c>
      <c r="J1490" s="5">
        <v>10934.489745490486</v>
      </c>
      <c r="K1490" s="5">
        <v>60</v>
      </c>
      <c r="L1490" s="5">
        <v>167.29</v>
      </c>
      <c r="M1490" s="5">
        <v>10499.54534222881</v>
      </c>
      <c r="N1490" s="5">
        <v>16.666666666666664</v>
      </c>
      <c r="O1490" s="5">
        <v>6.9300000000000068</v>
      </c>
      <c r="P1490" s="5">
        <v>434.94440326167569</v>
      </c>
      <c r="Q1490" s="5">
        <v>4.1425070237312491</v>
      </c>
    </row>
    <row r="1491" spans="1:17" x14ac:dyDescent="0.2">
      <c r="A1491" s="4" t="s">
        <v>99</v>
      </c>
      <c r="B1491" s="4">
        <v>2015</v>
      </c>
      <c r="C1491" s="4" t="s">
        <v>52</v>
      </c>
      <c r="D1491" s="4">
        <v>2</v>
      </c>
      <c r="E1491" s="4">
        <v>9</v>
      </c>
      <c r="F1491" s="4">
        <v>2</v>
      </c>
      <c r="G1491" s="6" t="str">
        <f t="shared" si="54"/>
        <v>92</v>
      </c>
      <c r="H1491" s="5">
        <v>55</v>
      </c>
      <c r="I1491" s="5">
        <v>178.27</v>
      </c>
      <c r="J1491" s="5">
        <v>11188.678033110948</v>
      </c>
      <c r="K1491" s="5">
        <v>65</v>
      </c>
      <c r="L1491" s="5">
        <v>165.09</v>
      </c>
      <c r="M1491" s="5">
        <v>10361.467753891771</v>
      </c>
      <c r="N1491" s="5">
        <v>15.384615384615385</v>
      </c>
      <c r="O1491" s="5">
        <v>13.180000000000007</v>
      </c>
      <c r="P1491" s="5">
        <v>827.2102792191763</v>
      </c>
      <c r="Q1491" s="5">
        <v>7.9835241383487947</v>
      </c>
    </row>
    <row r="1492" spans="1:17" x14ac:dyDescent="0.2">
      <c r="A1492" s="4" t="s">
        <v>99</v>
      </c>
      <c r="B1492" s="4">
        <v>2015</v>
      </c>
      <c r="C1492" s="4" t="s">
        <v>52</v>
      </c>
      <c r="D1492" s="4">
        <v>3</v>
      </c>
      <c r="E1492" s="4">
        <v>9</v>
      </c>
      <c r="F1492" s="4">
        <v>2</v>
      </c>
      <c r="G1492" s="6" t="str">
        <f t="shared" si="54"/>
        <v>92</v>
      </c>
      <c r="H1492" s="5">
        <v>60</v>
      </c>
      <c r="I1492" s="5">
        <v>180.51</v>
      </c>
      <c r="J1492" s="5">
        <v>11329.266123054113</v>
      </c>
      <c r="K1492" s="5">
        <v>50</v>
      </c>
      <c r="L1492" s="5">
        <v>171.65</v>
      </c>
      <c r="M1492" s="5">
        <v>10773.190017296763</v>
      </c>
      <c r="N1492" s="5">
        <v>-20</v>
      </c>
      <c r="O1492" s="5">
        <v>8.8599999999999852</v>
      </c>
      <c r="P1492" s="5">
        <v>556.07610575734907</v>
      </c>
      <c r="Q1492" s="5">
        <v>5.1616661811826194</v>
      </c>
    </row>
    <row r="1493" spans="1:17" x14ac:dyDescent="0.2">
      <c r="A1493" s="4" t="s">
        <v>99</v>
      </c>
      <c r="B1493" s="4">
        <v>2015</v>
      </c>
      <c r="C1493" s="4" t="s">
        <v>52</v>
      </c>
      <c r="D1493" s="4">
        <v>4</v>
      </c>
      <c r="E1493" s="4">
        <v>9</v>
      </c>
      <c r="F1493" s="4">
        <v>2</v>
      </c>
      <c r="G1493" s="6" t="str">
        <f t="shared" si="54"/>
        <v>92</v>
      </c>
      <c r="H1493" s="5">
        <v>50</v>
      </c>
      <c r="I1493" s="5">
        <v>166.32</v>
      </c>
      <c r="J1493" s="5">
        <v>10438.665678280207</v>
      </c>
      <c r="K1493" s="5">
        <v>60</v>
      </c>
      <c r="L1493" s="5">
        <v>162.11000000000001</v>
      </c>
      <c r="M1493" s="5">
        <v>10174.435384235238</v>
      </c>
      <c r="N1493" s="5">
        <v>16.666666666666664</v>
      </c>
      <c r="O1493" s="5">
        <v>4.2099999999999795</v>
      </c>
      <c r="P1493" s="5">
        <v>264.23029404496992</v>
      </c>
      <c r="Q1493" s="5">
        <v>2.5970020356547856</v>
      </c>
    </row>
    <row r="1494" spans="1:17" x14ac:dyDescent="0.2">
      <c r="A1494" s="4" t="s">
        <v>53</v>
      </c>
      <c r="B1494" s="4">
        <v>2015</v>
      </c>
      <c r="C1494" s="4" t="s">
        <v>52</v>
      </c>
      <c r="D1494" s="4">
        <v>1</v>
      </c>
      <c r="E1494" s="4">
        <v>10</v>
      </c>
      <c r="F1494" s="4">
        <v>2</v>
      </c>
      <c r="G1494" s="6" t="str">
        <f t="shared" si="54"/>
        <v>102</v>
      </c>
      <c r="H1494" s="5">
        <v>1.4</v>
      </c>
      <c r="I1494" s="5">
        <v>173.7</v>
      </c>
      <c r="J1494" s="5">
        <v>10901.853224610823</v>
      </c>
      <c r="K1494" s="5">
        <v>1.8</v>
      </c>
      <c r="L1494" s="5">
        <v>182.2</v>
      </c>
      <c r="M1494" s="5">
        <v>11435.334815913022</v>
      </c>
      <c r="N1494" s="5">
        <v>22.222222222222229</v>
      </c>
      <c r="O1494" s="5">
        <v>-8.5</v>
      </c>
      <c r="P1494" s="5">
        <v>-533.48159130219938</v>
      </c>
      <c r="Q1494" s="5">
        <v>-4.6652030735455563</v>
      </c>
    </row>
    <row r="1495" spans="1:17" x14ac:dyDescent="0.2">
      <c r="A1495" s="4" t="s">
        <v>53</v>
      </c>
      <c r="B1495" s="4">
        <v>2015</v>
      </c>
      <c r="C1495" s="4" t="s">
        <v>52</v>
      </c>
      <c r="D1495" s="4">
        <v>2</v>
      </c>
      <c r="E1495" s="4">
        <v>10</v>
      </c>
      <c r="F1495" s="4">
        <v>2</v>
      </c>
      <c r="G1495" s="6" t="str">
        <f t="shared" si="54"/>
        <v>102</v>
      </c>
      <c r="H1495" s="5">
        <v>2.4</v>
      </c>
      <c r="I1495" s="5">
        <v>168.5</v>
      </c>
      <c r="J1495" s="5">
        <v>10575.488015814184</v>
      </c>
      <c r="K1495" s="5">
        <v>2</v>
      </c>
      <c r="L1495" s="5">
        <v>155.6</v>
      </c>
      <c r="M1495" s="5">
        <v>9765.8512478379034</v>
      </c>
      <c r="N1495" s="5">
        <v>-19.999999999999996</v>
      </c>
      <c r="O1495" s="5">
        <v>12.900000000000006</v>
      </c>
      <c r="P1495" s="5">
        <v>809.63676797628068</v>
      </c>
      <c r="Q1495" s="5">
        <v>8.2904884318766268</v>
      </c>
    </row>
    <row r="1496" spans="1:17" x14ac:dyDescent="0.2">
      <c r="A1496" s="4" t="s">
        <v>53</v>
      </c>
      <c r="B1496" s="4">
        <v>2015</v>
      </c>
      <c r="C1496" s="4" t="s">
        <v>52</v>
      </c>
      <c r="D1496" s="4">
        <v>3</v>
      </c>
      <c r="E1496" s="4">
        <v>10</v>
      </c>
      <c r="F1496" s="4">
        <v>2</v>
      </c>
      <c r="G1496" s="6" t="str">
        <f t="shared" si="54"/>
        <v>102</v>
      </c>
      <c r="H1496" s="5">
        <v>2</v>
      </c>
      <c r="I1496" s="5">
        <v>170.9</v>
      </c>
      <c r="J1496" s="5">
        <v>10726.118112181863</v>
      </c>
      <c r="K1496" s="5">
        <v>0.8</v>
      </c>
      <c r="L1496" s="5">
        <v>165.3</v>
      </c>
      <c r="M1496" s="5">
        <v>10374.647887323945</v>
      </c>
      <c r="N1496" s="5">
        <v>-149.99999999999997</v>
      </c>
      <c r="O1496" s="5">
        <v>5.5999999999999943</v>
      </c>
      <c r="P1496" s="5">
        <v>351.47022485791786</v>
      </c>
      <c r="Q1496" s="5">
        <v>3.3877797943133539</v>
      </c>
    </row>
    <row r="1497" spans="1:17" x14ac:dyDescent="0.2">
      <c r="A1497" s="4" t="s">
        <v>53</v>
      </c>
      <c r="B1497" s="4">
        <v>2015</v>
      </c>
      <c r="C1497" s="4" t="s">
        <v>52</v>
      </c>
      <c r="D1497" s="4">
        <v>4</v>
      </c>
      <c r="E1497" s="4">
        <v>10</v>
      </c>
      <c r="F1497" s="4">
        <v>2</v>
      </c>
      <c r="G1497" s="6" t="str">
        <f t="shared" si="54"/>
        <v>102</v>
      </c>
      <c r="H1497" s="5">
        <v>1.4</v>
      </c>
      <c r="I1497" s="5">
        <v>166.8</v>
      </c>
      <c r="J1497" s="5">
        <v>10468.791697553745</v>
      </c>
      <c r="K1497" s="5">
        <v>4.2</v>
      </c>
      <c r="L1497" s="5">
        <v>185</v>
      </c>
      <c r="M1497" s="5">
        <v>11611.069928341982</v>
      </c>
      <c r="N1497" s="5">
        <v>66.666666666666671</v>
      </c>
      <c r="O1497" s="5">
        <v>-18.199999999999989</v>
      </c>
      <c r="P1497" s="5">
        <v>-1142.2782307882371</v>
      </c>
      <c r="Q1497" s="5">
        <v>-9.8378378378378297</v>
      </c>
    </row>
    <row r="1498" spans="1:17" x14ac:dyDescent="0.2">
      <c r="A1498" s="4" t="s">
        <v>99</v>
      </c>
      <c r="B1498" s="4">
        <v>2015</v>
      </c>
      <c r="C1498" s="4" t="s">
        <v>52</v>
      </c>
      <c r="D1498" s="4">
        <v>1</v>
      </c>
      <c r="E1498" s="4">
        <v>10</v>
      </c>
      <c r="F1498" s="4">
        <v>2</v>
      </c>
      <c r="G1498" s="6" t="str">
        <f t="shared" si="54"/>
        <v>102</v>
      </c>
      <c r="H1498" s="5">
        <v>50</v>
      </c>
      <c r="I1498" s="5">
        <v>166.67</v>
      </c>
      <c r="J1498" s="5">
        <v>10460.632567333827</v>
      </c>
      <c r="K1498" s="5">
        <v>60</v>
      </c>
      <c r="L1498" s="5">
        <v>167.29</v>
      </c>
      <c r="M1498" s="5">
        <v>10499.54534222881</v>
      </c>
      <c r="N1498" s="5">
        <v>16.666666666666664</v>
      </c>
      <c r="O1498" s="5">
        <v>-0.62000000000000455</v>
      </c>
      <c r="P1498" s="5">
        <v>-38.912774894983158</v>
      </c>
      <c r="Q1498" s="5">
        <v>-0.37061390399903621</v>
      </c>
    </row>
    <row r="1499" spans="1:17" x14ac:dyDescent="0.2">
      <c r="A1499" s="4" t="s">
        <v>99</v>
      </c>
      <c r="B1499" s="4">
        <v>2015</v>
      </c>
      <c r="C1499" s="4" t="s">
        <v>52</v>
      </c>
      <c r="D1499" s="4">
        <v>2</v>
      </c>
      <c r="E1499" s="4">
        <v>10</v>
      </c>
      <c r="F1499" s="4">
        <v>2</v>
      </c>
      <c r="G1499" s="6" t="str">
        <f t="shared" si="54"/>
        <v>102</v>
      </c>
      <c r="H1499" s="5">
        <v>55</v>
      </c>
      <c r="I1499" s="5">
        <v>159</v>
      </c>
      <c r="J1499" s="5">
        <v>9979.2438843587843</v>
      </c>
      <c r="K1499" s="5">
        <v>65</v>
      </c>
      <c r="L1499" s="5">
        <v>165.09</v>
      </c>
      <c r="M1499" s="5">
        <v>10361.467753891771</v>
      </c>
      <c r="N1499" s="5">
        <v>15.384615384615385</v>
      </c>
      <c r="O1499" s="5">
        <v>-6.0900000000000034</v>
      </c>
      <c r="P1499" s="5">
        <v>-382.22386953298701</v>
      </c>
      <c r="Q1499" s="5">
        <v>-3.6888969652916557</v>
      </c>
    </row>
    <row r="1500" spans="1:17" x14ac:dyDescent="0.2">
      <c r="A1500" s="4" t="s">
        <v>99</v>
      </c>
      <c r="B1500" s="4">
        <v>2015</v>
      </c>
      <c r="C1500" s="4" t="s">
        <v>52</v>
      </c>
      <c r="D1500" s="4">
        <v>3</v>
      </c>
      <c r="E1500" s="4">
        <v>10</v>
      </c>
      <c r="F1500" s="4">
        <v>2</v>
      </c>
      <c r="G1500" s="6" t="str">
        <f t="shared" si="54"/>
        <v>102</v>
      </c>
      <c r="H1500" s="5">
        <v>50</v>
      </c>
      <c r="I1500" s="5">
        <v>156.85</v>
      </c>
      <c r="J1500" s="5">
        <v>9844.3044230294036</v>
      </c>
      <c r="K1500" s="5">
        <v>50</v>
      </c>
      <c r="L1500" s="5">
        <v>171.65</v>
      </c>
      <c r="M1500" s="5">
        <v>10773.190017296763</v>
      </c>
      <c r="N1500" s="5">
        <v>0</v>
      </c>
      <c r="O1500" s="5">
        <v>-14.800000000000011</v>
      </c>
      <c r="P1500" s="5">
        <v>-928.88559426735992</v>
      </c>
      <c r="Q1500" s="5">
        <v>-8.6221963297407633</v>
      </c>
    </row>
    <row r="1501" spans="1:17" x14ac:dyDescent="0.2">
      <c r="A1501" s="4" t="s">
        <v>99</v>
      </c>
      <c r="B1501" s="4">
        <v>2015</v>
      </c>
      <c r="C1501" s="4" t="s">
        <v>52</v>
      </c>
      <c r="D1501" s="4">
        <v>4</v>
      </c>
      <c r="E1501" s="4">
        <v>10</v>
      </c>
      <c r="F1501" s="4">
        <v>2</v>
      </c>
      <c r="G1501" s="6" t="str">
        <f t="shared" si="54"/>
        <v>102</v>
      </c>
      <c r="H1501" s="5">
        <v>50</v>
      </c>
      <c r="I1501" s="5">
        <v>160.47999999999999</v>
      </c>
      <c r="J1501" s="5">
        <v>10072.13244378552</v>
      </c>
      <c r="K1501" s="5">
        <v>60</v>
      </c>
      <c r="L1501" s="5">
        <v>162.11000000000001</v>
      </c>
      <c r="M1501" s="5">
        <v>10174.435384235238</v>
      </c>
      <c r="N1501" s="5">
        <v>16.666666666666664</v>
      </c>
      <c r="O1501" s="5">
        <v>-1.6300000000000239</v>
      </c>
      <c r="P1501" s="5">
        <v>-102.30294044971743</v>
      </c>
      <c r="Q1501" s="5">
        <v>-1.0054900993152953</v>
      </c>
    </row>
    <row r="1502" spans="1:17" x14ac:dyDescent="0.2">
      <c r="A1502" s="4" t="s">
        <v>53</v>
      </c>
      <c r="B1502" s="4">
        <v>2015</v>
      </c>
      <c r="C1502" s="4" t="s">
        <v>52</v>
      </c>
      <c r="D1502" s="4">
        <v>1</v>
      </c>
      <c r="E1502" s="4">
        <v>11</v>
      </c>
      <c r="F1502" s="4">
        <v>2</v>
      </c>
      <c r="G1502" s="6" t="str">
        <f t="shared" si="54"/>
        <v>112</v>
      </c>
      <c r="H1502" s="5">
        <v>0.4</v>
      </c>
      <c r="I1502" s="5">
        <v>166.6</v>
      </c>
      <c r="J1502" s="5">
        <v>10456.239189523103</v>
      </c>
      <c r="K1502" s="5">
        <v>1.8</v>
      </c>
      <c r="L1502" s="5">
        <v>182.2</v>
      </c>
      <c r="M1502" s="5">
        <v>11435.334815913022</v>
      </c>
      <c r="N1502" s="5">
        <v>77.777777777777771</v>
      </c>
      <c r="O1502" s="5">
        <v>-15.599999999999994</v>
      </c>
      <c r="P1502" s="5">
        <v>-979.09562638991883</v>
      </c>
      <c r="Q1502" s="5">
        <v>-8.5620197585071391</v>
      </c>
    </row>
    <row r="1503" spans="1:17" x14ac:dyDescent="0.2">
      <c r="A1503" s="4" t="s">
        <v>53</v>
      </c>
      <c r="B1503" s="4">
        <v>2015</v>
      </c>
      <c r="C1503" s="4" t="s">
        <v>52</v>
      </c>
      <c r="D1503" s="4">
        <v>2</v>
      </c>
      <c r="E1503" s="4">
        <v>11</v>
      </c>
      <c r="F1503" s="4">
        <v>2</v>
      </c>
      <c r="G1503" s="6" t="str">
        <f t="shared" si="54"/>
        <v>112</v>
      </c>
      <c r="H1503" s="5">
        <v>1.3</v>
      </c>
      <c r="I1503" s="5">
        <v>174.2</v>
      </c>
      <c r="J1503" s="5">
        <v>10933.234494687422</v>
      </c>
      <c r="K1503" s="5">
        <v>2</v>
      </c>
      <c r="L1503" s="5">
        <v>155.6</v>
      </c>
      <c r="M1503" s="5">
        <v>9765.8512478379034</v>
      </c>
      <c r="N1503" s="5">
        <v>35</v>
      </c>
      <c r="O1503" s="5">
        <v>18.599999999999994</v>
      </c>
      <c r="P1503" s="5">
        <v>1167.3832468495184</v>
      </c>
      <c r="Q1503" s="5">
        <v>11.953727506426739</v>
      </c>
    </row>
    <row r="1504" spans="1:17" x14ac:dyDescent="0.2">
      <c r="A1504" s="4" t="s">
        <v>53</v>
      </c>
      <c r="B1504" s="4">
        <v>2015</v>
      </c>
      <c r="C1504" s="4" t="s">
        <v>52</v>
      </c>
      <c r="D1504" s="4">
        <v>3</v>
      </c>
      <c r="E1504" s="4">
        <v>11</v>
      </c>
      <c r="F1504" s="4">
        <v>2</v>
      </c>
      <c r="G1504" s="6" t="str">
        <f t="shared" si="54"/>
        <v>112</v>
      </c>
      <c r="H1504" s="5">
        <v>0.6</v>
      </c>
      <c r="I1504" s="5">
        <v>171.2</v>
      </c>
      <c r="J1504" s="5">
        <v>10744.946874227822</v>
      </c>
      <c r="K1504" s="5">
        <v>0.8</v>
      </c>
      <c r="L1504" s="5">
        <v>165.3</v>
      </c>
      <c r="M1504" s="5">
        <v>10374.647887323945</v>
      </c>
      <c r="N1504" s="5">
        <v>25.000000000000007</v>
      </c>
      <c r="O1504" s="5">
        <v>5.8999999999999773</v>
      </c>
      <c r="P1504" s="5">
        <v>370.29898690387745</v>
      </c>
      <c r="Q1504" s="5">
        <v>3.569267997580138</v>
      </c>
    </row>
    <row r="1505" spans="1:17" x14ac:dyDescent="0.2">
      <c r="A1505" s="4" t="s">
        <v>53</v>
      </c>
      <c r="B1505" s="4">
        <v>2015</v>
      </c>
      <c r="C1505" s="4" t="s">
        <v>52</v>
      </c>
      <c r="D1505" s="4">
        <v>4</v>
      </c>
      <c r="E1505" s="4">
        <v>11</v>
      </c>
      <c r="F1505" s="4">
        <v>2</v>
      </c>
      <c r="G1505" s="6" t="str">
        <f t="shared" si="54"/>
        <v>112</v>
      </c>
      <c r="H1505" s="5">
        <v>0.6</v>
      </c>
      <c r="I1505" s="5">
        <v>185.4</v>
      </c>
      <c r="J1505" s="5">
        <v>11636.174944403261</v>
      </c>
      <c r="K1505" s="5">
        <v>4.2</v>
      </c>
      <c r="L1505" s="5">
        <v>185</v>
      </c>
      <c r="M1505" s="5">
        <v>11611.069928341982</v>
      </c>
      <c r="N1505" s="5">
        <v>85.714285714285708</v>
      </c>
      <c r="O1505" s="5">
        <v>0.40000000000000568</v>
      </c>
      <c r="P1505" s="5">
        <v>25.105016061279457</v>
      </c>
      <c r="Q1505" s="5">
        <v>0.21621621621621187</v>
      </c>
    </row>
    <row r="1506" spans="1:17" x14ac:dyDescent="0.2">
      <c r="A1506" s="4" t="s">
        <v>99</v>
      </c>
      <c r="B1506" s="4">
        <v>2015</v>
      </c>
      <c r="C1506" s="4" t="s">
        <v>52</v>
      </c>
      <c r="D1506" s="4">
        <v>1</v>
      </c>
      <c r="E1506" s="4">
        <v>11</v>
      </c>
      <c r="F1506" s="4">
        <v>2</v>
      </c>
      <c r="G1506" s="6" t="str">
        <f t="shared" si="54"/>
        <v>112</v>
      </c>
      <c r="H1506" s="5">
        <v>55</v>
      </c>
      <c r="I1506" s="5">
        <v>171.59</v>
      </c>
      <c r="J1506" s="5">
        <v>10769.424264887572</v>
      </c>
      <c r="K1506" s="5">
        <v>60</v>
      </c>
      <c r="L1506" s="5">
        <v>167.29</v>
      </c>
      <c r="M1506" s="5">
        <v>10499.54534222881</v>
      </c>
      <c r="N1506" s="5">
        <v>8.3333333333333321</v>
      </c>
      <c r="O1506" s="5">
        <v>4.3000000000000114</v>
      </c>
      <c r="P1506" s="5">
        <v>269.87892265876144</v>
      </c>
      <c r="Q1506" s="5">
        <v>2.5703867535417717</v>
      </c>
    </row>
    <row r="1507" spans="1:17" x14ac:dyDescent="0.2">
      <c r="A1507" s="4" t="s">
        <v>99</v>
      </c>
      <c r="B1507" s="4">
        <v>2015</v>
      </c>
      <c r="C1507" s="4" t="s">
        <v>52</v>
      </c>
      <c r="D1507" s="4">
        <v>2</v>
      </c>
      <c r="E1507" s="4">
        <v>11</v>
      </c>
      <c r="F1507" s="4">
        <v>2</v>
      </c>
      <c r="G1507" s="6" t="str">
        <f t="shared" si="54"/>
        <v>112</v>
      </c>
      <c r="H1507" s="5">
        <v>65</v>
      </c>
      <c r="I1507" s="5">
        <v>165.01</v>
      </c>
      <c r="J1507" s="5">
        <v>10356.446750679515</v>
      </c>
      <c r="K1507" s="5">
        <v>65</v>
      </c>
      <c r="L1507" s="5">
        <v>165.09</v>
      </c>
      <c r="M1507" s="5">
        <v>10361.467753891771</v>
      </c>
      <c r="N1507" s="5">
        <v>0</v>
      </c>
      <c r="O1507" s="5">
        <v>-8.0000000000012506E-2</v>
      </c>
      <c r="P1507" s="5">
        <v>-5.0210032122558914</v>
      </c>
      <c r="Q1507" s="5">
        <v>-4.8458416621235928E-2</v>
      </c>
    </row>
    <row r="1508" spans="1:17" x14ac:dyDescent="0.2">
      <c r="A1508" s="4" t="s">
        <v>99</v>
      </c>
      <c r="B1508" s="4">
        <v>2015</v>
      </c>
      <c r="C1508" s="4" t="s">
        <v>52</v>
      </c>
      <c r="D1508" s="4">
        <v>3</v>
      </c>
      <c r="E1508" s="4">
        <v>11</v>
      </c>
      <c r="F1508" s="4">
        <v>2</v>
      </c>
      <c r="G1508" s="6" t="str">
        <f t="shared" si="54"/>
        <v>112</v>
      </c>
      <c r="H1508" s="5">
        <v>60</v>
      </c>
      <c r="I1508" s="5">
        <v>166.47</v>
      </c>
      <c r="J1508" s="5">
        <v>10448.080059303187</v>
      </c>
      <c r="K1508" s="5">
        <v>50</v>
      </c>
      <c r="L1508" s="5">
        <v>171.65</v>
      </c>
      <c r="M1508" s="5">
        <v>10773.190017296763</v>
      </c>
      <c r="N1508" s="5">
        <v>-20</v>
      </c>
      <c r="O1508" s="5">
        <v>-5.1800000000000068</v>
      </c>
      <c r="P1508" s="5">
        <v>-325.10995799357624</v>
      </c>
      <c r="Q1508" s="5">
        <v>-3.0177687154092698</v>
      </c>
    </row>
    <row r="1509" spans="1:17" x14ac:dyDescent="0.2">
      <c r="A1509" s="4" t="s">
        <v>99</v>
      </c>
      <c r="B1509" s="4">
        <v>2015</v>
      </c>
      <c r="C1509" s="4" t="s">
        <v>52</v>
      </c>
      <c r="D1509" s="4">
        <v>4</v>
      </c>
      <c r="E1509" s="4">
        <v>11</v>
      </c>
      <c r="F1509" s="4">
        <v>2</v>
      </c>
      <c r="G1509" s="6" t="str">
        <f t="shared" si="54"/>
        <v>112</v>
      </c>
      <c r="H1509" s="5">
        <v>50</v>
      </c>
      <c r="I1509" s="5">
        <v>178.44</v>
      </c>
      <c r="J1509" s="5">
        <v>11199.34766493699</v>
      </c>
      <c r="K1509" s="5">
        <v>60</v>
      </c>
      <c r="L1509" s="5">
        <v>162.11000000000001</v>
      </c>
      <c r="M1509" s="5">
        <v>10174.435384235238</v>
      </c>
      <c r="N1509" s="5">
        <v>16.666666666666664</v>
      </c>
      <c r="O1509" s="5">
        <v>16.329999999999984</v>
      </c>
      <c r="P1509" s="5">
        <v>1024.912280701752</v>
      </c>
      <c r="Q1509" s="5">
        <v>10.073406945900906</v>
      </c>
    </row>
    <row r="1510" spans="1:17" x14ac:dyDescent="0.2">
      <c r="A1510" s="4" t="s">
        <v>53</v>
      </c>
      <c r="B1510" s="4">
        <v>2015</v>
      </c>
      <c r="C1510" s="4" t="s">
        <v>52</v>
      </c>
      <c r="D1510" s="4">
        <v>1</v>
      </c>
      <c r="E1510" s="4">
        <v>12</v>
      </c>
      <c r="F1510" s="4">
        <v>2</v>
      </c>
      <c r="G1510" s="6" t="str">
        <f t="shared" si="54"/>
        <v>122</v>
      </c>
      <c r="H1510" s="5">
        <v>1.6</v>
      </c>
      <c r="I1510" s="5">
        <v>189.7</v>
      </c>
      <c r="J1510" s="5">
        <v>11906.053867062021</v>
      </c>
      <c r="K1510" s="5">
        <v>1.8</v>
      </c>
      <c r="L1510" s="5">
        <v>182.2</v>
      </c>
      <c r="M1510" s="5">
        <v>11435.334815913022</v>
      </c>
      <c r="N1510" s="5">
        <v>11.111111111111107</v>
      </c>
      <c r="O1510" s="5">
        <v>7.5</v>
      </c>
      <c r="P1510" s="5">
        <v>470.71905114899891</v>
      </c>
      <c r="Q1510" s="5">
        <v>4.1163556531284273</v>
      </c>
    </row>
    <row r="1511" spans="1:17" x14ac:dyDescent="0.2">
      <c r="A1511" s="4" t="s">
        <v>53</v>
      </c>
      <c r="B1511" s="4">
        <v>2015</v>
      </c>
      <c r="C1511" s="4" t="s">
        <v>52</v>
      </c>
      <c r="D1511" s="4">
        <v>2</v>
      </c>
      <c r="E1511" s="4">
        <v>12</v>
      </c>
      <c r="F1511" s="4">
        <v>2</v>
      </c>
      <c r="G1511" s="6" t="str">
        <f t="shared" si="54"/>
        <v>122</v>
      </c>
      <c r="H1511" s="5">
        <v>1.4</v>
      </c>
      <c r="I1511" s="5">
        <v>154.6</v>
      </c>
      <c r="J1511" s="5">
        <v>9703.0887076847048</v>
      </c>
      <c r="K1511" s="5">
        <v>2</v>
      </c>
      <c r="L1511" s="5">
        <v>155.6</v>
      </c>
      <c r="M1511" s="5">
        <v>9765.8512478379034</v>
      </c>
      <c r="N1511" s="5">
        <v>30.000000000000004</v>
      </c>
      <c r="O1511" s="5">
        <v>-1</v>
      </c>
      <c r="P1511" s="5">
        <v>-62.762540153198643</v>
      </c>
      <c r="Q1511" s="5">
        <v>-0.64267352185088689</v>
      </c>
    </row>
    <row r="1512" spans="1:17" x14ac:dyDescent="0.2">
      <c r="A1512" s="4" t="s">
        <v>53</v>
      </c>
      <c r="B1512" s="4">
        <v>2015</v>
      </c>
      <c r="C1512" s="4" t="s">
        <v>52</v>
      </c>
      <c r="D1512" s="4">
        <v>3</v>
      </c>
      <c r="E1512" s="4">
        <v>12</v>
      </c>
      <c r="F1512" s="4">
        <v>2</v>
      </c>
      <c r="G1512" s="6" t="str">
        <f t="shared" si="54"/>
        <v>122</v>
      </c>
      <c r="H1512" s="5">
        <v>0.4</v>
      </c>
      <c r="I1512" s="5">
        <v>176.2</v>
      </c>
      <c r="J1512" s="5">
        <v>11058.759574993821</v>
      </c>
      <c r="K1512" s="5">
        <v>0.8</v>
      </c>
      <c r="L1512" s="5">
        <v>165.3</v>
      </c>
      <c r="M1512" s="5">
        <v>10374.647887323945</v>
      </c>
      <c r="N1512" s="5">
        <v>50</v>
      </c>
      <c r="O1512" s="5">
        <v>10.899999999999977</v>
      </c>
      <c r="P1512" s="5">
        <v>684.11168766987612</v>
      </c>
      <c r="Q1512" s="5">
        <v>6.5940713853599249</v>
      </c>
    </row>
    <row r="1513" spans="1:17" x14ac:dyDescent="0.2">
      <c r="A1513" s="4" t="s">
        <v>53</v>
      </c>
      <c r="B1513" s="4">
        <v>2015</v>
      </c>
      <c r="C1513" s="4" t="s">
        <v>52</v>
      </c>
      <c r="D1513" s="4">
        <v>4</v>
      </c>
      <c r="E1513" s="4">
        <v>12</v>
      </c>
      <c r="F1513" s="4">
        <v>2</v>
      </c>
      <c r="G1513" s="6" t="str">
        <f t="shared" si="54"/>
        <v>122</v>
      </c>
      <c r="H1513" s="5">
        <v>4.2</v>
      </c>
      <c r="I1513" s="5">
        <v>171.4</v>
      </c>
      <c r="J1513" s="5">
        <v>10757.499382258464</v>
      </c>
      <c r="K1513" s="5">
        <v>4.2</v>
      </c>
      <c r="L1513" s="5">
        <v>185</v>
      </c>
      <c r="M1513" s="5">
        <v>11611.069928341982</v>
      </c>
      <c r="N1513" s="5">
        <v>0</v>
      </c>
      <c r="O1513" s="5">
        <v>-13.599999999999994</v>
      </c>
      <c r="P1513" s="5">
        <v>-853.57054608351791</v>
      </c>
      <c r="Q1513" s="5">
        <v>-7.3513513513513447</v>
      </c>
    </row>
    <row r="1514" spans="1:17" x14ac:dyDescent="0.2">
      <c r="A1514" s="4" t="s">
        <v>99</v>
      </c>
      <c r="B1514" s="4">
        <v>2015</v>
      </c>
      <c r="C1514" s="4" t="s">
        <v>52</v>
      </c>
      <c r="D1514" s="4">
        <v>1</v>
      </c>
      <c r="E1514" s="4">
        <v>12</v>
      </c>
      <c r="F1514" s="4">
        <v>2</v>
      </c>
      <c r="G1514" s="6" t="str">
        <f t="shared" si="54"/>
        <v>122</v>
      </c>
      <c r="H1514" s="5">
        <v>50</v>
      </c>
      <c r="I1514" s="5">
        <v>180.29</v>
      </c>
      <c r="J1514" s="5">
        <v>11315.458364220409</v>
      </c>
      <c r="K1514" s="5">
        <v>60</v>
      </c>
      <c r="L1514" s="5">
        <v>167.29</v>
      </c>
      <c r="M1514" s="5">
        <v>10499.54534222881</v>
      </c>
      <c r="N1514" s="5">
        <v>16.666666666666664</v>
      </c>
      <c r="O1514" s="5">
        <v>13</v>
      </c>
      <c r="P1514" s="5">
        <v>815.91302199159873</v>
      </c>
      <c r="Q1514" s="5">
        <v>7.7709366967541413</v>
      </c>
    </row>
    <row r="1515" spans="1:17" x14ac:dyDescent="0.2">
      <c r="A1515" s="4" t="s">
        <v>99</v>
      </c>
      <c r="B1515" s="4">
        <v>2015</v>
      </c>
      <c r="C1515" s="4" t="s">
        <v>52</v>
      </c>
      <c r="D1515" s="4">
        <v>2</v>
      </c>
      <c r="E1515" s="4">
        <v>12</v>
      </c>
      <c r="F1515" s="4">
        <v>2</v>
      </c>
      <c r="G1515" s="6" t="str">
        <f t="shared" si="54"/>
        <v>122</v>
      </c>
      <c r="H1515" s="5">
        <v>40</v>
      </c>
      <c r="I1515" s="5">
        <v>164.07</v>
      </c>
      <c r="J1515" s="5">
        <v>10297.449962935507</v>
      </c>
      <c r="K1515" s="5">
        <v>65</v>
      </c>
      <c r="L1515" s="5">
        <v>165.09</v>
      </c>
      <c r="M1515" s="5">
        <v>10361.467753891771</v>
      </c>
      <c r="N1515" s="5">
        <v>38.461538461538467</v>
      </c>
      <c r="O1515" s="5">
        <v>-1.0200000000000102</v>
      </c>
      <c r="P1515" s="5">
        <v>-64.017790956264434</v>
      </c>
      <c r="Q1515" s="5">
        <v>-0.61784481192077567</v>
      </c>
    </row>
    <row r="1516" spans="1:17" x14ac:dyDescent="0.2">
      <c r="A1516" s="4" t="s">
        <v>99</v>
      </c>
      <c r="B1516" s="4">
        <v>2015</v>
      </c>
      <c r="C1516" s="4" t="s">
        <v>52</v>
      </c>
      <c r="D1516" s="4">
        <v>3</v>
      </c>
      <c r="E1516" s="4">
        <v>12</v>
      </c>
      <c r="F1516" s="4">
        <v>2</v>
      </c>
      <c r="G1516" s="6" t="str">
        <f t="shared" si="54"/>
        <v>122</v>
      </c>
      <c r="H1516" s="5">
        <v>60</v>
      </c>
      <c r="I1516" s="5">
        <v>161.26</v>
      </c>
      <c r="J1516" s="5">
        <v>10121.087225105015</v>
      </c>
      <c r="K1516" s="5">
        <v>50</v>
      </c>
      <c r="L1516" s="5">
        <v>171.65</v>
      </c>
      <c r="M1516" s="5">
        <v>10773.190017296763</v>
      </c>
      <c r="N1516" s="5">
        <v>-20</v>
      </c>
      <c r="O1516" s="5">
        <v>-10.390000000000015</v>
      </c>
      <c r="P1516" s="5">
        <v>-652.10279219174845</v>
      </c>
      <c r="Q1516" s="5">
        <v>-6.0530148558112575</v>
      </c>
    </row>
    <row r="1517" spans="1:17" s="7" customFormat="1" x14ac:dyDescent="0.2">
      <c r="A1517" s="7" t="s">
        <v>99</v>
      </c>
      <c r="B1517" s="7">
        <v>2015</v>
      </c>
      <c r="C1517" s="7" t="s">
        <v>52</v>
      </c>
      <c r="D1517" s="7">
        <v>4</v>
      </c>
      <c r="E1517" s="7">
        <v>12</v>
      </c>
      <c r="F1517" s="7">
        <v>2</v>
      </c>
      <c r="G1517" s="6" t="str">
        <f t="shared" si="54"/>
        <v>122</v>
      </c>
      <c r="H1517" s="9">
        <v>60</v>
      </c>
      <c r="I1517" s="9">
        <v>173.12</v>
      </c>
      <c r="J1517" s="9">
        <v>10865.450951321967</v>
      </c>
      <c r="K1517" s="9">
        <v>60</v>
      </c>
      <c r="L1517" s="9">
        <v>162.11000000000001</v>
      </c>
      <c r="M1517" s="9">
        <v>10174.435384235238</v>
      </c>
      <c r="N1517" s="9">
        <v>0</v>
      </c>
      <c r="O1517" s="9">
        <v>11.009999999999991</v>
      </c>
      <c r="P1517" s="9">
        <v>691.01556708672979</v>
      </c>
      <c r="Q1517" s="9">
        <v>6.7916846585651598</v>
      </c>
    </row>
    <row r="1518" spans="1:17" x14ac:dyDescent="0.2">
      <c r="A1518" s="4" t="s">
        <v>53</v>
      </c>
      <c r="B1518" s="4">
        <v>2015</v>
      </c>
      <c r="C1518" s="4" t="s">
        <v>52</v>
      </c>
      <c r="D1518" s="4">
        <v>1</v>
      </c>
      <c r="E1518" s="4">
        <v>13</v>
      </c>
      <c r="F1518" s="4">
        <v>2</v>
      </c>
      <c r="G1518" s="6" t="str">
        <f t="shared" si="54"/>
        <v>132</v>
      </c>
      <c r="H1518" s="5">
        <v>5.2</v>
      </c>
      <c r="I1518" s="5">
        <v>164.3</v>
      </c>
      <c r="J1518" s="5">
        <v>10311.885347170744</v>
      </c>
      <c r="K1518" s="5">
        <v>1.8</v>
      </c>
      <c r="L1518" s="5">
        <v>182.2</v>
      </c>
      <c r="M1518" s="5">
        <v>11435.334815913022</v>
      </c>
      <c r="N1518" s="5">
        <v>-188.88888888888891</v>
      </c>
      <c r="O1518" s="5">
        <v>-17.899999999999977</v>
      </c>
      <c r="P1518" s="5">
        <v>-1123.4494687422775</v>
      </c>
      <c r="Q1518" s="5">
        <v>-9.8243688254665145</v>
      </c>
    </row>
    <row r="1519" spans="1:17" x14ac:dyDescent="0.2">
      <c r="A1519" s="4" t="s">
        <v>53</v>
      </c>
      <c r="B1519" s="4">
        <v>2015</v>
      </c>
      <c r="C1519" s="4" t="s">
        <v>52</v>
      </c>
      <c r="D1519" s="4">
        <v>2</v>
      </c>
      <c r="E1519" s="4">
        <v>13</v>
      </c>
      <c r="F1519" s="4">
        <v>2</v>
      </c>
      <c r="G1519" s="6" t="str">
        <f t="shared" si="54"/>
        <v>132</v>
      </c>
      <c r="H1519" s="5">
        <v>1.4</v>
      </c>
      <c r="I1519" s="5">
        <v>172.1</v>
      </c>
      <c r="J1519" s="5">
        <v>10801.433160365703</v>
      </c>
      <c r="K1519" s="5">
        <v>2</v>
      </c>
      <c r="L1519" s="5">
        <v>155.6</v>
      </c>
      <c r="M1519" s="5">
        <v>9765.8512478379034</v>
      </c>
      <c r="N1519" s="5">
        <v>30.000000000000004</v>
      </c>
      <c r="O1519" s="5">
        <v>16.5</v>
      </c>
      <c r="P1519" s="5">
        <v>1035.5819125277994</v>
      </c>
      <c r="Q1519" s="5">
        <v>10.604113110539858</v>
      </c>
    </row>
    <row r="1520" spans="1:17" x14ac:dyDescent="0.2">
      <c r="A1520" s="4" t="s">
        <v>53</v>
      </c>
      <c r="B1520" s="4">
        <v>2015</v>
      </c>
      <c r="C1520" s="4" t="s">
        <v>52</v>
      </c>
      <c r="D1520" s="4">
        <v>3</v>
      </c>
      <c r="E1520" s="4">
        <v>13</v>
      </c>
      <c r="F1520" s="4">
        <v>2</v>
      </c>
      <c r="G1520" s="6" t="str">
        <f t="shared" si="54"/>
        <v>132</v>
      </c>
      <c r="H1520" s="5">
        <v>1.6</v>
      </c>
      <c r="I1520" s="5">
        <v>149.30000000000001</v>
      </c>
      <c r="J1520" s="5">
        <v>9370.4472448727465</v>
      </c>
      <c r="K1520" s="5">
        <v>0.8</v>
      </c>
      <c r="L1520" s="5">
        <v>165.3</v>
      </c>
      <c r="M1520" s="5">
        <v>10374.647887323945</v>
      </c>
      <c r="N1520" s="5">
        <v>-100</v>
      </c>
      <c r="O1520" s="5">
        <v>-16</v>
      </c>
      <c r="P1520" s="5">
        <v>-1004.2006424511983</v>
      </c>
      <c r="Q1520" s="5">
        <v>-9.6793708408953396</v>
      </c>
    </row>
    <row r="1521" spans="1:17" x14ac:dyDescent="0.2">
      <c r="A1521" s="4" t="s">
        <v>53</v>
      </c>
      <c r="B1521" s="4">
        <v>2015</v>
      </c>
      <c r="C1521" s="4" t="s">
        <v>52</v>
      </c>
      <c r="D1521" s="4">
        <v>4</v>
      </c>
      <c r="E1521" s="4">
        <v>13</v>
      </c>
      <c r="F1521" s="4">
        <v>2</v>
      </c>
      <c r="G1521" s="6" t="str">
        <f t="shared" si="54"/>
        <v>132</v>
      </c>
      <c r="H1521" s="5">
        <v>8.6</v>
      </c>
      <c r="I1521" s="5">
        <v>188.2</v>
      </c>
      <c r="J1521" s="5">
        <v>11811.910056832221</v>
      </c>
      <c r="K1521" s="5">
        <v>4.2</v>
      </c>
      <c r="L1521" s="5">
        <v>185</v>
      </c>
      <c r="M1521" s="5">
        <v>11611.069928341982</v>
      </c>
      <c r="N1521" s="5">
        <v>-104.76190476190474</v>
      </c>
      <c r="O1521" s="5">
        <v>3.1999999999999886</v>
      </c>
      <c r="P1521" s="5">
        <v>200.84012849023929</v>
      </c>
      <c r="Q1521" s="5">
        <v>1.7297297297297263</v>
      </c>
    </row>
    <row r="1522" spans="1:17" x14ac:dyDescent="0.2">
      <c r="A1522" s="4" t="s">
        <v>99</v>
      </c>
      <c r="B1522" s="4">
        <v>2015</v>
      </c>
      <c r="C1522" s="4" t="s">
        <v>52</v>
      </c>
      <c r="D1522" s="4">
        <v>1</v>
      </c>
      <c r="E1522" s="4">
        <v>13</v>
      </c>
      <c r="F1522" s="4">
        <v>2</v>
      </c>
      <c r="G1522" s="6" t="str">
        <f t="shared" si="54"/>
        <v>132</v>
      </c>
      <c r="H1522" s="5">
        <v>60</v>
      </c>
      <c r="I1522" s="5">
        <v>158.55000000000001</v>
      </c>
      <c r="J1522" s="5">
        <v>9951.0007412898449</v>
      </c>
      <c r="K1522" s="5">
        <v>60</v>
      </c>
      <c r="L1522" s="5">
        <v>167.29</v>
      </c>
      <c r="M1522" s="5">
        <v>10499.54534222881</v>
      </c>
      <c r="N1522" s="5">
        <v>0</v>
      </c>
      <c r="O1522" s="5">
        <v>-8.7399999999999807</v>
      </c>
      <c r="P1522" s="5">
        <v>-548.54460093896523</v>
      </c>
      <c r="Q1522" s="5">
        <v>-5.2244605176639194</v>
      </c>
    </row>
    <row r="1523" spans="1:17" x14ac:dyDescent="0.2">
      <c r="A1523" s="4" t="s">
        <v>99</v>
      </c>
      <c r="B1523" s="4">
        <v>2015</v>
      </c>
      <c r="C1523" s="4" t="s">
        <v>52</v>
      </c>
      <c r="D1523" s="4">
        <v>2</v>
      </c>
      <c r="E1523" s="4">
        <v>13</v>
      </c>
      <c r="F1523" s="4">
        <v>2</v>
      </c>
      <c r="G1523" s="6" t="str">
        <f t="shared" si="54"/>
        <v>132</v>
      </c>
      <c r="H1523" s="5">
        <v>55</v>
      </c>
      <c r="I1523" s="5">
        <v>164.77</v>
      </c>
      <c r="J1523" s="5">
        <v>10341.383741042748</v>
      </c>
      <c r="K1523" s="5">
        <v>65</v>
      </c>
      <c r="L1523" s="5">
        <v>165.09</v>
      </c>
      <c r="M1523" s="5">
        <v>10361.467753891771</v>
      </c>
      <c r="N1523" s="5">
        <v>15.384615384615385</v>
      </c>
      <c r="O1523" s="5">
        <v>-0.31999999999999318</v>
      </c>
      <c r="P1523" s="5">
        <v>-20.084012849023566</v>
      </c>
      <c r="Q1523" s="5">
        <v>-0.19383366648494371</v>
      </c>
    </row>
    <row r="1524" spans="1:17" x14ac:dyDescent="0.2">
      <c r="A1524" s="4" t="s">
        <v>99</v>
      </c>
      <c r="B1524" s="4">
        <v>2015</v>
      </c>
      <c r="C1524" s="4" t="s">
        <v>52</v>
      </c>
      <c r="D1524" s="4">
        <v>3</v>
      </c>
      <c r="E1524" s="4">
        <v>13</v>
      </c>
      <c r="F1524" s="4">
        <v>2</v>
      </c>
      <c r="G1524" s="6" t="str">
        <f t="shared" si="54"/>
        <v>132</v>
      </c>
      <c r="H1524" s="5">
        <v>60</v>
      </c>
      <c r="I1524" s="5">
        <v>160.63</v>
      </c>
      <c r="J1524" s="5">
        <v>10081.5468248085</v>
      </c>
      <c r="K1524" s="5">
        <v>50</v>
      </c>
      <c r="L1524" s="5">
        <v>171.65</v>
      </c>
      <c r="M1524" s="5">
        <v>10773.190017296763</v>
      </c>
      <c r="N1524" s="5">
        <v>-20</v>
      </c>
      <c r="O1524" s="5">
        <v>-11.02000000000001</v>
      </c>
      <c r="P1524" s="5">
        <v>-691.64319248826359</v>
      </c>
      <c r="Q1524" s="5">
        <v>-6.4200407806583222</v>
      </c>
    </row>
    <row r="1525" spans="1:17" x14ac:dyDescent="0.2">
      <c r="A1525" s="4" t="s">
        <v>99</v>
      </c>
      <c r="B1525" s="4">
        <v>2015</v>
      </c>
      <c r="C1525" s="4" t="s">
        <v>52</v>
      </c>
      <c r="D1525" s="4">
        <v>4</v>
      </c>
      <c r="E1525" s="4">
        <v>13</v>
      </c>
      <c r="F1525" s="4">
        <v>2</v>
      </c>
      <c r="G1525" s="6" t="str">
        <f t="shared" si="54"/>
        <v>132</v>
      </c>
      <c r="H1525" s="5">
        <v>60</v>
      </c>
      <c r="I1525" s="5">
        <v>163.81</v>
      </c>
      <c r="J1525" s="5">
        <v>10281.131702495675</v>
      </c>
      <c r="K1525" s="5">
        <v>60</v>
      </c>
      <c r="L1525" s="5">
        <v>162.11000000000001</v>
      </c>
      <c r="M1525" s="5">
        <v>10174.435384235238</v>
      </c>
      <c r="N1525" s="5">
        <v>0</v>
      </c>
      <c r="O1525" s="5">
        <v>1.6999999999999886</v>
      </c>
      <c r="P1525" s="5">
        <v>106.69631826043769</v>
      </c>
      <c r="Q1525" s="5">
        <v>1.0486706557275711</v>
      </c>
    </row>
    <row r="1526" spans="1:17" x14ac:dyDescent="0.2">
      <c r="A1526" s="4" t="s">
        <v>53</v>
      </c>
      <c r="B1526" s="4">
        <v>2015</v>
      </c>
      <c r="C1526" s="4" t="s">
        <v>52</v>
      </c>
      <c r="D1526" s="4">
        <v>1</v>
      </c>
      <c r="E1526" s="4">
        <v>14</v>
      </c>
      <c r="F1526" s="4">
        <v>2</v>
      </c>
      <c r="G1526" s="6" t="str">
        <f t="shared" si="54"/>
        <v>142</v>
      </c>
      <c r="H1526" s="5">
        <v>2.4</v>
      </c>
      <c r="I1526" s="5" t="s">
        <v>97</v>
      </c>
      <c r="J1526" s="5" t="s">
        <v>97</v>
      </c>
      <c r="K1526" s="5">
        <v>1.8</v>
      </c>
      <c r="L1526" s="5">
        <v>182.2</v>
      </c>
      <c r="M1526" s="5">
        <v>11435.334815913022</v>
      </c>
      <c r="N1526" s="5">
        <v>-33.333333333333329</v>
      </c>
      <c r="O1526" s="5" t="s">
        <v>97</v>
      </c>
      <c r="P1526" s="5" t="s">
        <v>97</v>
      </c>
      <c r="Q1526" s="5" t="s">
        <v>97</v>
      </c>
    </row>
    <row r="1527" spans="1:17" x14ac:dyDescent="0.2">
      <c r="A1527" s="4" t="s">
        <v>53</v>
      </c>
      <c r="B1527" s="4">
        <v>2015</v>
      </c>
      <c r="C1527" s="4" t="s">
        <v>52</v>
      </c>
      <c r="D1527" s="4">
        <v>2</v>
      </c>
      <c r="E1527" s="4">
        <v>14</v>
      </c>
      <c r="F1527" s="4">
        <v>2</v>
      </c>
      <c r="G1527" s="6" t="str">
        <f t="shared" si="54"/>
        <v>142</v>
      </c>
      <c r="H1527" s="5">
        <v>3.2</v>
      </c>
      <c r="I1527" s="5">
        <v>179.9</v>
      </c>
      <c r="J1527" s="5">
        <v>11290.980973560663</v>
      </c>
      <c r="K1527" s="5">
        <v>2</v>
      </c>
      <c r="L1527" s="5">
        <v>155.6</v>
      </c>
      <c r="M1527" s="5">
        <v>9765.8512478379034</v>
      </c>
      <c r="N1527" s="5">
        <v>-60.000000000000007</v>
      </c>
      <c r="O1527" s="5">
        <v>24.300000000000011</v>
      </c>
      <c r="P1527" s="5">
        <v>1525.1297257227598</v>
      </c>
      <c r="Q1527" s="5">
        <v>15.616966580976888</v>
      </c>
    </row>
    <row r="1528" spans="1:17" x14ac:dyDescent="0.2">
      <c r="A1528" s="4" t="s">
        <v>53</v>
      </c>
      <c r="B1528" s="4">
        <v>2015</v>
      </c>
      <c r="C1528" s="4" t="s">
        <v>52</v>
      </c>
      <c r="D1528" s="4">
        <v>3</v>
      </c>
      <c r="E1528" s="4">
        <v>14</v>
      </c>
      <c r="F1528" s="4">
        <v>2</v>
      </c>
      <c r="G1528" s="6" t="str">
        <f t="shared" si="54"/>
        <v>142</v>
      </c>
      <c r="H1528" s="5">
        <v>0.2</v>
      </c>
      <c r="I1528" s="5">
        <v>167.7</v>
      </c>
      <c r="J1528" s="5">
        <v>10525.277983691623</v>
      </c>
      <c r="K1528" s="5">
        <v>0.8</v>
      </c>
      <c r="L1528" s="5">
        <v>165.3</v>
      </c>
      <c r="M1528" s="5">
        <v>10374.647887323945</v>
      </c>
      <c r="N1528" s="5">
        <v>75.000000000000014</v>
      </c>
      <c r="O1528" s="5">
        <v>2.3999999999999773</v>
      </c>
      <c r="P1528" s="5">
        <v>150.63009636767856</v>
      </c>
      <c r="Q1528" s="5">
        <v>1.4519056261342895</v>
      </c>
    </row>
    <row r="1529" spans="1:17" x14ac:dyDescent="0.2">
      <c r="A1529" s="4" t="s">
        <v>53</v>
      </c>
      <c r="B1529" s="4">
        <v>2015</v>
      </c>
      <c r="C1529" s="4" t="s">
        <v>52</v>
      </c>
      <c r="D1529" s="4">
        <v>4</v>
      </c>
      <c r="E1529" s="4">
        <v>14</v>
      </c>
      <c r="F1529" s="4">
        <v>2</v>
      </c>
      <c r="G1529" s="6" t="str">
        <f t="shared" si="54"/>
        <v>142</v>
      </c>
      <c r="H1529" s="5">
        <v>2.6</v>
      </c>
      <c r="I1529" s="5">
        <v>159.9</v>
      </c>
      <c r="J1529" s="5">
        <v>10035.730170496665</v>
      </c>
      <c r="K1529" s="5">
        <v>4.2</v>
      </c>
      <c r="L1529" s="5">
        <v>185</v>
      </c>
      <c r="M1529" s="5">
        <v>11611.069928341982</v>
      </c>
      <c r="N1529" s="5">
        <v>38.095238095238095</v>
      </c>
      <c r="O1529" s="5">
        <v>-25.099999999999994</v>
      </c>
      <c r="P1529" s="5">
        <v>-1575.3397578453169</v>
      </c>
      <c r="Q1529" s="5">
        <v>-13.567567567567561</v>
      </c>
    </row>
    <row r="1530" spans="1:17" x14ac:dyDescent="0.2">
      <c r="A1530" s="4" t="s">
        <v>99</v>
      </c>
      <c r="B1530" s="4">
        <v>2015</v>
      </c>
      <c r="C1530" s="4" t="s">
        <v>52</v>
      </c>
      <c r="D1530" s="4">
        <v>1</v>
      </c>
      <c r="E1530" s="4">
        <v>14</v>
      </c>
      <c r="F1530" s="4">
        <v>2</v>
      </c>
      <c r="G1530" s="6" t="str">
        <f t="shared" si="54"/>
        <v>142</v>
      </c>
      <c r="H1530" s="5">
        <v>40</v>
      </c>
      <c r="I1530" s="5">
        <v>172.66</v>
      </c>
      <c r="J1530" s="5">
        <v>10836.580182851494</v>
      </c>
      <c r="K1530" s="5">
        <v>60</v>
      </c>
      <c r="L1530" s="5">
        <v>167.29</v>
      </c>
      <c r="M1530" s="5">
        <v>10499.54534222881</v>
      </c>
      <c r="N1530" s="5">
        <v>33.333333333333329</v>
      </c>
      <c r="O1530" s="5">
        <v>5.3700000000000045</v>
      </c>
      <c r="P1530" s="5">
        <v>337.03484062268399</v>
      </c>
      <c r="Q1530" s="5">
        <v>3.2099946201207534</v>
      </c>
    </row>
    <row r="1531" spans="1:17" x14ac:dyDescent="0.2">
      <c r="A1531" s="4" t="s">
        <v>99</v>
      </c>
      <c r="B1531" s="4">
        <v>2015</v>
      </c>
      <c r="C1531" s="4" t="s">
        <v>52</v>
      </c>
      <c r="D1531" s="4">
        <v>2</v>
      </c>
      <c r="E1531" s="4">
        <v>14</v>
      </c>
      <c r="F1531" s="4">
        <v>2</v>
      </c>
      <c r="G1531" s="6" t="str">
        <f t="shared" si="54"/>
        <v>142</v>
      </c>
      <c r="H1531" s="5">
        <v>60</v>
      </c>
      <c r="I1531" s="5">
        <v>158.53</v>
      </c>
      <c r="J1531" s="5">
        <v>9949.7454904867809</v>
      </c>
      <c r="K1531" s="5">
        <v>65</v>
      </c>
      <c r="L1531" s="5">
        <v>165.09</v>
      </c>
      <c r="M1531" s="5">
        <v>10361.467753891771</v>
      </c>
      <c r="N1531" s="5">
        <v>7.6923076923076925</v>
      </c>
      <c r="O1531" s="5">
        <v>-6.5600000000000023</v>
      </c>
      <c r="P1531" s="5">
        <v>-411.72226340499037</v>
      </c>
      <c r="Q1531" s="5">
        <v>-3.9735901629414165</v>
      </c>
    </row>
    <row r="1532" spans="1:17" x14ac:dyDescent="0.2">
      <c r="A1532" s="4" t="s">
        <v>99</v>
      </c>
      <c r="B1532" s="4">
        <v>2015</v>
      </c>
      <c r="C1532" s="4" t="s">
        <v>52</v>
      </c>
      <c r="D1532" s="4">
        <v>3</v>
      </c>
      <c r="E1532" s="4">
        <v>14</v>
      </c>
      <c r="F1532" s="4">
        <v>2</v>
      </c>
      <c r="G1532" s="6" t="str">
        <f t="shared" si="54"/>
        <v>142</v>
      </c>
      <c r="H1532" s="5">
        <v>55</v>
      </c>
      <c r="I1532" s="5">
        <v>173.97</v>
      </c>
      <c r="J1532" s="5">
        <v>10918.799110452186</v>
      </c>
      <c r="K1532" s="5">
        <v>50</v>
      </c>
      <c r="L1532" s="5">
        <v>171.65</v>
      </c>
      <c r="M1532" s="5">
        <v>10773.190017296763</v>
      </c>
      <c r="N1532" s="5">
        <v>-10</v>
      </c>
      <c r="O1532" s="5">
        <v>2.3199999999999932</v>
      </c>
      <c r="P1532" s="5">
        <v>145.60909315542267</v>
      </c>
      <c r="Q1532" s="5">
        <v>1.3515875327701616</v>
      </c>
    </row>
    <row r="1533" spans="1:17" x14ac:dyDescent="0.2">
      <c r="A1533" s="4" t="s">
        <v>99</v>
      </c>
      <c r="B1533" s="4">
        <v>2015</v>
      </c>
      <c r="C1533" s="4" t="s">
        <v>52</v>
      </c>
      <c r="D1533" s="4">
        <v>4</v>
      </c>
      <c r="E1533" s="4">
        <v>14</v>
      </c>
      <c r="F1533" s="4">
        <v>2</v>
      </c>
      <c r="G1533" s="6" t="str">
        <f t="shared" si="54"/>
        <v>142</v>
      </c>
      <c r="H1533" s="5">
        <v>60</v>
      </c>
      <c r="I1533" s="5">
        <v>167.44</v>
      </c>
      <c r="J1533" s="5">
        <v>10508.959723251792</v>
      </c>
      <c r="K1533" s="5">
        <v>60</v>
      </c>
      <c r="L1533" s="5">
        <v>162.11000000000001</v>
      </c>
      <c r="M1533" s="5">
        <v>10174.435384235238</v>
      </c>
      <c r="N1533" s="5">
        <v>0</v>
      </c>
      <c r="O1533" s="5">
        <v>5.3299999999999841</v>
      </c>
      <c r="P1533" s="5">
        <v>334.52433901655422</v>
      </c>
      <c r="Q1533" s="5">
        <v>3.2878909382517918</v>
      </c>
    </row>
    <row r="1534" spans="1:17" x14ac:dyDescent="0.2">
      <c r="A1534" s="4" t="s">
        <v>99</v>
      </c>
      <c r="B1534" s="4">
        <v>2015</v>
      </c>
      <c r="C1534" s="4" t="s">
        <v>52</v>
      </c>
      <c r="D1534" s="4">
        <v>1</v>
      </c>
      <c r="E1534" s="4">
        <v>15</v>
      </c>
      <c r="F1534" s="4">
        <v>3</v>
      </c>
      <c r="G1534" s="6" t="str">
        <f t="shared" si="54"/>
        <v>153</v>
      </c>
      <c r="H1534" s="5">
        <v>50</v>
      </c>
      <c r="I1534" s="5">
        <v>157.07</v>
      </c>
      <c r="J1534" s="5">
        <v>9858.1121818631073</v>
      </c>
      <c r="K1534" s="5">
        <v>60</v>
      </c>
      <c r="L1534" s="5">
        <v>167.29</v>
      </c>
      <c r="M1534" s="5">
        <v>10499.54534222881</v>
      </c>
      <c r="N1534" s="5">
        <v>16.666666666666664</v>
      </c>
      <c r="O1534" s="5">
        <v>-10.219999999999999</v>
      </c>
      <c r="P1534" s="5">
        <v>-641.43316036570286</v>
      </c>
      <c r="Q1534" s="5">
        <v>-6.1091517723713311</v>
      </c>
    </row>
    <row r="1535" spans="1:17" x14ac:dyDescent="0.2">
      <c r="A1535" s="4" t="s">
        <v>99</v>
      </c>
      <c r="B1535" s="4">
        <v>2015</v>
      </c>
      <c r="C1535" s="4" t="s">
        <v>52</v>
      </c>
      <c r="D1535" s="4">
        <v>2</v>
      </c>
      <c r="E1535" s="4">
        <v>15</v>
      </c>
      <c r="F1535" s="4">
        <v>3</v>
      </c>
      <c r="G1535" s="6" t="str">
        <f t="shared" si="54"/>
        <v>153</v>
      </c>
      <c r="H1535" s="5">
        <v>50</v>
      </c>
      <c r="I1535" s="5">
        <v>166.43</v>
      </c>
      <c r="J1535" s="5">
        <v>10445.569557697059</v>
      </c>
      <c r="K1535" s="5">
        <v>65</v>
      </c>
      <c r="L1535" s="5">
        <v>165.09</v>
      </c>
      <c r="M1535" s="5">
        <v>10361.467753891771</v>
      </c>
      <c r="N1535" s="5">
        <v>23.076923076923077</v>
      </c>
      <c r="O1535" s="5">
        <v>1.3400000000000034</v>
      </c>
      <c r="P1535" s="5">
        <v>84.101803805288</v>
      </c>
      <c r="Q1535" s="5">
        <v>0.81167847840571938</v>
      </c>
    </row>
    <row r="1536" spans="1:17" x14ac:dyDescent="0.2">
      <c r="A1536" s="4" t="s">
        <v>99</v>
      </c>
      <c r="B1536" s="4">
        <v>2015</v>
      </c>
      <c r="C1536" s="4" t="s">
        <v>52</v>
      </c>
      <c r="D1536" s="4">
        <v>3</v>
      </c>
      <c r="E1536" s="4">
        <v>15</v>
      </c>
      <c r="F1536" s="4">
        <v>3</v>
      </c>
      <c r="G1536" s="6" t="str">
        <f t="shared" si="54"/>
        <v>153</v>
      </c>
      <c r="H1536" s="5">
        <v>50</v>
      </c>
      <c r="I1536" s="5">
        <v>178.75</v>
      </c>
      <c r="J1536" s="5">
        <v>11218.804052384483</v>
      </c>
      <c r="K1536" s="5">
        <v>50</v>
      </c>
      <c r="L1536" s="5">
        <v>171.65</v>
      </c>
      <c r="M1536" s="5">
        <v>10773.190017296763</v>
      </c>
      <c r="N1536" s="5">
        <v>0</v>
      </c>
      <c r="O1536" s="5">
        <v>7.0999999999999943</v>
      </c>
      <c r="P1536" s="5">
        <v>445.61403508771946</v>
      </c>
      <c r="Q1536" s="5">
        <v>4.1363239149431994</v>
      </c>
    </row>
    <row r="1537" spans="1:17" x14ac:dyDescent="0.2">
      <c r="A1537" s="4" t="s">
        <v>99</v>
      </c>
      <c r="B1537" s="4">
        <v>2015</v>
      </c>
      <c r="C1537" s="4" t="s">
        <v>52</v>
      </c>
      <c r="D1537" s="4">
        <v>4</v>
      </c>
      <c r="E1537" s="4">
        <v>15</v>
      </c>
      <c r="F1537" s="4">
        <v>3</v>
      </c>
      <c r="G1537" s="6" t="str">
        <f t="shared" si="54"/>
        <v>153</v>
      </c>
      <c r="H1537" s="5">
        <v>50</v>
      </c>
      <c r="I1537" s="5">
        <v>173.21</v>
      </c>
      <c r="J1537" s="5">
        <v>10871.099579935755</v>
      </c>
      <c r="K1537" s="5">
        <v>60</v>
      </c>
      <c r="L1537" s="5">
        <v>162.11000000000001</v>
      </c>
      <c r="M1537" s="5">
        <v>10174.435384235238</v>
      </c>
      <c r="N1537" s="5">
        <v>16.666666666666664</v>
      </c>
      <c r="O1537" s="5">
        <v>11.099999999999994</v>
      </c>
      <c r="P1537" s="5">
        <v>696.66419570051767</v>
      </c>
      <c r="Q1537" s="5">
        <v>6.8472025168095598</v>
      </c>
    </row>
    <row r="1538" spans="1:17" x14ac:dyDescent="0.2">
      <c r="A1538" s="4" t="s">
        <v>99</v>
      </c>
      <c r="B1538" s="4">
        <v>2015</v>
      </c>
      <c r="C1538" s="4" t="s">
        <v>52</v>
      </c>
      <c r="D1538" s="4">
        <v>1</v>
      </c>
      <c r="E1538" s="4">
        <v>16</v>
      </c>
      <c r="F1538" s="4">
        <v>3</v>
      </c>
      <c r="G1538" s="6" t="str">
        <f t="shared" ref="G1538:G1601" si="55">E1538&amp;F1538</f>
        <v>163</v>
      </c>
      <c r="H1538" s="5">
        <v>55</v>
      </c>
      <c r="I1538" s="5">
        <v>157.37</v>
      </c>
      <c r="J1538" s="5">
        <v>9876.9409439090687</v>
      </c>
      <c r="K1538" s="5">
        <v>60</v>
      </c>
      <c r="L1538" s="5">
        <v>167.29</v>
      </c>
      <c r="M1538" s="5">
        <v>10499.54534222881</v>
      </c>
      <c r="N1538" s="5">
        <v>8.3333333333333321</v>
      </c>
      <c r="O1538" s="5">
        <v>-9.9199999999999875</v>
      </c>
      <c r="P1538" s="5">
        <v>-622.60439831974145</v>
      </c>
      <c r="Q1538" s="5">
        <v>-5.9298224639846833</v>
      </c>
    </row>
    <row r="1539" spans="1:17" x14ac:dyDescent="0.2">
      <c r="A1539" s="4" t="s">
        <v>99</v>
      </c>
      <c r="B1539" s="4">
        <v>2015</v>
      </c>
      <c r="C1539" s="4" t="s">
        <v>52</v>
      </c>
      <c r="D1539" s="4">
        <v>2</v>
      </c>
      <c r="E1539" s="4">
        <v>16</v>
      </c>
      <c r="F1539" s="4">
        <v>3</v>
      </c>
      <c r="G1539" s="6" t="str">
        <f t="shared" si="55"/>
        <v>163</v>
      </c>
      <c r="H1539" s="5">
        <v>65</v>
      </c>
      <c r="I1539" s="5">
        <v>163.9</v>
      </c>
      <c r="J1539" s="5">
        <v>10286.780331109465</v>
      </c>
      <c r="K1539" s="5">
        <v>65</v>
      </c>
      <c r="L1539" s="5">
        <v>165.09</v>
      </c>
      <c r="M1539" s="5">
        <v>10361.467753891771</v>
      </c>
      <c r="N1539" s="5">
        <v>0</v>
      </c>
      <c r="O1539" s="5">
        <v>-1.1899999999999977</v>
      </c>
      <c r="P1539" s="5">
        <v>-74.687422782306385</v>
      </c>
      <c r="Q1539" s="5">
        <v>-0.72081894724088447</v>
      </c>
    </row>
    <row r="1540" spans="1:17" x14ac:dyDescent="0.2">
      <c r="A1540" s="4" t="s">
        <v>99</v>
      </c>
      <c r="B1540" s="4">
        <v>2015</v>
      </c>
      <c r="C1540" s="4" t="s">
        <v>52</v>
      </c>
      <c r="D1540" s="4">
        <v>3</v>
      </c>
      <c r="E1540" s="4">
        <v>16</v>
      </c>
      <c r="F1540" s="4">
        <v>3</v>
      </c>
      <c r="G1540" s="6" t="str">
        <f t="shared" si="55"/>
        <v>163</v>
      </c>
      <c r="H1540" s="5">
        <v>60</v>
      </c>
      <c r="I1540" s="5">
        <v>177.73</v>
      </c>
      <c r="J1540" s="5">
        <v>11154.786261428218</v>
      </c>
      <c r="K1540" s="5">
        <v>50</v>
      </c>
      <c r="L1540" s="5">
        <v>171.65</v>
      </c>
      <c r="M1540" s="5">
        <v>10773.190017296763</v>
      </c>
      <c r="N1540" s="5">
        <v>-20</v>
      </c>
      <c r="O1540" s="5">
        <v>6.0799999999999841</v>
      </c>
      <c r="P1540" s="5">
        <v>381.59624413145502</v>
      </c>
      <c r="Q1540" s="5">
        <v>3.5420914651907913</v>
      </c>
    </row>
    <row r="1541" spans="1:17" x14ac:dyDescent="0.2">
      <c r="A1541" s="4" t="s">
        <v>99</v>
      </c>
      <c r="B1541" s="4">
        <v>2015</v>
      </c>
      <c r="C1541" s="4" t="s">
        <v>52</v>
      </c>
      <c r="D1541" s="4">
        <v>4</v>
      </c>
      <c r="E1541" s="4">
        <v>16</v>
      </c>
      <c r="F1541" s="4">
        <v>3</v>
      </c>
      <c r="G1541" s="6" t="str">
        <f t="shared" si="55"/>
        <v>163</v>
      </c>
      <c r="H1541" s="5">
        <v>50</v>
      </c>
      <c r="I1541" s="5">
        <v>175.87</v>
      </c>
      <c r="J1541" s="5">
        <v>11038.047936743267</v>
      </c>
      <c r="K1541" s="5">
        <v>60</v>
      </c>
      <c r="L1541" s="5">
        <v>162.11000000000001</v>
      </c>
      <c r="M1541" s="5">
        <v>10174.435384235238</v>
      </c>
      <c r="N1541" s="5">
        <v>16.666666666666664</v>
      </c>
      <c r="O1541" s="5">
        <v>13.759999999999991</v>
      </c>
      <c r="P1541" s="5">
        <v>863.61255250802969</v>
      </c>
      <c r="Q1541" s="5">
        <v>8.4880636604774438</v>
      </c>
    </row>
    <row r="1542" spans="1:17" x14ac:dyDescent="0.2">
      <c r="A1542" s="4" t="s">
        <v>99</v>
      </c>
      <c r="B1542" s="4">
        <v>2015</v>
      </c>
      <c r="C1542" s="4" t="s">
        <v>52</v>
      </c>
      <c r="D1542" s="4">
        <v>1</v>
      </c>
      <c r="E1542" s="4">
        <v>17</v>
      </c>
      <c r="F1542" s="4">
        <v>3</v>
      </c>
      <c r="G1542" s="6" t="str">
        <f t="shared" si="55"/>
        <v>173</v>
      </c>
      <c r="H1542" s="5">
        <v>55</v>
      </c>
      <c r="I1542" s="5">
        <v>165.27</v>
      </c>
      <c r="J1542" s="5">
        <v>10372.765011119349</v>
      </c>
      <c r="K1542" s="5">
        <v>60</v>
      </c>
      <c r="L1542" s="5">
        <v>167.29</v>
      </c>
      <c r="M1542" s="5">
        <v>10499.54534222881</v>
      </c>
      <c r="N1542" s="5">
        <v>8.3333333333333321</v>
      </c>
      <c r="O1542" s="5">
        <v>-2.0199999999999818</v>
      </c>
      <c r="P1542" s="5">
        <v>-126.78033110946126</v>
      </c>
      <c r="Q1542" s="5">
        <v>-1.2074840098033115</v>
      </c>
    </row>
    <row r="1543" spans="1:17" x14ac:dyDescent="0.2">
      <c r="A1543" s="4" t="s">
        <v>99</v>
      </c>
      <c r="B1543" s="4">
        <v>2015</v>
      </c>
      <c r="C1543" s="4" t="s">
        <v>52</v>
      </c>
      <c r="D1543" s="4">
        <v>2</v>
      </c>
      <c r="E1543" s="4">
        <v>17</v>
      </c>
      <c r="F1543" s="4">
        <v>3</v>
      </c>
      <c r="G1543" s="6" t="str">
        <f t="shared" si="55"/>
        <v>173</v>
      </c>
      <c r="H1543" s="5">
        <v>55</v>
      </c>
      <c r="I1543" s="5">
        <v>166.84</v>
      </c>
      <c r="J1543" s="5">
        <v>10471.302199159871</v>
      </c>
      <c r="K1543" s="5">
        <v>65</v>
      </c>
      <c r="L1543" s="5">
        <v>165.09</v>
      </c>
      <c r="M1543" s="5">
        <v>10361.467753891771</v>
      </c>
      <c r="N1543" s="5">
        <v>15.384615384615385</v>
      </c>
      <c r="O1543" s="5">
        <v>1.75</v>
      </c>
      <c r="P1543" s="5">
        <v>109.83444526809944</v>
      </c>
      <c r="Q1543" s="5">
        <v>1.0600278635895535</v>
      </c>
    </row>
    <row r="1544" spans="1:17" x14ac:dyDescent="0.2">
      <c r="A1544" s="4" t="s">
        <v>99</v>
      </c>
      <c r="B1544" s="4">
        <v>2015</v>
      </c>
      <c r="C1544" s="4" t="s">
        <v>52</v>
      </c>
      <c r="D1544" s="4">
        <v>3</v>
      </c>
      <c r="E1544" s="4">
        <v>17</v>
      </c>
      <c r="F1544" s="4">
        <v>3</v>
      </c>
      <c r="G1544" s="6" t="str">
        <f t="shared" si="55"/>
        <v>173</v>
      </c>
      <c r="H1544" s="5">
        <v>50</v>
      </c>
      <c r="I1544" s="5">
        <v>175.66</v>
      </c>
      <c r="J1544" s="5">
        <v>11024.867803311094</v>
      </c>
      <c r="K1544" s="5">
        <v>50</v>
      </c>
      <c r="L1544" s="5">
        <v>171.65</v>
      </c>
      <c r="M1544" s="5">
        <v>10773.190017296763</v>
      </c>
      <c r="N1544" s="5">
        <v>0</v>
      </c>
      <c r="O1544" s="5">
        <v>4.0099999999999909</v>
      </c>
      <c r="P1544" s="5">
        <v>251.6777860143302</v>
      </c>
      <c r="Q1544" s="5">
        <v>2.3361491406932577</v>
      </c>
    </row>
    <row r="1545" spans="1:17" x14ac:dyDescent="0.2">
      <c r="A1545" s="4" t="s">
        <v>99</v>
      </c>
      <c r="B1545" s="4">
        <v>2015</v>
      </c>
      <c r="C1545" s="4" t="s">
        <v>52</v>
      </c>
      <c r="D1545" s="4">
        <v>4</v>
      </c>
      <c r="E1545" s="4">
        <v>17</v>
      </c>
      <c r="F1545" s="4">
        <v>3</v>
      </c>
      <c r="G1545" s="6" t="str">
        <f t="shared" si="55"/>
        <v>173</v>
      </c>
      <c r="H1545" s="5">
        <v>55</v>
      </c>
      <c r="I1545" s="5">
        <v>165.03</v>
      </c>
      <c r="J1545" s="5">
        <v>10357.702001482579</v>
      </c>
      <c r="K1545" s="5">
        <v>60</v>
      </c>
      <c r="L1545" s="5">
        <v>162.11000000000001</v>
      </c>
      <c r="M1545" s="5">
        <v>10174.435384235238</v>
      </c>
      <c r="N1545" s="5">
        <v>8.3333333333333321</v>
      </c>
      <c r="O1545" s="5">
        <v>2.9199999999999875</v>
      </c>
      <c r="P1545" s="5">
        <v>183.26661724734186</v>
      </c>
      <c r="Q1545" s="5">
        <v>1.8012460674850226</v>
      </c>
    </row>
    <row r="1546" spans="1:17" x14ac:dyDescent="0.2">
      <c r="A1546" s="4" t="s">
        <v>99</v>
      </c>
      <c r="B1546" s="4">
        <v>2015</v>
      </c>
      <c r="C1546" s="4" t="s">
        <v>52</v>
      </c>
      <c r="D1546" s="4">
        <v>1</v>
      </c>
      <c r="E1546" s="4">
        <v>18</v>
      </c>
      <c r="F1546" s="4">
        <v>3</v>
      </c>
      <c r="G1546" s="6" t="str">
        <f t="shared" si="55"/>
        <v>183</v>
      </c>
      <c r="H1546" s="5">
        <v>60</v>
      </c>
      <c r="I1546" s="5">
        <v>156.02000000000001</v>
      </c>
      <c r="J1546" s="5">
        <v>9792.2115147022487</v>
      </c>
      <c r="K1546" s="5">
        <v>60</v>
      </c>
      <c r="L1546" s="5">
        <v>167.29</v>
      </c>
      <c r="M1546" s="5">
        <v>10499.54534222881</v>
      </c>
      <c r="N1546" s="5">
        <v>0</v>
      </c>
      <c r="O1546" s="5">
        <v>-11.269999999999982</v>
      </c>
      <c r="P1546" s="5">
        <v>-707.33382752656144</v>
      </c>
      <c r="Q1546" s="5">
        <v>-6.7368043517245377</v>
      </c>
    </row>
    <row r="1547" spans="1:17" x14ac:dyDescent="0.2">
      <c r="A1547" s="4" t="s">
        <v>99</v>
      </c>
      <c r="B1547" s="4">
        <v>2015</v>
      </c>
      <c r="C1547" s="4" t="s">
        <v>52</v>
      </c>
      <c r="D1547" s="4">
        <v>2</v>
      </c>
      <c r="E1547" s="4">
        <v>18</v>
      </c>
      <c r="F1547" s="4">
        <v>3</v>
      </c>
      <c r="G1547" s="6" t="str">
        <f t="shared" si="55"/>
        <v>183</v>
      </c>
      <c r="H1547" s="5">
        <v>45</v>
      </c>
      <c r="I1547" s="5">
        <v>163.36000000000001</v>
      </c>
      <c r="J1547" s="5">
        <v>10252.888559426736</v>
      </c>
      <c r="K1547" s="5">
        <v>65</v>
      </c>
      <c r="L1547" s="5">
        <v>165.09</v>
      </c>
      <c r="M1547" s="5">
        <v>10361.467753891771</v>
      </c>
      <c r="N1547" s="5">
        <v>30.76923076923077</v>
      </c>
      <c r="O1547" s="5">
        <v>-1.7299999999999898</v>
      </c>
      <c r="P1547" s="5">
        <v>-108.57919446503547</v>
      </c>
      <c r="Q1547" s="5">
        <v>-1.0479132594342446</v>
      </c>
    </row>
    <row r="1548" spans="1:17" x14ac:dyDescent="0.2">
      <c r="A1548" s="4" t="s">
        <v>99</v>
      </c>
      <c r="B1548" s="4">
        <v>2015</v>
      </c>
      <c r="C1548" s="4" t="s">
        <v>52</v>
      </c>
      <c r="D1548" s="4">
        <v>3</v>
      </c>
      <c r="E1548" s="4">
        <v>18</v>
      </c>
      <c r="F1548" s="4">
        <v>3</v>
      </c>
      <c r="G1548" s="6" t="str">
        <f t="shared" si="55"/>
        <v>183</v>
      </c>
      <c r="H1548" s="5">
        <v>45</v>
      </c>
      <c r="I1548" s="5">
        <v>178.81</v>
      </c>
      <c r="J1548" s="5">
        <v>11222.569804793675</v>
      </c>
      <c r="K1548" s="5">
        <v>50</v>
      </c>
      <c r="L1548" s="5">
        <v>171.65</v>
      </c>
      <c r="M1548" s="5">
        <v>10773.190017296763</v>
      </c>
      <c r="N1548" s="5">
        <v>10</v>
      </c>
      <c r="O1548" s="5">
        <v>7.1599999999999966</v>
      </c>
      <c r="P1548" s="5">
        <v>449.37978749691138</v>
      </c>
      <c r="Q1548" s="5">
        <v>4.1712787649286343</v>
      </c>
    </row>
    <row r="1549" spans="1:17" x14ac:dyDescent="0.2">
      <c r="A1549" s="4" t="s">
        <v>99</v>
      </c>
      <c r="B1549" s="4">
        <v>2015</v>
      </c>
      <c r="C1549" s="4" t="s">
        <v>52</v>
      </c>
      <c r="D1549" s="4">
        <v>4</v>
      </c>
      <c r="E1549" s="4">
        <v>18</v>
      </c>
      <c r="F1549" s="4">
        <v>3</v>
      </c>
      <c r="G1549" s="6" t="str">
        <f t="shared" si="55"/>
        <v>183</v>
      </c>
      <c r="H1549" s="5">
        <v>65</v>
      </c>
      <c r="I1549" s="5">
        <v>168.53</v>
      </c>
      <c r="J1549" s="5">
        <v>10577.37089201878</v>
      </c>
      <c r="K1549" s="5">
        <v>60</v>
      </c>
      <c r="L1549" s="5">
        <v>162.11000000000001</v>
      </c>
      <c r="M1549" s="5">
        <v>10174.435384235238</v>
      </c>
      <c r="N1549" s="5">
        <v>-8.3333333333333321</v>
      </c>
      <c r="O1549" s="5">
        <v>6.4199999999999875</v>
      </c>
      <c r="P1549" s="5">
        <v>402.93550778354256</v>
      </c>
      <c r="Q1549" s="5">
        <v>3.9602738881006641</v>
      </c>
    </row>
    <row r="1550" spans="1:17" x14ac:dyDescent="0.2">
      <c r="A1550" s="4" t="s">
        <v>99</v>
      </c>
      <c r="B1550" s="4">
        <v>2015</v>
      </c>
      <c r="C1550" s="4" t="s">
        <v>52</v>
      </c>
      <c r="D1550" s="4">
        <v>1</v>
      </c>
      <c r="E1550" s="4">
        <v>19</v>
      </c>
      <c r="F1550" s="4">
        <v>3</v>
      </c>
      <c r="G1550" s="6" t="str">
        <f t="shared" si="55"/>
        <v>193</v>
      </c>
      <c r="H1550" s="5">
        <v>50</v>
      </c>
      <c r="I1550" s="5">
        <v>174.17</v>
      </c>
      <c r="J1550" s="5">
        <v>10931.351618482826</v>
      </c>
      <c r="K1550" s="5">
        <v>60</v>
      </c>
      <c r="L1550" s="5">
        <v>167.29</v>
      </c>
      <c r="M1550" s="5">
        <v>10499.54534222881</v>
      </c>
      <c r="N1550" s="5">
        <v>16.666666666666664</v>
      </c>
      <c r="O1550" s="5">
        <v>6.8799999999999955</v>
      </c>
      <c r="P1550" s="5">
        <v>431.80627625401576</v>
      </c>
      <c r="Q1550" s="5">
        <v>4.1126188056668109</v>
      </c>
    </row>
    <row r="1551" spans="1:17" x14ac:dyDescent="0.2">
      <c r="A1551" s="4" t="s">
        <v>99</v>
      </c>
      <c r="B1551" s="4">
        <v>2015</v>
      </c>
      <c r="C1551" s="4" t="s">
        <v>52</v>
      </c>
      <c r="D1551" s="4">
        <v>2</v>
      </c>
      <c r="E1551" s="4">
        <v>19</v>
      </c>
      <c r="F1551" s="4">
        <v>3</v>
      </c>
      <c r="G1551" s="6" t="str">
        <f t="shared" si="55"/>
        <v>193</v>
      </c>
      <c r="H1551" s="5">
        <v>55</v>
      </c>
      <c r="I1551" s="5">
        <v>169.16</v>
      </c>
      <c r="J1551" s="5">
        <v>10616.911292315295</v>
      </c>
      <c r="K1551" s="5">
        <v>65</v>
      </c>
      <c r="L1551" s="5">
        <v>165.09</v>
      </c>
      <c r="M1551" s="5">
        <v>10361.467753891771</v>
      </c>
      <c r="N1551" s="5">
        <v>15.384615384615385</v>
      </c>
      <c r="O1551" s="5">
        <v>4.0699999999999932</v>
      </c>
      <c r="P1551" s="5">
        <v>255.44353842352393</v>
      </c>
      <c r="Q1551" s="5">
        <v>2.4653219456054307</v>
      </c>
    </row>
    <row r="1552" spans="1:17" x14ac:dyDescent="0.2">
      <c r="A1552" s="4" t="s">
        <v>99</v>
      </c>
      <c r="B1552" s="4">
        <v>2015</v>
      </c>
      <c r="C1552" s="4" t="s">
        <v>52</v>
      </c>
      <c r="D1552" s="4">
        <v>3</v>
      </c>
      <c r="E1552" s="4">
        <v>19</v>
      </c>
      <c r="F1552" s="4">
        <v>3</v>
      </c>
      <c r="G1552" s="6" t="str">
        <f t="shared" si="55"/>
        <v>193</v>
      </c>
      <c r="H1552" s="5">
        <v>55</v>
      </c>
      <c r="I1552" s="5">
        <v>177.46</v>
      </c>
      <c r="J1552" s="5">
        <v>11137.840375586855</v>
      </c>
      <c r="K1552" s="5">
        <v>50</v>
      </c>
      <c r="L1552" s="5">
        <v>171.65</v>
      </c>
      <c r="M1552" s="5">
        <v>10773.190017296763</v>
      </c>
      <c r="N1552" s="5">
        <v>-10</v>
      </c>
      <c r="O1552" s="5">
        <v>5.8100000000000023</v>
      </c>
      <c r="P1552" s="5">
        <v>364.65035829009139</v>
      </c>
      <c r="Q1552" s="5">
        <v>3.3847946402563349</v>
      </c>
    </row>
    <row r="1553" spans="1:17" x14ac:dyDescent="0.2">
      <c r="A1553" s="4" t="s">
        <v>99</v>
      </c>
      <c r="B1553" s="4">
        <v>2015</v>
      </c>
      <c r="C1553" s="4" t="s">
        <v>52</v>
      </c>
      <c r="D1553" s="4">
        <v>4</v>
      </c>
      <c r="E1553" s="4">
        <v>19</v>
      </c>
      <c r="F1553" s="4">
        <v>3</v>
      </c>
      <c r="G1553" s="6" t="str">
        <f t="shared" si="55"/>
        <v>193</v>
      </c>
      <c r="H1553" s="5">
        <v>55</v>
      </c>
      <c r="I1553" s="5">
        <v>166.05</v>
      </c>
      <c r="J1553" s="5">
        <v>10421.719792438844</v>
      </c>
      <c r="K1553" s="5">
        <v>60</v>
      </c>
      <c r="L1553" s="5">
        <v>162.11000000000001</v>
      </c>
      <c r="M1553" s="5">
        <v>10174.435384235238</v>
      </c>
      <c r="N1553" s="5">
        <v>8.3333333333333321</v>
      </c>
      <c r="O1553" s="5">
        <v>3.9399999999999977</v>
      </c>
      <c r="P1553" s="5">
        <v>247.28440820360629</v>
      </c>
      <c r="Q1553" s="5">
        <v>2.4304484609215833</v>
      </c>
    </row>
    <row r="1554" spans="1:17" x14ac:dyDescent="0.2">
      <c r="A1554" s="4" t="s">
        <v>57</v>
      </c>
      <c r="B1554" s="4">
        <v>2015</v>
      </c>
      <c r="C1554" s="4" t="s">
        <v>56</v>
      </c>
      <c r="D1554" s="4">
        <v>1</v>
      </c>
      <c r="E1554" s="4">
        <v>1</v>
      </c>
      <c r="F1554" s="11">
        <v>0</v>
      </c>
      <c r="G1554" s="6" t="str">
        <f t="shared" si="55"/>
        <v>10</v>
      </c>
      <c r="H1554" s="5">
        <v>4.5999999999999996</v>
      </c>
      <c r="I1554" s="5">
        <v>174.71198647506341</v>
      </c>
      <c r="J1554" s="5">
        <v>10965.368066386485</v>
      </c>
      <c r="K1554" s="5">
        <v>4.5999999999999996</v>
      </c>
      <c r="L1554" s="5">
        <v>174.71198647506341</v>
      </c>
      <c r="M1554" s="5">
        <v>10965.368066386485</v>
      </c>
      <c r="N1554" s="5">
        <v>0</v>
      </c>
      <c r="O1554" s="5">
        <v>0</v>
      </c>
      <c r="P1554" s="5">
        <v>0</v>
      </c>
      <c r="Q1554" s="5">
        <v>0</v>
      </c>
    </row>
    <row r="1555" spans="1:17" x14ac:dyDescent="0.2">
      <c r="A1555" s="4" t="s">
        <v>57</v>
      </c>
      <c r="B1555" s="4">
        <v>2015</v>
      </c>
      <c r="C1555" s="4" t="s">
        <v>56</v>
      </c>
      <c r="D1555" s="4">
        <v>2</v>
      </c>
      <c r="E1555" s="4">
        <v>1</v>
      </c>
      <c r="F1555" s="11">
        <v>0</v>
      </c>
      <c r="G1555" s="6" t="str">
        <f t="shared" si="55"/>
        <v>10</v>
      </c>
      <c r="H1555" s="5">
        <v>8.1111111111111107</v>
      </c>
      <c r="I1555" s="5">
        <v>145.96432797971258</v>
      </c>
      <c r="J1555" s="5">
        <v>9161.0919957615497</v>
      </c>
      <c r="K1555" s="5">
        <v>8.1111111111111107</v>
      </c>
      <c r="L1555" s="5">
        <v>145.96432797971258</v>
      </c>
      <c r="M1555" s="5">
        <v>9161.0919957615497</v>
      </c>
      <c r="N1555" s="5">
        <v>0</v>
      </c>
      <c r="O1555" s="5">
        <v>0</v>
      </c>
      <c r="P1555" s="5">
        <v>0</v>
      </c>
      <c r="Q1555" s="5">
        <v>0</v>
      </c>
    </row>
    <row r="1556" spans="1:17" x14ac:dyDescent="0.2">
      <c r="A1556" s="4" t="s">
        <v>57</v>
      </c>
      <c r="B1556" s="4">
        <v>2015</v>
      </c>
      <c r="C1556" s="4" t="s">
        <v>56</v>
      </c>
      <c r="D1556" s="4">
        <v>3</v>
      </c>
      <c r="E1556" s="4">
        <v>1</v>
      </c>
      <c r="F1556" s="11">
        <v>0</v>
      </c>
      <c r="G1556" s="6" t="str">
        <f t="shared" si="55"/>
        <v>10</v>
      </c>
      <c r="H1556" s="5">
        <v>17.142857142857142</v>
      </c>
      <c r="I1556" s="5">
        <v>146.96520710059173</v>
      </c>
      <c r="J1556" s="5">
        <v>9223.9097117742276</v>
      </c>
      <c r="K1556" s="5">
        <v>17.142857142857142</v>
      </c>
      <c r="L1556" s="5">
        <v>146.96520710059173</v>
      </c>
      <c r="M1556" s="5">
        <v>9223.9097117742276</v>
      </c>
      <c r="N1556" s="5">
        <v>0</v>
      </c>
      <c r="O1556" s="5">
        <v>0</v>
      </c>
      <c r="P1556" s="5">
        <v>0</v>
      </c>
      <c r="Q1556" s="5">
        <v>0</v>
      </c>
    </row>
    <row r="1557" spans="1:17" x14ac:dyDescent="0.2">
      <c r="A1557" s="4" t="s">
        <v>57</v>
      </c>
      <c r="B1557" s="4">
        <v>2015</v>
      </c>
      <c r="C1557" s="4" t="s">
        <v>56</v>
      </c>
      <c r="D1557" s="4">
        <v>4</v>
      </c>
      <c r="E1557" s="4">
        <v>1</v>
      </c>
      <c r="F1557" s="11">
        <v>0</v>
      </c>
      <c r="G1557" s="6" t="str">
        <f t="shared" si="55"/>
        <v>10</v>
      </c>
      <c r="H1557" s="5">
        <v>13.888888888888889</v>
      </c>
      <c r="I1557" s="5">
        <v>120.82853761622992</v>
      </c>
      <c r="J1557" s="5">
        <v>7583.505943791055</v>
      </c>
      <c r="K1557" s="5">
        <v>13.888888888888889</v>
      </c>
      <c r="L1557" s="5">
        <v>120.82853761622992</v>
      </c>
      <c r="M1557" s="5">
        <v>7583.505943791055</v>
      </c>
      <c r="N1557" s="5">
        <v>0</v>
      </c>
      <c r="O1557" s="5">
        <v>0</v>
      </c>
      <c r="P1557" s="5">
        <v>0</v>
      </c>
      <c r="Q1557" s="5">
        <v>0</v>
      </c>
    </row>
    <row r="1558" spans="1:17" x14ac:dyDescent="0.2">
      <c r="A1558" s="4" t="s">
        <v>57</v>
      </c>
      <c r="B1558" s="4">
        <v>2015</v>
      </c>
      <c r="C1558" s="4" t="s">
        <v>56</v>
      </c>
      <c r="D1558" s="4">
        <v>5</v>
      </c>
      <c r="E1558" s="4">
        <v>1</v>
      </c>
      <c r="F1558" s="11">
        <v>0</v>
      </c>
      <c r="G1558" s="6" t="str">
        <f t="shared" si="55"/>
        <v>10</v>
      </c>
      <c r="H1558" s="5">
        <v>2.4444444444444446</v>
      </c>
      <c r="I1558" s="5">
        <v>226.10160608622147</v>
      </c>
      <c r="J1558" s="5">
        <v>14190.711130689462</v>
      </c>
      <c r="K1558" s="5">
        <v>2.4444444444444446</v>
      </c>
      <c r="L1558" s="5">
        <v>226.10160608622147</v>
      </c>
      <c r="M1558" s="5">
        <v>14190.711130689462</v>
      </c>
      <c r="N1558" s="5">
        <v>0</v>
      </c>
      <c r="O1558" s="5">
        <v>0</v>
      </c>
      <c r="P1558" s="5">
        <v>0</v>
      </c>
      <c r="Q1558" s="5">
        <v>0</v>
      </c>
    </row>
    <row r="1559" spans="1:17" x14ac:dyDescent="0.2">
      <c r="A1559" s="4" t="s">
        <v>57</v>
      </c>
      <c r="B1559" s="4">
        <v>2015</v>
      </c>
      <c r="C1559" s="4" t="s">
        <v>56</v>
      </c>
      <c r="D1559" s="4">
        <v>1</v>
      </c>
      <c r="E1559" s="4">
        <v>9</v>
      </c>
      <c r="F1559" s="4">
        <v>2</v>
      </c>
      <c r="G1559" s="6" t="str">
        <f t="shared" si="55"/>
        <v>92</v>
      </c>
      <c r="H1559" s="5">
        <v>1.3333333333333333</v>
      </c>
      <c r="I1559" s="5">
        <v>166.73005917159767</v>
      </c>
      <c r="J1559" s="5">
        <v>10464.402033502794</v>
      </c>
      <c r="K1559" s="5">
        <v>4.5999999999999996</v>
      </c>
      <c r="L1559" s="5">
        <v>174.71198647506341</v>
      </c>
      <c r="M1559" s="5">
        <v>10965.368066386485</v>
      </c>
      <c r="N1559" s="5">
        <v>71.014492753623188</v>
      </c>
      <c r="O1559" s="5">
        <v>-7.9819273034657385</v>
      </c>
      <c r="P1559" s="5">
        <v>-500.96603288369079</v>
      </c>
      <c r="Q1559" s="5">
        <v>-4.5686203130687844</v>
      </c>
    </row>
    <row r="1560" spans="1:17" x14ac:dyDescent="0.2">
      <c r="A1560" s="4" t="s">
        <v>57</v>
      </c>
      <c r="B1560" s="4">
        <v>2015</v>
      </c>
      <c r="C1560" s="4" t="s">
        <v>56</v>
      </c>
      <c r="D1560" s="4">
        <v>2</v>
      </c>
      <c r="E1560" s="4">
        <v>9</v>
      </c>
      <c r="F1560" s="4">
        <v>2</v>
      </c>
      <c r="G1560" s="6" t="str">
        <f t="shared" si="55"/>
        <v>92</v>
      </c>
      <c r="H1560" s="5">
        <v>5.5</v>
      </c>
      <c r="I1560" s="5">
        <v>122.89557058326291</v>
      </c>
      <c r="J1560" s="5">
        <v>7713.2381833824511</v>
      </c>
      <c r="K1560" s="5">
        <v>8.1111111111111107</v>
      </c>
      <c r="L1560" s="5">
        <v>145.96432797971258</v>
      </c>
      <c r="M1560" s="5">
        <v>9161.0919957615497</v>
      </c>
      <c r="N1560" s="5">
        <v>32.191780821917803</v>
      </c>
      <c r="O1560" s="5">
        <v>-23.068757396449669</v>
      </c>
      <c r="P1560" s="5">
        <v>-1447.8538123790986</v>
      </c>
      <c r="Q1560" s="5">
        <v>-15.804380231624782</v>
      </c>
    </row>
    <row r="1561" spans="1:17" x14ac:dyDescent="0.2">
      <c r="A1561" s="4" t="s">
        <v>57</v>
      </c>
      <c r="B1561" s="4">
        <v>2015</v>
      </c>
      <c r="C1561" s="4" t="s">
        <v>56</v>
      </c>
      <c r="D1561" s="4">
        <v>3</v>
      </c>
      <c r="E1561" s="4">
        <v>9</v>
      </c>
      <c r="F1561" s="4">
        <v>2</v>
      </c>
      <c r="G1561" s="6" t="str">
        <f t="shared" si="55"/>
        <v>92</v>
      </c>
      <c r="H1561" s="5">
        <v>2.7142857142857144</v>
      </c>
      <c r="I1561" s="5">
        <v>126.50241758241755</v>
      </c>
      <c r="J1561" s="5">
        <v>7939.6130629933423</v>
      </c>
      <c r="K1561" s="5">
        <v>17.142857142857142</v>
      </c>
      <c r="L1561" s="5">
        <v>146.96520710059173</v>
      </c>
      <c r="M1561" s="5">
        <v>9223.9097117742276</v>
      </c>
      <c r="N1561" s="5">
        <v>84.166666666666657</v>
      </c>
      <c r="O1561" s="5">
        <v>-20.462789518174176</v>
      </c>
      <c r="P1561" s="5">
        <v>-1284.2966487808853</v>
      </c>
      <c r="Q1561" s="5">
        <v>-13.923560495626855</v>
      </c>
    </row>
    <row r="1562" spans="1:17" x14ac:dyDescent="0.2">
      <c r="A1562" s="4" t="s">
        <v>57</v>
      </c>
      <c r="B1562" s="4">
        <v>2015</v>
      </c>
      <c r="C1562" s="4" t="s">
        <v>56</v>
      </c>
      <c r="D1562" s="4">
        <v>4</v>
      </c>
      <c r="E1562" s="4">
        <v>9</v>
      </c>
      <c r="F1562" s="4">
        <v>2</v>
      </c>
      <c r="G1562" s="6" t="str">
        <f t="shared" si="55"/>
        <v>92</v>
      </c>
      <c r="H1562" s="5">
        <v>7.5</v>
      </c>
      <c r="I1562" s="5">
        <v>175.36389687235842</v>
      </c>
      <c r="J1562" s="5">
        <v>11006.283618873002</v>
      </c>
      <c r="K1562" s="5">
        <v>13.888888888888889</v>
      </c>
      <c r="L1562" s="5">
        <v>120.82853761622992</v>
      </c>
      <c r="M1562" s="5">
        <v>7583.505943791055</v>
      </c>
      <c r="N1562" s="5">
        <v>46</v>
      </c>
      <c r="O1562" s="5">
        <v>54.535359256128501</v>
      </c>
      <c r="P1562" s="5">
        <v>3422.7776750819467</v>
      </c>
      <c r="Q1562" s="5">
        <v>45.134502437943276</v>
      </c>
    </row>
    <row r="1563" spans="1:17" x14ac:dyDescent="0.2">
      <c r="A1563" s="4" t="s">
        <v>57</v>
      </c>
      <c r="B1563" s="4">
        <v>2015</v>
      </c>
      <c r="C1563" s="4" t="s">
        <v>56</v>
      </c>
      <c r="D1563" s="4">
        <v>5</v>
      </c>
      <c r="E1563" s="4">
        <v>9</v>
      </c>
      <c r="F1563" s="4">
        <v>2</v>
      </c>
      <c r="G1563" s="6" t="str">
        <f t="shared" si="55"/>
        <v>92</v>
      </c>
      <c r="H1563" s="5">
        <v>5</v>
      </c>
      <c r="I1563" s="5">
        <v>135.57058326289095</v>
      </c>
      <c r="J1563" s="5">
        <v>8508.7541756299233</v>
      </c>
      <c r="K1563" s="5">
        <v>2.4444444444444446</v>
      </c>
      <c r="L1563" s="5">
        <v>226.10160608622147</v>
      </c>
      <c r="M1563" s="5">
        <v>14190.711130689462</v>
      </c>
      <c r="N1563" s="5">
        <v>-104.54545454545452</v>
      </c>
      <c r="O1563" s="5">
        <v>-90.531022823330517</v>
      </c>
      <c r="P1563" s="5">
        <v>-5681.9569550595388</v>
      </c>
      <c r="Q1563" s="5">
        <v>-40.03997335109927</v>
      </c>
    </row>
    <row r="1564" spans="1:17" x14ac:dyDescent="0.2">
      <c r="A1564" s="4" t="s">
        <v>57</v>
      </c>
      <c r="B1564" s="4">
        <v>2015</v>
      </c>
      <c r="C1564" s="4" t="s">
        <v>56</v>
      </c>
      <c r="D1564" s="4">
        <v>1</v>
      </c>
      <c r="E1564" s="4">
        <v>10</v>
      </c>
      <c r="F1564" s="4">
        <v>2</v>
      </c>
      <c r="G1564" s="6" t="str">
        <f t="shared" si="55"/>
        <v>102</v>
      </c>
      <c r="H1564" s="5">
        <v>1.25</v>
      </c>
      <c r="I1564" s="5">
        <v>136.1061707523246</v>
      </c>
      <c r="J1564" s="5">
        <v>8542.369006941055</v>
      </c>
      <c r="K1564" s="5">
        <v>4.5999999999999996</v>
      </c>
      <c r="L1564" s="5">
        <v>174.71198647506341</v>
      </c>
      <c r="M1564" s="5">
        <v>10965.368066386485</v>
      </c>
      <c r="N1564" s="5">
        <v>72.826086956521735</v>
      </c>
      <c r="O1564" s="5">
        <v>-38.605815722738811</v>
      </c>
      <c r="P1564" s="5">
        <v>-2422.9990594454302</v>
      </c>
      <c r="Q1564" s="5">
        <v>-22.096832908627594</v>
      </c>
    </row>
    <row r="1565" spans="1:17" x14ac:dyDescent="0.2">
      <c r="A1565" s="4" t="s">
        <v>57</v>
      </c>
      <c r="B1565" s="4">
        <v>2015</v>
      </c>
      <c r="C1565" s="4" t="s">
        <v>56</v>
      </c>
      <c r="D1565" s="4">
        <v>2</v>
      </c>
      <c r="E1565" s="4">
        <v>10</v>
      </c>
      <c r="F1565" s="4">
        <v>2</v>
      </c>
      <c r="G1565" s="6" t="str">
        <f t="shared" si="55"/>
        <v>102</v>
      </c>
      <c r="H1565" s="5">
        <v>2.375</v>
      </c>
      <c r="I1565" s="5">
        <v>169.71177514792902</v>
      </c>
      <c r="J1565" s="5">
        <v>10651.542102192729</v>
      </c>
      <c r="K1565" s="5">
        <v>8.1111111111111107</v>
      </c>
      <c r="L1565" s="5">
        <v>145.96432797971258</v>
      </c>
      <c r="M1565" s="5">
        <v>9161.0919957615497</v>
      </c>
      <c r="N1565" s="5">
        <v>70.719178082191775</v>
      </c>
      <c r="O1565" s="5">
        <v>23.747447168216439</v>
      </c>
      <c r="P1565" s="5">
        <v>1490.4501064311789</v>
      </c>
      <c r="Q1565" s="5">
        <v>16.269349845201283</v>
      </c>
    </row>
    <row r="1566" spans="1:17" x14ac:dyDescent="0.2">
      <c r="A1566" s="4" t="s">
        <v>57</v>
      </c>
      <c r="B1566" s="4">
        <v>2015</v>
      </c>
      <c r="C1566" s="4" t="s">
        <v>56</v>
      </c>
      <c r="D1566" s="4">
        <v>3</v>
      </c>
      <c r="E1566" s="4">
        <v>10</v>
      </c>
      <c r="F1566" s="4">
        <v>2</v>
      </c>
      <c r="G1566" s="6" t="str">
        <f t="shared" si="55"/>
        <v>102</v>
      </c>
      <c r="H1566" s="5">
        <v>2.375</v>
      </c>
      <c r="I1566" s="5">
        <v>134.07930684699917</v>
      </c>
      <c r="J1566" s="5">
        <v>8415.1578796979957</v>
      </c>
      <c r="K1566" s="5">
        <v>17.142857142857142</v>
      </c>
      <c r="L1566" s="5">
        <v>146.96520710059173</v>
      </c>
      <c r="M1566" s="5">
        <v>9223.9097117742276</v>
      </c>
      <c r="N1566" s="5">
        <v>86.145833333333329</v>
      </c>
      <c r="O1566" s="5">
        <v>-12.885900253592553</v>
      </c>
      <c r="P1566" s="5">
        <v>-808.75183207623195</v>
      </c>
      <c r="Q1566" s="5">
        <v>-8.767993804664723</v>
      </c>
    </row>
    <row r="1567" spans="1:17" x14ac:dyDescent="0.2">
      <c r="A1567" s="4" t="s">
        <v>57</v>
      </c>
      <c r="B1567" s="4">
        <v>2015</v>
      </c>
      <c r="C1567" s="4" t="s">
        <v>56</v>
      </c>
      <c r="D1567" s="4">
        <v>4</v>
      </c>
      <c r="E1567" s="4">
        <v>10</v>
      </c>
      <c r="F1567" s="4">
        <v>2</v>
      </c>
      <c r="G1567" s="6" t="str">
        <f t="shared" si="55"/>
        <v>102</v>
      </c>
      <c r="H1567" s="5">
        <v>2</v>
      </c>
      <c r="I1567" s="5">
        <v>149.02219780219778</v>
      </c>
      <c r="J1567" s="5">
        <v>9353.0116732785355</v>
      </c>
      <c r="K1567" s="5">
        <v>13.888888888888889</v>
      </c>
      <c r="L1567" s="5">
        <v>120.82853761622992</v>
      </c>
      <c r="M1567" s="5">
        <v>7583.505943791055</v>
      </c>
      <c r="N1567" s="5">
        <v>85.6</v>
      </c>
      <c r="O1567" s="5">
        <v>28.193660185967858</v>
      </c>
      <c r="P1567" s="5">
        <v>1769.5057294874805</v>
      </c>
      <c r="Q1567" s="5">
        <v>23.333610372340402</v>
      </c>
    </row>
    <row r="1568" spans="1:17" x14ac:dyDescent="0.2">
      <c r="A1568" s="4" t="s">
        <v>57</v>
      </c>
      <c r="B1568" s="4">
        <v>2015</v>
      </c>
      <c r="C1568" s="4" t="s">
        <v>56</v>
      </c>
      <c r="D1568" s="4">
        <v>5</v>
      </c>
      <c r="E1568" s="4">
        <v>10</v>
      </c>
      <c r="F1568" s="4">
        <v>2</v>
      </c>
      <c r="G1568" s="6" t="str">
        <f t="shared" si="55"/>
        <v>102</v>
      </c>
      <c r="H1568" s="5">
        <v>2.5555555555555554</v>
      </c>
      <c r="I1568" s="5">
        <v>161.31895181741336</v>
      </c>
      <c r="J1568" s="5">
        <v>10124.787190912526</v>
      </c>
      <c r="K1568" s="5">
        <v>2.4444444444444446</v>
      </c>
      <c r="L1568" s="5">
        <v>226.10160608622147</v>
      </c>
      <c r="M1568" s="5">
        <v>14190.711130689462</v>
      </c>
      <c r="N1568" s="5">
        <v>-4.545454545454529</v>
      </c>
      <c r="O1568" s="5">
        <v>-64.782654268808102</v>
      </c>
      <c r="P1568" s="5">
        <v>-4065.9239397769361</v>
      </c>
      <c r="Q1568" s="5">
        <v>-28.652009771263604</v>
      </c>
    </row>
    <row r="1569" spans="1:17" x14ac:dyDescent="0.2">
      <c r="A1569" s="4" t="s">
        <v>57</v>
      </c>
      <c r="B1569" s="4">
        <v>2015</v>
      </c>
      <c r="C1569" s="4" t="s">
        <v>56</v>
      </c>
      <c r="D1569" s="4">
        <v>1</v>
      </c>
      <c r="E1569" s="4">
        <v>14</v>
      </c>
      <c r="F1569" s="4">
        <v>2</v>
      </c>
      <c r="G1569" s="6" t="str">
        <f t="shared" si="55"/>
        <v>142</v>
      </c>
      <c r="H1569" s="5">
        <v>1.8571428571428572</v>
      </c>
      <c r="I1569" s="5">
        <v>159.00839391377855</v>
      </c>
      <c r="J1569" s="5">
        <v>9979.7707077093528</v>
      </c>
      <c r="K1569" s="5">
        <v>4.5999999999999996</v>
      </c>
      <c r="L1569" s="5">
        <v>174.71198647506341</v>
      </c>
      <c r="M1569" s="5">
        <v>10965.368066386485</v>
      </c>
      <c r="N1569" s="5">
        <v>59.627329192546576</v>
      </c>
      <c r="O1569" s="5">
        <v>-15.703592561284864</v>
      </c>
      <c r="P1569" s="5">
        <v>-985.59735867713243</v>
      </c>
      <c r="Q1569" s="5">
        <v>-8.9882742896556973</v>
      </c>
    </row>
    <row r="1570" spans="1:17" x14ac:dyDescent="0.2">
      <c r="A1570" s="4" t="s">
        <v>57</v>
      </c>
      <c r="B1570" s="4">
        <v>2015</v>
      </c>
      <c r="C1570" s="4" t="s">
        <v>56</v>
      </c>
      <c r="D1570" s="4">
        <v>2</v>
      </c>
      <c r="E1570" s="4">
        <v>14</v>
      </c>
      <c r="F1570" s="4">
        <v>2</v>
      </c>
      <c r="G1570" s="6" t="str">
        <f t="shared" si="55"/>
        <v>142</v>
      </c>
      <c r="H1570" s="5">
        <v>1.8571428571428572</v>
      </c>
      <c r="I1570" s="5">
        <v>199.45278106508877</v>
      </c>
      <c r="J1570" s="5">
        <v>12518.163180265023</v>
      </c>
      <c r="K1570" s="5">
        <v>8.1111111111111107</v>
      </c>
      <c r="L1570" s="5">
        <v>145.96432797971258</v>
      </c>
      <c r="M1570" s="5">
        <v>9161.0919957615497</v>
      </c>
      <c r="N1570" s="5">
        <v>77.103718199608608</v>
      </c>
      <c r="O1570" s="5">
        <v>53.488453085376193</v>
      </c>
      <c r="P1570" s="5">
        <v>3357.071184503473</v>
      </c>
      <c r="Q1570" s="5">
        <v>36.64488017429197</v>
      </c>
    </row>
    <row r="1571" spans="1:17" x14ac:dyDescent="0.2">
      <c r="A1571" s="4" t="s">
        <v>57</v>
      </c>
      <c r="B1571" s="4">
        <v>2015</v>
      </c>
      <c r="C1571" s="4" t="s">
        <v>56</v>
      </c>
      <c r="D1571" s="4">
        <v>3</v>
      </c>
      <c r="E1571" s="4">
        <v>14</v>
      </c>
      <c r="F1571" s="4">
        <v>2</v>
      </c>
      <c r="G1571" s="6" t="str">
        <f t="shared" si="55"/>
        <v>142</v>
      </c>
      <c r="H1571" s="5">
        <v>2.7</v>
      </c>
      <c r="I1571" s="5">
        <v>155.69863060016908</v>
      </c>
      <c r="J1571" s="5">
        <v>9772.0415548413512</v>
      </c>
      <c r="K1571" s="5">
        <v>17.142857142857142</v>
      </c>
      <c r="L1571" s="5">
        <v>146.96520710059173</v>
      </c>
      <c r="M1571" s="5">
        <v>9223.9097117742276</v>
      </c>
      <c r="N1571" s="5">
        <v>84.25</v>
      </c>
      <c r="O1571" s="5">
        <v>8.7334234995773556</v>
      </c>
      <c r="P1571" s="5">
        <v>548.13184306712355</v>
      </c>
      <c r="Q1571" s="5">
        <v>5.9425109329446144</v>
      </c>
    </row>
    <row r="1572" spans="1:17" x14ac:dyDescent="0.2">
      <c r="A1572" s="4" t="s">
        <v>57</v>
      </c>
      <c r="B1572" s="4">
        <v>2015</v>
      </c>
      <c r="C1572" s="4" t="s">
        <v>56</v>
      </c>
      <c r="D1572" s="4">
        <v>4</v>
      </c>
      <c r="E1572" s="4">
        <v>14</v>
      </c>
      <c r="F1572" s="4">
        <v>2</v>
      </c>
      <c r="G1572" s="6" t="str">
        <f t="shared" si="55"/>
        <v>142</v>
      </c>
      <c r="H1572" s="5">
        <v>1.2</v>
      </c>
      <c r="I1572" s="5">
        <v>191.78802197802199</v>
      </c>
      <c r="J1572" s="5">
        <v>12037.10343029839</v>
      </c>
      <c r="K1572" s="5">
        <v>13.888888888888889</v>
      </c>
      <c r="L1572" s="5">
        <v>120.82853761622992</v>
      </c>
      <c r="M1572" s="5">
        <v>7583.505943791055</v>
      </c>
      <c r="N1572" s="5">
        <v>91.360000000000014</v>
      </c>
      <c r="O1572" s="5">
        <v>70.959484361792065</v>
      </c>
      <c r="P1572" s="5">
        <v>4453.5974865073349</v>
      </c>
      <c r="Q1572" s="5">
        <v>58.727421320922005</v>
      </c>
    </row>
    <row r="1573" spans="1:17" x14ac:dyDescent="0.2">
      <c r="A1573" s="4" t="s">
        <v>57</v>
      </c>
      <c r="B1573" s="4">
        <v>2015</v>
      </c>
      <c r="C1573" s="4" t="s">
        <v>56</v>
      </c>
      <c r="D1573" s="4">
        <v>5</v>
      </c>
      <c r="E1573" s="4">
        <v>14</v>
      </c>
      <c r="F1573" s="4">
        <v>2</v>
      </c>
      <c r="G1573" s="6" t="str">
        <f t="shared" si="55"/>
        <v>142</v>
      </c>
      <c r="H1573" s="5">
        <v>2.8</v>
      </c>
      <c r="I1573" s="5">
        <v>180.36494505494505</v>
      </c>
      <c r="J1573" s="5">
        <v>11320.162106240683</v>
      </c>
      <c r="K1573" s="5">
        <v>2.4444444444444446</v>
      </c>
      <c r="L1573" s="5">
        <v>226.10160608622147</v>
      </c>
      <c r="M1573" s="5">
        <v>14190.711130689462</v>
      </c>
      <c r="N1573" s="5">
        <v>-14.545454545454529</v>
      </c>
      <c r="O1573" s="5">
        <v>-45.736661031276412</v>
      </c>
      <c r="P1573" s="5">
        <v>-2870.5490244487792</v>
      </c>
      <c r="Q1573" s="5">
        <v>-20.228366274335627</v>
      </c>
    </row>
    <row r="1574" spans="1:17" x14ac:dyDescent="0.2">
      <c r="A1574" s="4" t="s">
        <v>35</v>
      </c>
      <c r="B1574" s="4">
        <v>2015</v>
      </c>
      <c r="C1574" s="4" t="s">
        <v>34</v>
      </c>
      <c r="D1574" s="4">
        <v>1</v>
      </c>
      <c r="E1574" s="4">
        <v>1</v>
      </c>
      <c r="F1574" s="11">
        <v>0</v>
      </c>
      <c r="G1574" s="6" t="str">
        <f t="shared" si="55"/>
        <v>10</v>
      </c>
      <c r="H1574" s="5">
        <v>0</v>
      </c>
      <c r="I1574" s="5">
        <v>127.58129637316367</v>
      </c>
      <c r="J1574" s="5">
        <v>8007.3262364179818</v>
      </c>
      <c r="K1574" s="5">
        <v>0</v>
      </c>
      <c r="L1574" s="5">
        <v>127.58129637316367</v>
      </c>
      <c r="M1574" s="5">
        <v>8007.3262364179818</v>
      </c>
      <c r="N1574" s="5" t="s">
        <v>97</v>
      </c>
      <c r="O1574" s="5">
        <v>0</v>
      </c>
      <c r="P1574" s="5">
        <v>0</v>
      </c>
      <c r="Q1574" s="5">
        <v>0</v>
      </c>
    </row>
    <row r="1575" spans="1:17" x14ac:dyDescent="0.2">
      <c r="A1575" s="4" t="s">
        <v>35</v>
      </c>
      <c r="B1575" s="4">
        <v>2015</v>
      </c>
      <c r="C1575" s="4" t="s">
        <v>34</v>
      </c>
      <c r="D1575" s="4">
        <v>2</v>
      </c>
      <c r="E1575" s="4">
        <v>1</v>
      </c>
      <c r="F1575" s="11">
        <v>0</v>
      </c>
      <c r="G1575" s="6" t="str">
        <f t="shared" si="55"/>
        <v>10</v>
      </c>
      <c r="H1575" s="5">
        <v>0</v>
      </c>
      <c r="I1575" s="5">
        <v>127.58129637316367</v>
      </c>
      <c r="J1575" s="5">
        <v>8007.3262364179818</v>
      </c>
      <c r="K1575" s="5">
        <v>0</v>
      </c>
      <c r="L1575" s="5">
        <v>127.58129637316367</v>
      </c>
      <c r="M1575" s="5">
        <v>8007.3262364179818</v>
      </c>
      <c r="N1575" s="5" t="s">
        <v>97</v>
      </c>
      <c r="O1575" s="5">
        <v>0</v>
      </c>
      <c r="P1575" s="5">
        <v>0</v>
      </c>
      <c r="Q1575" s="5">
        <v>0</v>
      </c>
    </row>
    <row r="1576" spans="1:17" x14ac:dyDescent="0.2">
      <c r="A1576" s="4" t="s">
        <v>35</v>
      </c>
      <c r="B1576" s="4">
        <v>2015</v>
      </c>
      <c r="C1576" s="4" t="s">
        <v>34</v>
      </c>
      <c r="D1576" s="4">
        <v>3</v>
      </c>
      <c r="E1576" s="4">
        <v>1</v>
      </c>
      <c r="F1576" s="11">
        <v>0</v>
      </c>
      <c r="G1576" s="6" t="str">
        <f t="shared" si="55"/>
        <v>10</v>
      </c>
      <c r="H1576" s="5">
        <v>0</v>
      </c>
      <c r="I1576" s="5">
        <v>127.58129637316367</v>
      </c>
      <c r="J1576" s="5">
        <v>8007.3262364179818</v>
      </c>
      <c r="K1576" s="5">
        <v>0</v>
      </c>
      <c r="L1576" s="5">
        <v>127.58129637316367</v>
      </c>
      <c r="M1576" s="5">
        <v>8007.3262364179818</v>
      </c>
      <c r="N1576" s="5" t="s">
        <v>97</v>
      </c>
      <c r="O1576" s="5">
        <v>0</v>
      </c>
      <c r="P1576" s="5">
        <v>0</v>
      </c>
      <c r="Q1576" s="5">
        <v>0</v>
      </c>
    </row>
    <row r="1577" spans="1:17" x14ac:dyDescent="0.2">
      <c r="A1577" s="4" t="s">
        <v>35</v>
      </c>
      <c r="B1577" s="4">
        <v>2015</v>
      </c>
      <c r="C1577" s="4" t="s">
        <v>34</v>
      </c>
      <c r="D1577" s="4">
        <v>4</v>
      </c>
      <c r="E1577" s="4">
        <v>1</v>
      </c>
      <c r="F1577" s="11">
        <v>0</v>
      </c>
      <c r="G1577" s="6" t="str">
        <f t="shared" si="55"/>
        <v>10</v>
      </c>
      <c r="H1577" s="5">
        <v>0</v>
      </c>
      <c r="I1577" s="5">
        <v>127.58129637316367</v>
      </c>
      <c r="J1577" s="5">
        <v>8007.3262364179818</v>
      </c>
      <c r="K1577" s="5">
        <v>0</v>
      </c>
      <c r="L1577" s="5">
        <v>127.58129637316367</v>
      </c>
      <c r="M1577" s="5">
        <v>8007.3262364179818</v>
      </c>
      <c r="N1577" s="5" t="s">
        <v>97</v>
      </c>
      <c r="O1577" s="5">
        <v>0</v>
      </c>
      <c r="P1577" s="5">
        <v>0</v>
      </c>
      <c r="Q1577" s="5">
        <v>0</v>
      </c>
    </row>
    <row r="1578" spans="1:17" x14ac:dyDescent="0.2">
      <c r="A1578" s="4" t="s">
        <v>35</v>
      </c>
      <c r="B1578" s="4">
        <v>2015</v>
      </c>
      <c r="C1578" s="4" t="s">
        <v>34</v>
      </c>
      <c r="D1578" s="4">
        <v>1</v>
      </c>
      <c r="E1578" s="4">
        <v>2</v>
      </c>
      <c r="F1578" s="4">
        <v>1</v>
      </c>
      <c r="G1578" s="6" t="str">
        <f t="shared" si="55"/>
        <v>21</v>
      </c>
      <c r="H1578" s="5">
        <v>0</v>
      </c>
      <c r="I1578" s="5">
        <v>169.52345369596247</v>
      </c>
      <c r="J1578" s="5">
        <v>10639.722569501968</v>
      </c>
      <c r="K1578" s="5">
        <v>0</v>
      </c>
      <c r="L1578" s="5">
        <v>127.58129637316367</v>
      </c>
      <c r="M1578" s="5">
        <v>8007.3262364179818</v>
      </c>
      <c r="N1578" s="5" t="s">
        <v>97</v>
      </c>
      <c r="O1578" s="5">
        <v>41.942157322798806</v>
      </c>
      <c r="P1578" s="5">
        <v>2632.3963330839861</v>
      </c>
      <c r="Q1578" s="5">
        <v>32.874848049922456</v>
      </c>
    </row>
    <row r="1579" spans="1:17" x14ac:dyDescent="0.2">
      <c r="A1579" s="4" t="s">
        <v>35</v>
      </c>
      <c r="B1579" s="4">
        <v>2015</v>
      </c>
      <c r="C1579" s="4" t="s">
        <v>34</v>
      </c>
      <c r="D1579" s="4">
        <v>2</v>
      </c>
      <c r="E1579" s="4">
        <v>2</v>
      </c>
      <c r="F1579" s="4">
        <v>1</v>
      </c>
      <c r="G1579" s="6" t="str">
        <f t="shared" si="55"/>
        <v>21</v>
      </c>
      <c r="H1579" s="5">
        <v>0</v>
      </c>
      <c r="I1579" s="5">
        <v>78.325789524880776</v>
      </c>
      <c r="J1579" s="5">
        <v>4915.9255100864139</v>
      </c>
      <c r="K1579" s="5">
        <v>0</v>
      </c>
      <c r="L1579" s="5">
        <v>127.58129637316367</v>
      </c>
      <c r="M1579" s="5">
        <v>8007.3262364179818</v>
      </c>
      <c r="N1579" s="5" t="s">
        <v>97</v>
      </c>
      <c r="O1579" s="5">
        <v>-49.255506848282891</v>
      </c>
      <c r="P1579" s="5">
        <v>-3091.400726331568</v>
      </c>
      <c r="Q1579" s="5">
        <v>-38.607153437456091</v>
      </c>
    </row>
    <row r="1580" spans="1:17" x14ac:dyDescent="0.2">
      <c r="A1580" s="4" t="s">
        <v>35</v>
      </c>
      <c r="B1580" s="4">
        <v>2015</v>
      </c>
      <c r="C1580" s="4" t="s">
        <v>34</v>
      </c>
      <c r="D1580" s="4">
        <v>3</v>
      </c>
      <c r="E1580" s="4">
        <v>2</v>
      </c>
      <c r="F1580" s="4">
        <v>1</v>
      </c>
      <c r="G1580" s="6" t="str">
        <f t="shared" si="55"/>
        <v>21</v>
      </c>
      <c r="H1580" s="5">
        <v>0</v>
      </c>
      <c r="I1580" s="5">
        <v>140.40101092396577</v>
      </c>
      <c r="J1580" s="5">
        <v>8811.9240856652596</v>
      </c>
      <c r="K1580" s="5">
        <v>0</v>
      </c>
      <c r="L1580" s="5">
        <v>127.58129637316367</v>
      </c>
      <c r="M1580" s="5">
        <v>8007.3262364179818</v>
      </c>
      <c r="N1580" s="5" t="s">
        <v>97</v>
      </c>
      <c r="O1580" s="5">
        <v>12.819714550802104</v>
      </c>
      <c r="P1580" s="5">
        <v>804.59784924727774</v>
      </c>
      <c r="Q1580" s="5">
        <v>10.04827111436899</v>
      </c>
    </row>
    <row r="1581" spans="1:17" x14ac:dyDescent="0.2">
      <c r="A1581" s="4" t="s">
        <v>35</v>
      </c>
      <c r="B1581" s="4">
        <v>2015</v>
      </c>
      <c r="C1581" s="4" t="s">
        <v>34</v>
      </c>
      <c r="D1581" s="4">
        <v>4</v>
      </c>
      <c r="E1581" s="4">
        <v>2</v>
      </c>
      <c r="F1581" s="4">
        <v>1</v>
      </c>
      <c r="G1581" s="6" t="str">
        <f t="shared" si="55"/>
        <v>21</v>
      </c>
      <c r="H1581" s="5">
        <v>0</v>
      </c>
      <c r="I1581" s="5">
        <v>159.42975177472664</v>
      </c>
      <c r="J1581" s="5">
        <v>10006.216197375974</v>
      </c>
      <c r="K1581" s="5">
        <v>0</v>
      </c>
      <c r="L1581" s="5">
        <v>127.58129637316367</v>
      </c>
      <c r="M1581" s="5">
        <v>8007.3262364179818</v>
      </c>
      <c r="N1581" s="5" t="s">
        <v>97</v>
      </c>
      <c r="O1581" s="5">
        <v>31.848455401562973</v>
      </c>
      <c r="P1581" s="5">
        <v>1998.8899609579921</v>
      </c>
      <c r="Q1581" s="5">
        <v>24.963263665552621</v>
      </c>
    </row>
    <row r="1582" spans="1:17" x14ac:dyDescent="0.2">
      <c r="A1582" s="4" t="s">
        <v>35</v>
      </c>
      <c r="B1582" s="4">
        <v>2015</v>
      </c>
      <c r="C1582" s="4" t="s">
        <v>34</v>
      </c>
      <c r="D1582" s="4">
        <v>1</v>
      </c>
      <c r="E1582" s="4">
        <v>3</v>
      </c>
      <c r="F1582" s="4">
        <v>1</v>
      </c>
      <c r="G1582" s="6" t="str">
        <f t="shared" si="55"/>
        <v>31</v>
      </c>
      <c r="H1582" s="5">
        <v>0</v>
      </c>
      <c r="I1582" s="5">
        <v>153.77914947918848</v>
      </c>
      <c r="J1582" s="5">
        <v>9651.5700439124957</v>
      </c>
      <c r="K1582" s="5">
        <v>0</v>
      </c>
      <c r="L1582" s="5">
        <v>127.58129637316367</v>
      </c>
      <c r="M1582" s="5">
        <v>8007.3262364179818</v>
      </c>
      <c r="N1582" s="5" t="s">
        <v>97</v>
      </c>
      <c r="O1582" s="5">
        <v>26.197853106024809</v>
      </c>
      <c r="P1582" s="5">
        <v>1644.2438074945139</v>
      </c>
      <c r="Q1582" s="5">
        <v>20.534242754046378</v>
      </c>
    </row>
    <row r="1583" spans="1:17" x14ac:dyDescent="0.2">
      <c r="A1583" s="4" t="s">
        <v>35</v>
      </c>
      <c r="B1583" s="4">
        <v>2015</v>
      </c>
      <c r="C1583" s="4" t="s">
        <v>34</v>
      </c>
      <c r="D1583" s="4">
        <v>2</v>
      </c>
      <c r="E1583" s="4">
        <v>3</v>
      </c>
      <c r="F1583" s="4">
        <v>1</v>
      </c>
      <c r="G1583" s="6" t="str">
        <f t="shared" si="55"/>
        <v>31</v>
      </c>
      <c r="H1583" s="5">
        <v>0</v>
      </c>
      <c r="I1583" s="5">
        <v>137.71144270433859</v>
      </c>
      <c r="J1583" s="5">
        <v>8643.1199522861389</v>
      </c>
      <c r="K1583" s="5">
        <v>0</v>
      </c>
      <c r="L1583" s="5">
        <v>127.58129637316367</v>
      </c>
      <c r="M1583" s="5">
        <v>8007.3262364179818</v>
      </c>
      <c r="N1583" s="5" t="s">
        <v>97</v>
      </c>
      <c r="O1583" s="5">
        <v>10.130146331174927</v>
      </c>
      <c r="P1583" s="5">
        <v>635.79371586815705</v>
      </c>
      <c r="Q1583" s="5">
        <v>7.9401500213206582</v>
      </c>
    </row>
    <row r="1584" spans="1:17" x14ac:dyDescent="0.2">
      <c r="A1584" s="4" t="s">
        <v>35</v>
      </c>
      <c r="B1584" s="4">
        <v>2015</v>
      </c>
      <c r="C1584" s="4" t="s">
        <v>34</v>
      </c>
      <c r="D1584" s="4">
        <v>3</v>
      </c>
      <c r="E1584" s="4">
        <v>3</v>
      </c>
      <c r="F1584" s="4">
        <v>1</v>
      </c>
      <c r="G1584" s="6" t="str">
        <f t="shared" si="55"/>
        <v>31</v>
      </c>
      <c r="H1584" s="5">
        <v>0</v>
      </c>
      <c r="I1584" s="5">
        <v>174.70969989109989</v>
      </c>
      <c r="J1584" s="5">
        <v>10965.22455456866</v>
      </c>
      <c r="K1584" s="5">
        <v>0</v>
      </c>
      <c r="L1584" s="5">
        <v>127.58129637316367</v>
      </c>
      <c r="M1584" s="5">
        <v>8007.3262364179818</v>
      </c>
      <c r="N1584" s="5" t="s">
        <v>97</v>
      </c>
      <c r="O1584" s="5">
        <v>47.128403517936221</v>
      </c>
      <c r="P1584" s="5">
        <v>2957.8983181506783</v>
      </c>
      <c r="Q1584" s="5">
        <v>36.939900171644211</v>
      </c>
    </row>
    <row r="1585" spans="1:17" x14ac:dyDescent="0.2">
      <c r="A1585" s="4" t="s">
        <v>35</v>
      </c>
      <c r="B1585" s="4">
        <v>2015</v>
      </c>
      <c r="C1585" s="4" t="s">
        <v>34</v>
      </c>
      <c r="D1585" s="4">
        <v>4</v>
      </c>
      <c r="E1585" s="4">
        <v>3</v>
      </c>
      <c r="F1585" s="4">
        <v>1</v>
      </c>
      <c r="G1585" s="6" t="str">
        <f t="shared" si="55"/>
        <v>31</v>
      </c>
      <c r="H1585" s="5">
        <v>0</v>
      </c>
      <c r="I1585" s="5">
        <v>180.86345068113656</v>
      </c>
      <c r="J1585" s="5">
        <v>11351.449585621123</v>
      </c>
      <c r="K1585" s="5">
        <v>0</v>
      </c>
      <c r="L1585" s="5">
        <v>127.58129637316367</v>
      </c>
      <c r="M1585" s="5">
        <v>8007.3262364179818</v>
      </c>
      <c r="N1585" s="5" t="s">
        <v>97</v>
      </c>
      <c r="O1585" s="5">
        <v>53.282154307972888</v>
      </c>
      <c r="P1585" s="5">
        <v>3344.1233492031415</v>
      </c>
      <c r="Q1585" s="5">
        <v>41.763295892626331</v>
      </c>
    </row>
    <row r="1586" spans="1:17" x14ac:dyDescent="0.2">
      <c r="A1586" s="4" t="s">
        <v>35</v>
      </c>
      <c r="B1586" s="4">
        <v>2015</v>
      </c>
      <c r="C1586" s="4" t="s">
        <v>34</v>
      </c>
      <c r="D1586" s="4">
        <v>1</v>
      </c>
      <c r="E1586" s="4">
        <v>4</v>
      </c>
      <c r="F1586" s="4">
        <v>1</v>
      </c>
      <c r="G1586" s="6" t="str">
        <f t="shared" si="55"/>
        <v>41</v>
      </c>
      <c r="H1586" s="5">
        <v>0</v>
      </c>
      <c r="I1586" s="5">
        <v>126.55975154674695</v>
      </c>
      <c r="J1586" s="5">
        <v>7943.2114882317092</v>
      </c>
      <c r="K1586" s="5">
        <v>0</v>
      </c>
      <c r="L1586" s="5">
        <v>127.58129637316367</v>
      </c>
      <c r="M1586" s="5">
        <v>8007.3262364179818</v>
      </c>
      <c r="N1586" s="5" t="s">
        <v>97</v>
      </c>
      <c r="O1586" s="5">
        <v>-1.0215448264167151</v>
      </c>
      <c r="P1586" s="5">
        <v>-64.114748186272664</v>
      </c>
      <c r="Q1586" s="5">
        <v>-0.80070108664579553</v>
      </c>
    </row>
    <row r="1587" spans="1:17" x14ac:dyDescent="0.2">
      <c r="A1587" s="4" t="s">
        <v>35</v>
      </c>
      <c r="B1587" s="4">
        <v>2015</v>
      </c>
      <c r="C1587" s="4" t="s">
        <v>34</v>
      </c>
      <c r="D1587" s="4">
        <v>2</v>
      </c>
      <c r="E1587" s="4">
        <v>4</v>
      </c>
      <c r="F1587" s="4">
        <v>1</v>
      </c>
      <c r="G1587" s="6" t="str">
        <f t="shared" si="55"/>
        <v>41</v>
      </c>
      <c r="H1587" s="5">
        <v>0</v>
      </c>
      <c r="I1587" s="5">
        <v>175.28928866574165</v>
      </c>
      <c r="J1587" s="5">
        <v>11001.601018309459</v>
      </c>
      <c r="K1587" s="5">
        <v>0</v>
      </c>
      <c r="L1587" s="5">
        <v>127.58129637316367</v>
      </c>
      <c r="M1587" s="5">
        <v>8007.3262364179818</v>
      </c>
      <c r="N1587" s="5" t="s">
        <v>97</v>
      </c>
      <c r="O1587" s="5">
        <v>47.707992292577984</v>
      </c>
      <c r="P1587" s="5">
        <v>2994.2747818914768</v>
      </c>
      <c r="Q1587" s="5">
        <v>37.394189939124338</v>
      </c>
    </row>
    <row r="1588" spans="1:17" x14ac:dyDescent="0.2">
      <c r="A1588" s="4" t="s">
        <v>35</v>
      </c>
      <c r="B1588" s="4">
        <v>2015</v>
      </c>
      <c r="C1588" s="4" t="s">
        <v>34</v>
      </c>
      <c r="D1588" s="4">
        <v>3</v>
      </c>
      <c r="E1588" s="4">
        <v>4</v>
      </c>
      <c r="F1588" s="4">
        <v>1</v>
      </c>
      <c r="G1588" s="6" t="str">
        <f t="shared" si="55"/>
        <v>41</v>
      </c>
      <c r="H1588" s="5">
        <v>0</v>
      </c>
      <c r="I1588" s="5">
        <v>127.6327283853618</v>
      </c>
      <c r="J1588" s="5">
        <v>8010.5542401487264</v>
      </c>
      <c r="K1588" s="5">
        <v>0</v>
      </c>
      <c r="L1588" s="5">
        <v>127.58129637316367</v>
      </c>
      <c r="M1588" s="5">
        <v>8007.3262364179818</v>
      </c>
      <c r="N1588" s="5" t="s">
        <v>97</v>
      </c>
      <c r="O1588" s="5">
        <v>5.1432012198134203E-2</v>
      </c>
      <c r="P1588" s="5">
        <v>3.2280037307446037</v>
      </c>
      <c r="Q1588" s="5">
        <v>4.0313128695361203E-2</v>
      </c>
    </row>
    <row r="1589" spans="1:17" x14ac:dyDescent="0.2">
      <c r="A1589" s="4" t="s">
        <v>35</v>
      </c>
      <c r="B1589" s="4">
        <v>2015</v>
      </c>
      <c r="C1589" s="4" t="s">
        <v>34</v>
      </c>
      <c r="D1589" s="4">
        <v>4</v>
      </c>
      <c r="E1589" s="4">
        <v>4</v>
      </c>
      <c r="F1589" s="4">
        <v>1</v>
      </c>
      <c r="G1589" s="6" t="str">
        <f t="shared" si="55"/>
        <v>41</v>
      </c>
      <c r="H1589" s="5">
        <v>0</v>
      </c>
      <c r="I1589" s="5">
        <v>114.76519811707945</v>
      </c>
      <c r="J1589" s="5">
        <v>7202.9553550131404</v>
      </c>
      <c r="K1589" s="5">
        <v>0</v>
      </c>
      <c r="L1589" s="5">
        <v>127.58129637316367</v>
      </c>
      <c r="M1589" s="5">
        <v>8007.3262364179818</v>
      </c>
      <c r="N1589" s="5" t="s">
        <v>97</v>
      </c>
      <c r="O1589" s="5">
        <v>-12.816098256084217</v>
      </c>
      <c r="P1589" s="5">
        <v>-804.37088140484138</v>
      </c>
      <c r="Q1589" s="5">
        <v>-10.045436612117738</v>
      </c>
    </row>
    <row r="1590" spans="1:17" x14ac:dyDescent="0.2">
      <c r="A1590" s="4" t="s">
        <v>35</v>
      </c>
      <c r="B1590" s="4">
        <v>2015</v>
      </c>
      <c r="C1590" s="4" t="s">
        <v>34</v>
      </c>
      <c r="D1590" s="4">
        <v>1</v>
      </c>
      <c r="E1590" s="4">
        <v>5</v>
      </c>
      <c r="F1590" s="4">
        <v>1</v>
      </c>
      <c r="G1590" s="6" t="str">
        <f t="shared" si="55"/>
        <v>51</v>
      </c>
      <c r="H1590" s="5">
        <v>0</v>
      </c>
      <c r="I1590" s="5">
        <v>177.87924940124989</v>
      </c>
      <c r="J1590" s="5">
        <v>11164.153532967006</v>
      </c>
      <c r="K1590" s="5">
        <v>0</v>
      </c>
      <c r="L1590" s="5">
        <v>127.58129637316367</v>
      </c>
      <c r="M1590" s="5">
        <v>8007.3262364179818</v>
      </c>
      <c r="N1590" s="5" t="s">
        <v>97</v>
      </c>
      <c r="O1590" s="5">
        <v>50.297953028086226</v>
      </c>
      <c r="P1590" s="5">
        <v>3156.8272965490241</v>
      </c>
      <c r="Q1590" s="5">
        <v>39.424237296483724</v>
      </c>
    </row>
    <row r="1591" spans="1:17" x14ac:dyDescent="0.2">
      <c r="A1591" s="4" t="s">
        <v>35</v>
      </c>
      <c r="B1591" s="4">
        <v>2015</v>
      </c>
      <c r="C1591" s="4" t="s">
        <v>34</v>
      </c>
      <c r="D1591" s="4">
        <v>2</v>
      </c>
      <c r="E1591" s="4">
        <v>5</v>
      </c>
      <c r="F1591" s="4">
        <v>1</v>
      </c>
      <c r="G1591" s="6" t="str">
        <f t="shared" si="55"/>
        <v>51</v>
      </c>
      <c r="H1591" s="5">
        <v>0</v>
      </c>
      <c r="I1591" s="5">
        <v>68.324677001910715</v>
      </c>
      <c r="J1591" s="5">
        <v>4288.2302837868347</v>
      </c>
      <c r="K1591" s="5">
        <v>0</v>
      </c>
      <c r="L1591" s="5">
        <v>127.58129637316367</v>
      </c>
      <c r="M1591" s="5">
        <v>8007.3262364179818</v>
      </c>
      <c r="N1591" s="5" t="s">
        <v>97</v>
      </c>
      <c r="O1591" s="5">
        <v>-59.256619371252953</v>
      </c>
      <c r="P1591" s="5">
        <v>-3719.0959526311472</v>
      </c>
      <c r="Q1591" s="5">
        <v>-46.446164959738887</v>
      </c>
    </row>
    <row r="1592" spans="1:17" x14ac:dyDescent="0.2">
      <c r="A1592" s="4" t="s">
        <v>35</v>
      </c>
      <c r="B1592" s="4">
        <v>2015</v>
      </c>
      <c r="C1592" s="4" t="s">
        <v>34</v>
      </c>
      <c r="D1592" s="4">
        <v>3</v>
      </c>
      <c r="E1592" s="4">
        <v>5</v>
      </c>
      <c r="F1592" s="4">
        <v>1</v>
      </c>
      <c r="G1592" s="6" t="str">
        <f t="shared" si="55"/>
        <v>51</v>
      </c>
      <c r="H1592" s="5">
        <v>0</v>
      </c>
      <c r="I1592" s="5">
        <v>128.13680877076507</v>
      </c>
      <c r="J1592" s="5">
        <v>8042.1916055780403</v>
      </c>
      <c r="K1592" s="5">
        <v>0</v>
      </c>
      <c r="L1592" s="5">
        <v>127.58129637316367</v>
      </c>
      <c r="M1592" s="5">
        <v>8007.3262364179818</v>
      </c>
      <c r="N1592" s="5" t="s">
        <v>97</v>
      </c>
      <c r="O1592" s="5">
        <v>0.55551239760140447</v>
      </c>
      <c r="P1592" s="5">
        <v>34.865369160058435</v>
      </c>
      <c r="Q1592" s="5">
        <v>0.43541836726331762</v>
      </c>
    </row>
    <row r="1593" spans="1:17" x14ac:dyDescent="0.2">
      <c r="A1593" s="4" t="s">
        <v>35</v>
      </c>
      <c r="B1593" s="4">
        <v>2015</v>
      </c>
      <c r="C1593" s="4" t="s">
        <v>34</v>
      </c>
      <c r="D1593" s="4">
        <v>4</v>
      </c>
      <c r="E1593" s="4">
        <v>5</v>
      </c>
      <c r="F1593" s="4">
        <v>1</v>
      </c>
      <c r="G1593" s="6" t="str">
        <f t="shared" si="55"/>
        <v>51</v>
      </c>
      <c r="H1593" s="5">
        <v>0</v>
      </c>
      <c r="I1593" s="5">
        <v>87.588509016147825</v>
      </c>
      <c r="J1593" s="5">
        <v>5497.2773140848894</v>
      </c>
      <c r="K1593" s="5">
        <v>0</v>
      </c>
      <c r="L1593" s="5">
        <v>127.58129637316367</v>
      </c>
      <c r="M1593" s="5">
        <v>8007.3262364179818</v>
      </c>
      <c r="N1593" s="5" t="s">
        <v>97</v>
      </c>
      <c r="O1593" s="5">
        <v>-39.992787357015843</v>
      </c>
      <c r="P1593" s="5">
        <v>-2510.0489223330924</v>
      </c>
      <c r="Q1593" s="5">
        <v>-31.346904674836178</v>
      </c>
    </row>
    <row r="1594" spans="1:17" x14ac:dyDescent="0.2">
      <c r="A1594" s="4" t="s">
        <v>35</v>
      </c>
      <c r="B1594" s="4">
        <v>2015</v>
      </c>
      <c r="C1594" s="4" t="s">
        <v>34</v>
      </c>
      <c r="D1594" s="4">
        <v>1</v>
      </c>
      <c r="E1594" s="4">
        <v>6</v>
      </c>
      <c r="F1594" s="4">
        <v>1</v>
      </c>
      <c r="G1594" s="6" t="str">
        <f t="shared" si="55"/>
        <v>61</v>
      </c>
      <c r="H1594" s="5">
        <v>0</v>
      </c>
      <c r="I1594" s="5">
        <v>158.63602828112121</v>
      </c>
      <c r="J1594" s="5">
        <v>9956.4000947380246</v>
      </c>
      <c r="K1594" s="5">
        <v>0</v>
      </c>
      <c r="L1594" s="5">
        <v>127.58129637316367</v>
      </c>
      <c r="M1594" s="5">
        <v>8007.3262364179818</v>
      </c>
      <c r="N1594" s="5" t="s">
        <v>97</v>
      </c>
      <c r="O1594" s="5">
        <v>31.054731907957546</v>
      </c>
      <c r="P1594" s="5">
        <v>1949.0738583200427</v>
      </c>
      <c r="Q1594" s="5">
        <v>24.341132117928375</v>
      </c>
    </row>
    <row r="1595" spans="1:17" x14ac:dyDescent="0.2">
      <c r="A1595" s="4" t="s">
        <v>35</v>
      </c>
      <c r="B1595" s="4">
        <v>2015</v>
      </c>
      <c r="C1595" s="4" t="s">
        <v>34</v>
      </c>
      <c r="D1595" s="4">
        <v>2</v>
      </c>
      <c r="E1595" s="4">
        <v>6</v>
      </c>
      <c r="F1595" s="4">
        <v>1</v>
      </c>
      <c r="G1595" s="6" t="str">
        <f t="shared" si="55"/>
        <v>61</v>
      </c>
      <c r="H1595" s="5">
        <v>0</v>
      </c>
      <c r="I1595" s="5">
        <v>140.28717660772011</v>
      </c>
      <c r="J1595" s="5">
        <v>8804.7795548210797</v>
      </c>
      <c r="K1595" s="5">
        <v>0</v>
      </c>
      <c r="L1595" s="5">
        <v>127.58129637316367</v>
      </c>
      <c r="M1595" s="5">
        <v>8007.3262364179818</v>
      </c>
      <c r="N1595" s="5" t="s">
        <v>97</v>
      </c>
      <c r="O1595" s="5">
        <v>12.705880234556446</v>
      </c>
      <c r="P1595" s="5">
        <v>797.45331840309791</v>
      </c>
      <c r="Q1595" s="5">
        <v>9.9590461891787836</v>
      </c>
    </row>
    <row r="1596" spans="1:17" x14ac:dyDescent="0.2">
      <c r="A1596" s="4" t="s">
        <v>35</v>
      </c>
      <c r="B1596" s="4">
        <v>2015</v>
      </c>
      <c r="C1596" s="4" t="s">
        <v>34</v>
      </c>
      <c r="D1596" s="4">
        <v>3</v>
      </c>
      <c r="E1596" s="4">
        <v>6</v>
      </c>
      <c r="F1596" s="4">
        <v>1</v>
      </c>
      <c r="G1596" s="6" t="str">
        <f t="shared" si="55"/>
        <v>61</v>
      </c>
      <c r="H1596" s="5">
        <v>0</v>
      </c>
      <c r="I1596" s="5">
        <v>171.71791454849287</v>
      </c>
      <c r="J1596" s="5">
        <v>10777.452506873533</v>
      </c>
      <c r="K1596" s="5">
        <v>0</v>
      </c>
      <c r="L1596" s="5">
        <v>127.58129637316367</v>
      </c>
      <c r="M1596" s="5">
        <v>8007.3262364179818</v>
      </c>
      <c r="N1596" s="5" t="s">
        <v>97</v>
      </c>
      <c r="O1596" s="5">
        <v>44.136618175329204</v>
      </c>
      <c r="P1596" s="5">
        <v>2770.1262704555511</v>
      </c>
      <c r="Q1596" s="5">
        <v>34.594897081335183</v>
      </c>
    </row>
    <row r="1597" spans="1:17" x14ac:dyDescent="0.2">
      <c r="A1597" s="4" t="s">
        <v>35</v>
      </c>
      <c r="B1597" s="4">
        <v>2015</v>
      </c>
      <c r="C1597" s="4" t="s">
        <v>34</v>
      </c>
      <c r="D1597" s="4">
        <v>4</v>
      </c>
      <c r="E1597" s="4">
        <v>6</v>
      </c>
      <c r="F1597" s="4">
        <v>1</v>
      </c>
      <c r="G1597" s="6" t="str">
        <f t="shared" si="55"/>
        <v>61</v>
      </c>
      <c r="H1597" s="5">
        <v>0</v>
      </c>
      <c r="I1597" s="5">
        <v>167.70334525298153</v>
      </c>
      <c r="J1597" s="5">
        <v>10525.487940266199</v>
      </c>
      <c r="K1597" s="5">
        <v>0</v>
      </c>
      <c r="L1597" s="5">
        <v>127.58129637316367</v>
      </c>
      <c r="M1597" s="5">
        <v>8007.3262364179818</v>
      </c>
      <c r="N1597" s="5" t="s">
        <v>97</v>
      </c>
      <c r="O1597" s="5">
        <v>40.122048879817868</v>
      </c>
      <c r="P1597" s="5">
        <v>2518.1617038482173</v>
      </c>
      <c r="Q1597" s="5">
        <v>31.448221659752164</v>
      </c>
    </row>
    <row r="1598" spans="1:17" x14ac:dyDescent="0.2">
      <c r="A1598" s="4" t="s">
        <v>35</v>
      </c>
      <c r="B1598" s="4">
        <v>2015</v>
      </c>
      <c r="C1598" s="4" t="s">
        <v>34</v>
      </c>
      <c r="D1598" s="4">
        <v>1</v>
      </c>
      <c r="E1598" s="4">
        <v>7</v>
      </c>
      <c r="F1598" s="4">
        <v>2</v>
      </c>
      <c r="G1598" s="6" t="str">
        <f t="shared" si="55"/>
        <v>72</v>
      </c>
      <c r="H1598" s="5">
        <v>0</v>
      </c>
      <c r="I1598" s="5">
        <v>168.77616810649874</v>
      </c>
      <c r="J1598" s="5">
        <v>10592.821027687343</v>
      </c>
      <c r="K1598" s="5">
        <v>0</v>
      </c>
      <c r="L1598" s="5">
        <v>127.58129637316367</v>
      </c>
      <c r="M1598" s="5">
        <v>8007.3262364179818</v>
      </c>
      <c r="N1598" s="5" t="s">
        <v>97</v>
      </c>
      <c r="O1598" s="5">
        <v>41.194871733335077</v>
      </c>
      <c r="P1598" s="5">
        <v>2585.4947912693615</v>
      </c>
      <c r="Q1598" s="5">
        <v>32.289115179425529</v>
      </c>
    </row>
    <row r="1599" spans="1:17" x14ac:dyDescent="0.2">
      <c r="A1599" s="4" t="s">
        <v>35</v>
      </c>
      <c r="B1599" s="4">
        <v>2015</v>
      </c>
      <c r="C1599" s="4" t="s">
        <v>34</v>
      </c>
      <c r="D1599" s="4">
        <v>2</v>
      </c>
      <c r="E1599" s="4">
        <v>7</v>
      </c>
      <c r="F1599" s="4">
        <v>2</v>
      </c>
      <c r="G1599" s="6" t="str">
        <f t="shared" si="55"/>
        <v>72</v>
      </c>
      <c r="H1599" s="5">
        <v>0</v>
      </c>
      <c r="I1599" s="5">
        <v>69.121358387287444</v>
      </c>
      <c r="J1599" s="5">
        <v>4338.2320312258489</v>
      </c>
      <c r="K1599" s="5">
        <v>0</v>
      </c>
      <c r="L1599" s="5">
        <v>127.58129637316367</v>
      </c>
      <c r="M1599" s="5">
        <v>8007.3262364179818</v>
      </c>
      <c r="N1599" s="5" t="s">
        <v>97</v>
      </c>
      <c r="O1599" s="5">
        <v>-58.459937985876223</v>
      </c>
      <c r="P1599" s="5">
        <v>-3669.0942051921329</v>
      </c>
      <c r="Q1599" s="5">
        <v>-45.821714975278375</v>
      </c>
    </row>
    <row r="1600" spans="1:17" x14ac:dyDescent="0.2">
      <c r="A1600" s="4" t="s">
        <v>35</v>
      </c>
      <c r="B1600" s="4">
        <v>2015</v>
      </c>
      <c r="C1600" s="4" t="s">
        <v>34</v>
      </c>
      <c r="D1600" s="4">
        <v>3</v>
      </c>
      <c r="E1600" s="4">
        <v>7</v>
      </c>
      <c r="F1600" s="4">
        <v>2</v>
      </c>
      <c r="G1600" s="6" t="str">
        <f t="shared" si="55"/>
        <v>72</v>
      </c>
      <c r="H1600" s="5">
        <v>0</v>
      </c>
      <c r="I1600" s="5">
        <v>96.379265756101361</v>
      </c>
      <c r="J1600" s="5">
        <v>6049.007536953236</v>
      </c>
      <c r="K1600" s="5">
        <v>0</v>
      </c>
      <c r="L1600" s="5">
        <v>127.58129637316367</v>
      </c>
      <c r="M1600" s="5">
        <v>8007.3262364179818</v>
      </c>
      <c r="N1600" s="5" t="s">
        <v>97</v>
      </c>
      <c r="O1600" s="5">
        <v>-31.202030617062306</v>
      </c>
      <c r="P1600" s="5">
        <v>-1958.3186994647458</v>
      </c>
      <c r="Q1600" s="5">
        <v>-24.456586901107517</v>
      </c>
    </row>
    <row r="1601" spans="1:17" s="7" customFormat="1" x14ac:dyDescent="0.2">
      <c r="A1601" s="4" t="s">
        <v>35</v>
      </c>
      <c r="B1601" s="7">
        <v>2015</v>
      </c>
      <c r="C1601" s="7" t="s">
        <v>34</v>
      </c>
      <c r="D1601" s="7">
        <v>4</v>
      </c>
      <c r="E1601" s="7">
        <v>7</v>
      </c>
      <c r="F1601" s="7">
        <v>2</v>
      </c>
      <c r="G1601" s="6" t="str">
        <f t="shared" si="55"/>
        <v>72</v>
      </c>
      <c r="H1601" s="9">
        <v>0</v>
      </c>
      <c r="I1601" s="9">
        <v>161.89596474584124</v>
      </c>
      <c r="J1601" s="9">
        <v>10161.001988001897</v>
      </c>
      <c r="K1601" s="9">
        <v>0</v>
      </c>
      <c r="L1601" s="9">
        <v>127.58129637316367</v>
      </c>
      <c r="M1601" s="9">
        <v>8007.3262364179818</v>
      </c>
      <c r="N1601" s="9" t="s">
        <v>97</v>
      </c>
      <c r="O1601" s="9">
        <v>34.314668372677573</v>
      </c>
      <c r="P1601" s="9">
        <v>2153.6757515839154</v>
      </c>
      <c r="Q1601" s="9">
        <v>26.896315798759641</v>
      </c>
    </row>
    <row r="1602" spans="1:17" x14ac:dyDescent="0.2">
      <c r="A1602" s="4" t="s">
        <v>35</v>
      </c>
      <c r="B1602" s="4">
        <v>2015</v>
      </c>
      <c r="C1602" s="4" t="s">
        <v>34</v>
      </c>
      <c r="D1602" s="4">
        <v>1</v>
      </c>
      <c r="E1602" s="4">
        <v>8</v>
      </c>
      <c r="F1602" s="4">
        <v>2</v>
      </c>
      <c r="G1602" s="6" t="str">
        <f t="shared" ref="G1602:G1665" si="56">E1602&amp;F1602</f>
        <v>82</v>
      </c>
      <c r="H1602" s="5">
        <v>0</v>
      </c>
      <c r="I1602" s="5">
        <v>149.40803446806007</v>
      </c>
      <c r="J1602" s="5">
        <v>9377.2277625122952</v>
      </c>
      <c r="K1602" s="5">
        <v>0</v>
      </c>
      <c r="L1602" s="5">
        <v>127.58129637316367</v>
      </c>
      <c r="M1602" s="5">
        <v>8007.3262364179818</v>
      </c>
      <c r="N1602" s="5" t="s">
        <v>97</v>
      </c>
      <c r="O1602" s="5">
        <v>21.826738094896399</v>
      </c>
      <c r="P1602" s="5">
        <v>1369.9015260943133</v>
      </c>
      <c r="Q1602" s="5">
        <v>17.108101826348573</v>
      </c>
    </row>
    <row r="1603" spans="1:17" x14ac:dyDescent="0.2">
      <c r="A1603" s="4" t="s">
        <v>35</v>
      </c>
      <c r="B1603" s="4">
        <v>2015</v>
      </c>
      <c r="C1603" s="4" t="s">
        <v>34</v>
      </c>
      <c r="D1603" s="4">
        <v>2</v>
      </c>
      <c r="E1603" s="4">
        <v>8</v>
      </c>
      <c r="F1603" s="4">
        <v>2</v>
      </c>
      <c r="G1603" s="6" t="str">
        <f t="shared" si="56"/>
        <v>82</v>
      </c>
      <c r="H1603" s="5">
        <v>0</v>
      </c>
      <c r="I1603" s="5">
        <v>146.9670302153655</v>
      </c>
      <c r="J1603" s="5">
        <v>9224.0241350884207</v>
      </c>
      <c r="K1603" s="5">
        <v>0</v>
      </c>
      <c r="L1603" s="5">
        <v>127.58129637316367</v>
      </c>
      <c r="M1603" s="5">
        <v>8007.3262364179818</v>
      </c>
      <c r="N1603" s="5" t="s">
        <v>97</v>
      </c>
      <c r="O1603" s="5">
        <v>19.38573384220183</v>
      </c>
      <c r="P1603" s="5">
        <v>1216.6978986704389</v>
      </c>
      <c r="Q1603" s="5">
        <v>15.194808638329189</v>
      </c>
    </row>
    <row r="1604" spans="1:17" x14ac:dyDescent="0.2">
      <c r="A1604" s="4" t="s">
        <v>35</v>
      </c>
      <c r="B1604" s="4">
        <v>2015</v>
      </c>
      <c r="C1604" s="4" t="s">
        <v>34</v>
      </c>
      <c r="D1604" s="4">
        <v>3</v>
      </c>
      <c r="E1604" s="4">
        <v>8</v>
      </c>
      <c r="F1604" s="4">
        <v>2</v>
      </c>
      <c r="G1604" s="6" t="str">
        <f t="shared" si="56"/>
        <v>82</v>
      </c>
      <c r="H1604" s="5">
        <v>0</v>
      </c>
      <c r="I1604" s="5">
        <v>87.98943400747207</v>
      </c>
      <c r="J1604" s="5">
        <v>5522.4403849512983</v>
      </c>
      <c r="K1604" s="5">
        <v>0</v>
      </c>
      <c r="L1604" s="5">
        <v>127.58129637316367</v>
      </c>
      <c r="M1604" s="5">
        <v>8007.3262364179818</v>
      </c>
      <c r="N1604" s="5" t="s">
        <v>97</v>
      </c>
      <c r="O1604" s="5">
        <v>-39.591862365691597</v>
      </c>
      <c r="P1604" s="5">
        <v>-2484.8858514666836</v>
      </c>
      <c r="Q1604" s="5">
        <v>-31.032654073281257</v>
      </c>
    </row>
    <row r="1605" spans="1:17" x14ac:dyDescent="0.2">
      <c r="A1605" s="4" t="s">
        <v>35</v>
      </c>
      <c r="B1605" s="4">
        <v>2015</v>
      </c>
      <c r="C1605" s="4" t="s">
        <v>34</v>
      </c>
      <c r="D1605" s="4">
        <v>4</v>
      </c>
      <c r="E1605" s="4">
        <v>8</v>
      </c>
      <c r="F1605" s="4">
        <v>2</v>
      </c>
      <c r="G1605" s="6" t="str">
        <f t="shared" si="56"/>
        <v>82</v>
      </c>
      <c r="H1605" s="5">
        <v>0</v>
      </c>
      <c r="I1605" s="5">
        <v>150.20678212664657</v>
      </c>
      <c r="J1605" s="5">
        <v>9427.3591945066055</v>
      </c>
      <c r="K1605" s="5">
        <v>0</v>
      </c>
      <c r="L1605" s="5">
        <v>127.58129637316367</v>
      </c>
      <c r="M1605" s="5">
        <v>8007.3262364179818</v>
      </c>
      <c r="N1605" s="5" t="s">
        <v>97</v>
      </c>
      <c r="O1605" s="5">
        <v>22.625485753482906</v>
      </c>
      <c r="P1605" s="5">
        <v>1420.0329580886237</v>
      </c>
      <c r="Q1605" s="5">
        <v>17.734171384577742</v>
      </c>
    </row>
    <row r="1606" spans="1:17" x14ac:dyDescent="0.2">
      <c r="A1606" s="4" t="s">
        <v>35</v>
      </c>
      <c r="B1606" s="4">
        <v>2015</v>
      </c>
      <c r="C1606" s="4" t="s">
        <v>34</v>
      </c>
      <c r="D1606" s="4">
        <v>1</v>
      </c>
      <c r="E1606" s="4">
        <v>9</v>
      </c>
      <c r="F1606" s="4">
        <v>2</v>
      </c>
      <c r="G1606" s="6" t="str">
        <f t="shared" si="56"/>
        <v>92</v>
      </c>
      <c r="H1606" s="5">
        <v>0</v>
      </c>
      <c r="I1606" s="5">
        <v>138.85714249692231</v>
      </c>
      <c r="J1606" s="5">
        <v>8715.026981521687</v>
      </c>
      <c r="K1606" s="5">
        <v>0</v>
      </c>
      <c r="L1606" s="5">
        <v>127.58129637316367</v>
      </c>
      <c r="M1606" s="5">
        <v>8007.3262364179818</v>
      </c>
      <c r="N1606" s="5" t="s">
        <v>97</v>
      </c>
      <c r="O1606" s="5">
        <v>11.27584612375864</v>
      </c>
      <c r="P1606" s="5">
        <v>707.70074510370523</v>
      </c>
      <c r="Q1606" s="5">
        <v>8.8381655025496997</v>
      </c>
    </row>
    <row r="1607" spans="1:17" x14ac:dyDescent="0.2">
      <c r="A1607" s="4" t="s">
        <v>35</v>
      </c>
      <c r="B1607" s="4">
        <v>2015</v>
      </c>
      <c r="C1607" s="4" t="s">
        <v>34</v>
      </c>
      <c r="D1607" s="4">
        <v>2</v>
      </c>
      <c r="E1607" s="4">
        <v>9</v>
      </c>
      <c r="F1607" s="4">
        <v>2</v>
      </c>
      <c r="G1607" s="6" t="str">
        <f t="shared" si="56"/>
        <v>92</v>
      </c>
      <c r="H1607" s="5">
        <v>0</v>
      </c>
      <c r="I1607" s="5">
        <v>133.07666462179262</v>
      </c>
      <c r="J1607" s="5">
        <v>8352.2295067791765</v>
      </c>
      <c r="K1607" s="5">
        <v>0</v>
      </c>
      <c r="L1607" s="5">
        <v>127.58129637316367</v>
      </c>
      <c r="M1607" s="5">
        <v>8007.3262364179818</v>
      </c>
      <c r="N1607" s="5" t="s">
        <v>97</v>
      </c>
      <c r="O1607" s="5">
        <v>5.4953682486289495</v>
      </c>
      <c r="P1607" s="5">
        <v>344.9032703611947</v>
      </c>
      <c r="Q1607" s="5">
        <v>4.3073462998490815</v>
      </c>
    </row>
    <row r="1608" spans="1:17" x14ac:dyDescent="0.2">
      <c r="A1608" s="4" t="s">
        <v>35</v>
      </c>
      <c r="B1608" s="4">
        <v>2015</v>
      </c>
      <c r="C1608" s="4" t="s">
        <v>34</v>
      </c>
      <c r="D1608" s="4">
        <v>3</v>
      </c>
      <c r="E1608" s="4">
        <v>9</v>
      </c>
      <c r="F1608" s="4">
        <v>2</v>
      </c>
      <c r="G1608" s="6" t="str">
        <f t="shared" si="56"/>
        <v>92</v>
      </c>
      <c r="H1608" s="5">
        <v>0</v>
      </c>
      <c r="I1608" s="5">
        <v>122.59334235414381</v>
      </c>
      <c r="J1608" s="5">
        <v>7694.2695720169331</v>
      </c>
      <c r="K1608" s="5">
        <v>0</v>
      </c>
      <c r="L1608" s="5">
        <v>127.58129637316367</v>
      </c>
      <c r="M1608" s="5">
        <v>8007.3262364179818</v>
      </c>
      <c r="N1608" s="5" t="s">
        <v>97</v>
      </c>
      <c r="O1608" s="5">
        <v>-4.9879540190198526</v>
      </c>
      <c r="P1608" s="5">
        <v>-313.05666440104869</v>
      </c>
      <c r="Q1608" s="5">
        <v>-3.9096279476817255</v>
      </c>
    </row>
    <row r="1609" spans="1:17" x14ac:dyDescent="0.2">
      <c r="A1609" s="4" t="s">
        <v>35</v>
      </c>
      <c r="B1609" s="4">
        <v>2015</v>
      </c>
      <c r="C1609" s="4" t="s">
        <v>34</v>
      </c>
      <c r="D1609" s="4">
        <v>4</v>
      </c>
      <c r="E1609" s="4">
        <v>9</v>
      </c>
      <c r="F1609" s="4">
        <v>2</v>
      </c>
      <c r="G1609" s="6" t="str">
        <f t="shared" si="56"/>
        <v>92</v>
      </c>
      <c r="H1609" s="5">
        <v>0</v>
      </c>
      <c r="I1609" s="5">
        <v>156.13982008482057</v>
      </c>
      <c r="J1609" s="5">
        <v>9799.7317275869591</v>
      </c>
      <c r="K1609" s="5">
        <v>0</v>
      </c>
      <c r="L1609" s="5">
        <v>127.58129637316367</v>
      </c>
      <c r="M1609" s="5">
        <v>8007.3262364179818</v>
      </c>
      <c r="N1609" s="5" t="s">
        <v>97</v>
      </c>
      <c r="O1609" s="5">
        <v>28.558523711656903</v>
      </c>
      <c r="P1609" s="5">
        <v>1792.4054911689773</v>
      </c>
      <c r="Q1609" s="5">
        <v>22.384569308753388</v>
      </c>
    </row>
    <row r="1610" spans="1:17" x14ac:dyDescent="0.2">
      <c r="A1610" s="4" t="s">
        <v>35</v>
      </c>
      <c r="B1610" s="4">
        <v>2015</v>
      </c>
      <c r="C1610" s="4" t="s">
        <v>34</v>
      </c>
      <c r="D1610" s="4">
        <v>1</v>
      </c>
      <c r="E1610" s="4">
        <v>10</v>
      </c>
      <c r="F1610" s="4">
        <v>2</v>
      </c>
      <c r="G1610" s="6" t="str">
        <f t="shared" si="56"/>
        <v>102</v>
      </c>
      <c r="H1610" s="5">
        <v>0</v>
      </c>
      <c r="I1610" s="5">
        <v>121.61036692482215</v>
      </c>
      <c r="J1610" s="5">
        <v>7632.5755371645228</v>
      </c>
      <c r="K1610" s="5">
        <v>0</v>
      </c>
      <c r="L1610" s="5">
        <v>127.58129637316367</v>
      </c>
      <c r="M1610" s="5">
        <v>8007.3262364179818</v>
      </c>
      <c r="N1610" s="5" t="s">
        <v>97</v>
      </c>
      <c r="O1610" s="5">
        <v>-5.9709294483415221</v>
      </c>
      <c r="P1610" s="5">
        <v>-374.75069925345906</v>
      </c>
      <c r="Q1610" s="5">
        <v>-4.6800978027979161</v>
      </c>
    </row>
    <row r="1611" spans="1:17" x14ac:dyDescent="0.2">
      <c r="A1611" s="4" t="s">
        <v>35</v>
      </c>
      <c r="B1611" s="4">
        <v>2015</v>
      </c>
      <c r="C1611" s="4" t="s">
        <v>34</v>
      </c>
      <c r="D1611" s="4">
        <v>2</v>
      </c>
      <c r="E1611" s="4">
        <v>10</v>
      </c>
      <c r="F1611" s="4">
        <v>2</v>
      </c>
      <c r="G1611" s="6" t="str">
        <f t="shared" si="56"/>
        <v>102</v>
      </c>
      <c r="H1611" s="5">
        <v>0</v>
      </c>
      <c r="I1611" s="5">
        <v>79.810308016775807</v>
      </c>
      <c r="J1611" s="5">
        <v>5009.0976615421432</v>
      </c>
      <c r="K1611" s="5">
        <v>0</v>
      </c>
      <c r="L1611" s="5">
        <v>127.58129637316367</v>
      </c>
      <c r="M1611" s="5">
        <v>8007.3262364179818</v>
      </c>
      <c r="N1611" s="5" t="s">
        <v>97</v>
      </c>
      <c r="O1611" s="5">
        <v>-47.770988356387861</v>
      </c>
      <c r="P1611" s="5">
        <v>-2998.2285748758386</v>
      </c>
      <c r="Q1611" s="5">
        <v>-37.443567132804546</v>
      </c>
    </row>
    <row r="1612" spans="1:17" x14ac:dyDescent="0.2">
      <c r="A1612" s="4" t="s">
        <v>35</v>
      </c>
      <c r="B1612" s="4">
        <v>2015</v>
      </c>
      <c r="C1612" s="4" t="s">
        <v>34</v>
      </c>
      <c r="D1612" s="4">
        <v>3</v>
      </c>
      <c r="E1612" s="4">
        <v>10</v>
      </c>
      <c r="F1612" s="4">
        <v>2</v>
      </c>
      <c r="G1612" s="6" t="str">
        <f t="shared" si="56"/>
        <v>102</v>
      </c>
      <c r="H1612" s="5">
        <v>0</v>
      </c>
      <c r="I1612" s="5">
        <v>144.01727568090092</v>
      </c>
      <c r="J1612" s="5">
        <v>9038.8900476770032</v>
      </c>
      <c r="K1612" s="5">
        <v>0</v>
      </c>
      <c r="L1612" s="5">
        <v>127.58129637316367</v>
      </c>
      <c r="M1612" s="5">
        <v>8007.3262364179818</v>
      </c>
      <c r="N1612" s="5" t="s">
        <v>97</v>
      </c>
      <c r="O1612" s="5">
        <v>16.435979307737256</v>
      </c>
      <c r="P1612" s="5">
        <v>1031.5638112590213</v>
      </c>
      <c r="Q1612" s="5">
        <v>12.882749881819274</v>
      </c>
    </row>
    <row r="1613" spans="1:17" x14ac:dyDescent="0.2">
      <c r="A1613" s="4" t="s">
        <v>35</v>
      </c>
      <c r="B1613" s="4">
        <v>2015</v>
      </c>
      <c r="C1613" s="4" t="s">
        <v>34</v>
      </c>
      <c r="D1613" s="4">
        <v>4</v>
      </c>
      <c r="E1613" s="4">
        <v>10</v>
      </c>
      <c r="F1613" s="4">
        <v>2</v>
      </c>
      <c r="G1613" s="6" t="str">
        <f t="shared" si="56"/>
        <v>102</v>
      </c>
      <c r="H1613" s="5">
        <v>0</v>
      </c>
      <c r="I1613" s="5">
        <v>131.11226166097885</v>
      </c>
      <c r="J1613" s="5">
        <v>8228.9385870740371</v>
      </c>
      <c r="K1613" s="5">
        <v>0</v>
      </c>
      <c r="L1613" s="5">
        <v>127.58129637316367</v>
      </c>
      <c r="M1613" s="5">
        <v>8007.3262364179818</v>
      </c>
      <c r="N1613" s="5" t="s">
        <v>97</v>
      </c>
      <c r="O1613" s="5">
        <v>3.530965287815178</v>
      </c>
      <c r="P1613" s="5">
        <v>221.61235065605524</v>
      </c>
      <c r="Q1613" s="5">
        <v>2.7676198535304324</v>
      </c>
    </row>
    <row r="1614" spans="1:17" x14ac:dyDescent="0.2">
      <c r="A1614" s="4" t="s">
        <v>35</v>
      </c>
      <c r="B1614" s="4">
        <v>2015</v>
      </c>
      <c r="C1614" s="4" t="s">
        <v>34</v>
      </c>
      <c r="D1614" s="4">
        <v>1</v>
      </c>
      <c r="E1614" s="4">
        <v>11</v>
      </c>
      <c r="F1614" s="4">
        <v>2</v>
      </c>
      <c r="G1614" s="6" t="str">
        <f t="shared" si="56"/>
        <v>112</v>
      </c>
      <c r="H1614" s="5">
        <v>0</v>
      </c>
      <c r="I1614" s="5">
        <v>91.410342367490415</v>
      </c>
      <c r="J1614" s="5">
        <v>5737.1452832573668</v>
      </c>
      <c r="K1614" s="5">
        <v>0</v>
      </c>
      <c r="L1614" s="5">
        <v>127.58129637316367</v>
      </c>
      <c r="M1614" s="5">
        <v>8007.3262364179818</v>
      </c>
      <c r="N1614" s="5" t="s">
        <v>97</v>
      </c>
      <c r="O1614" s="5">
        <v>-36.170954005673252</v>
      </c>
      <c r="P1614" s="5">
        <v>-2270.180953160615</v>
      </c>
      <c r="Q1614" s="5">
        <v>-28.351298375176025</v>
      </c>
    </row>
    <row r="1615" spans="1:17" x14ac:dyDescent="0.2">
      <c r="A1615" s="4" t="s">
        <v>35</v>
      </c>
      <c r="B1615" s="4">
        <v>2015</v>
      </c>
      <c r="C1615" s="4" t="s">
        <v>34</v>
      </c>
      <c r="D1615" s="4">
        <v>2</v>
      </c>
      <c r="E1615" s="4">
        <v>11</v>
      </c>
      <c r="F1615" s="4">
        <v>2</v>
      </c>
      <c r="G1615" s="6" t="str">
        <f t="shared" si="56"/>
        <v>112</v>
      </c>
      <c r="H1615" s="5">
        <v>0</v>
      </c>
      <c r="I1615" s="5">
        <v>133.83747418562794</v>
      </c>
      <c r="J1615" s="5">
        <v>8399.9798475783282</v>
      </c>
      <c r="K1615" s="5">
        <v>0</v>
      </c>
      <c r="L1615" s="5">
        <v>127.58129637316367</v>
      </c>
      <c r="M1615" s="5">
        <v>8007.3262364179818</v>
      </c>
      <c r="N1615" s="5" t="s">
        <v>97</v>
      </c>
      <c r="O1615" s="5">
        <v>6.2561778124642728</v>
      </c>
      <c r="P1615" s="5">
        <v>392.65361116034637</v>
      </c>
      <c r="Q1615" s="5">
        <v>4.9036794501331205</v>
      </c>
    </row>
    <row r="1616" spans="1:17" x14ac:dyDescent="0.2">
      <c r="A1616" s="4" t="s">
        <v>35</v>
      </c>
      <c r="B1616" s="4">
        <v>2015</v>
      </c>
      <c r="C1616" s="4" t="s">
        <v>34</v>
      </c>
      <c r="D1616" s="4">
        <v>3</v>
      </c>
      <c r="E1616" s="4">
        <v>11</v>
      </c>
      <c r="F1616" s="4">
        <v>2</v>
      </c>
      <c r="G1616" s="6" t="str">
        <f t="shared" si="56"/>
        <v>112</v>
      </c>
      <c r="H1616" s="5">
        <v>0</v>
      </c>
      <c r="I1616" s="5">
        <v>91.393845804321856</v>
      </c>
      <c r="J1616" s="5">
        <v>5736.1099170491107</v>
      </c>
      <c r="K1616" s="5">
        <v>0</v>
      </c>
      <c r="L1616" s="5">
        <v>127.58129637316367</v>
      </c>
      <c r="M1616" s="5">
        <v>8007.3262364179818</v>
      </c>
      <c r="N1616" s="5" t="s">
        <v>97</v>
      </c>
      <c r="O1616" s="5">
        <v>-36.187450568841811</v>
      </c>
      <c r="P1616" s="5">
        <v>-2271.2163193688712</v>
      </c>
      <c r="Q1616" s="5">
        <v>-28.364228611533164</v>
      </c>
    </row>
    <row r="1617" spans="1:17" x14ac:dyDescent="0.2">
      <c r="A1617" s="4" t="s">
        <v>35</v>
      </c>
      <c r="B1617" s="4">
        <v>2015</v>
      </c>
      <c r="C1617" s="4" t="s">
        <v>34</v>
      </c>
      <c r="D1617" s="4">
        <v>4</v>
      </c>
      <c r="E1617" s="4">
        <v>11</v>
      </c>
      <c r="F1617" s="4">
        <v>2</v>
      </c>
      <c r="G1617" s="6" t="str">
        <f t="shared" si="56"/>
        <v>112</v>
      </c>
      <c r="H1617" s="5">
        <v>0</v>
      </c>
      <c r="I1617" s="5">
        <v>71.547755457559475</v>
      </c>
      <c r="J1617" s="5">
        <v>4490.5188747764041</v>
      </c>
      <c r="K1617" s="5">
        <v>0</v>
      </c>
      <c r="L1617" s="5">
        <v>127.58129637316367</v>
      </c>
      <c r="M1617" s="5">
        <v>8007.3262364179818</v>
      </c>
      <c r="N1617" s="5" t="s">
        <v>97</v>
      </c>
      <c r="O1617" s="5">
        <v>-56.033540915604192</v>
      </c>
      <c r="P1617" s="5">
        <v>-3516.8073616415777</v>
      </c>
      <c r="Q1617" s="5">
        <v>-43.919871100628413</v>
      </c>
    </row>
    <row r="1618" spans="1:17" x14ac:dyDescent="0.2">
      <c r="A1618" s="4" t="s">
        <v>35</v>
      </c>
      <c r="B1618" s="4">
        <v>2015</v>
      </c>
      <c r="C1618" s="4" t="s">
        <v>34</v>
      </c>
      <c r="D1618" s="4">
        <v>1</v>
      </c>
      <c r="E1618" s="4">
        <v>12</v>
      </c>
      <c r="F1618" s="4">
        <v>2</v>
      </c>
      <c r="G1618" s="6" t="str">
        <f t="shared" si="56"/>
        <v>122</v>
      </c>
      <c r="H1618" s="5">
        <v>0</v>
      </c>
      <c r="I1618" s="5">
        <v>80.068221594226131</v>
      </c>
      <c r="J1618" s="5">
        <v>5025.284972802925</v>
      </c>
      <c r="K1618" s="5">
        <v>0</v>
      </c>
      <c r="L1618" s="5">
        <v>127.58129637316367</v>
      </c>
      <c r="M1618" s="5">
        <v>8007.3262364179818</v>
      </c>
      <c r="N1618" s="5" t="s">
        <v>97</v>
      </c>
      <c r="O1618" s="5">
        <v>-47.513074778937536</v>
      </c>
      <c r="P1618" s="5">
        <v>-2982.0412636150568</v>
      </c>
      <c r="Q1618" s="5">
        <v>-37.24141087261421</v>
      </c>
    </row>
    <row r="1619" spans="1:17" x14ac:dyDescent="0.2">
      <c r="A1619" s="4" t="s">
        <v>35</v>
      </c>
      <c r="B1619" s="4">
        <v>2015</v>
      </c>
      <c r="C1619" s="4" t="s">
        <v>34</v>
      </c>
      <c r="D1619" s="4">
        <v>2</v>
      </c>
      <c r="E1619" s="4">
        <v>12</v>
      </c>
      <c r="F1619" s="4">
        <v>2</v>
      </c>
      <c r="G1619" s="6" t="str">
        <f t="shared" si="56"/>
        <v>122</v>
      </c>
      <c r="H1619" s="5">
        <v>0</v>
      </c>
      <c r="I1619" s="5">
        <v>140.9904194328717</v>
      </c>
      <c r="J1619" s="5">
        <v>8848.9168608721066</v>
      </c>
      <c r="K1619" s="5">
        <v>0</v>
      </c>
      <c r="L1619" s="5">
        <v>127.58129637316367</v>
      </c>
      <c r="M1619" s="5">
        <v>8007.3262364179818</v>
      </c>
      <c r="N1619" s="5" t="s">
        <v>97</v>
      </c>
      <c r="O1619" s="5">
        <v>13.409123059708037</v>
      </c>
      <c r="P1619" s="5">
        <v>841.59062445412474</v>
      </c>
      <c r="Q1619" s="5">
        <v>10.51025772656172</v>
      </c>
    </row>
    <row r="1620" spans="1:17" x14ac:dyDescent="0.2">
      <c r="A1620" s="4" t="s">
        <v>35</v>
      </c>
      <c r="B1620" s="4">
        <v>2015</v>
      </c>
      <c r="C1620" s="4" t="s">
        <v>34</v>
      </c>
      <c r="D1620" s="4">
        <v>3</v>
      </c>
      <c r="E1620" s="4">
        <v>12</v>
      </c>
      <c r="F1620" s="4">
        <v>2</v>
      </c>
      <c r="G1620" s="6" t="str">
        <f t="shared" si="56"/>
        <v>122</v>
      </c>
      <c r="H1620" s="5">
        <v>0</v>
      </c>
      <c r="I1620" s="5">
        <v>146.12411768462491</v>
      </c>
      <c r="J1620" s="5">
        <v>9171.1208035321779</v>
      </c>
      <c r="K1620" s="5">
        <v>0</v>
      </c>
      <c r="L1620" s="5">
        <v>127.58129637316367</v>
      </c>
      <c r="M1620" s="5">
        <v>8007.3262364179818</v>
      </c>
      <c r="N1620" s="5" t="s">
        <v>97</v>
      </c>
      <c r="O1620" s="5">
        <v>18.542821311461239</v>
      </c>
      <c r="P1620" s="5">
        <v>1163.7945671141961</v>
      </c>
      <c r="Q1620" s="5">
        <v>14.534122037155949</v>
      </c>
    </row>
    <row r="1621" spans="1:17" x14ac:dyDescent="0.2">
      <c r="A1621" s="4" t="s">
        <v>35</v>
      </c>
      <c r="B1621" s="4">
        <v>2015</v>
      </c>
      <c r="C1621" s="4" t="s">
        <v>34</v>
      </c>
      <c r="D1621" s="4">
        <v>4</v>
      </c>
      <c r="E1621" s="4">
        <v>12</v>
      </c>
      <c r="F1621" s="4">
        <v>2</v>
      </c>
      <c r="G1621" s="6" t="str">
        <f t="shared" si="56"/>
        <v>122</v>
      </c>
      <c r="H1621" s="5">
        <v>0</v>
      </c>
      <c r="I1621" s="5">
        <v>114.33359020551752</v>
      </c>
      <c r="J1621" s="5">
        <v>7175.8665461332967</v>
      </c>
      <c r="K1621" s="5">
        <v>0</v>
      </c>
      <c r="L1621" s="5">
        <v>127.58129637316367</v>
      </c>
      <c r="M1621" s="5">
        <v>8007.3262364179818</v>
      </c>
      <c r="N1621" s="5" t="s">
        <v>97</v>
      </c>
      <c r="O1621" s="5">
        <v>-13.247706167646143</v>
      </c>
      <c r="P1621" s="5">
        <v>-831.45969028468517</v>
      </c>
      <c r="Q1621" s="5">
        <v>-10.383736914616239</v>
      </c>
    </row>
    <row r="1622" spans="1:17" x14ac:dyDescent="0.2">
      <c r="A1622" s="4" t="s">
        <v>35</v>
      </c>
      <c r="B1622" s="4">
        <v>2015</v>
      </c>
      <c r="C1622" s="4" t="s">
        <v>34</v>
      </c>
      <c r="D1622" s="4">
        <v>1</v>
      </c>
      <c r="E1622" s="4">
        <v>13</v>
      </c>
      <c r="F1622" s="4">
        <v>2</v>
      </c>
      <c r="G1622" s="6" t="str">
        <f t="shared" si="56"/>
        <v>132</v>
      </c>
      <c r="H1622" s="5">
        <v>0</v>
      </c>
      <c r="I1622" s="5">
        <v>88.277916745160297</v>
      </c>
      <c r="J1622" s="5">
        <v>5540.5462943589609</v>
      </c>
      <c r="K1622" s="5">
        <v>0</v>
      </c>
      <c r="L1622" s="5">
        <v>127.58129637316367</v>
      </c>
      <c r="M1622" s="5">
        <v>8007.3262364179818</v>
      </c>
      <c r="N1622" s="5" t="s">
        <v>97</v>
      </c>
      <c r="O1622" s="5">
        <v>-39.30337962800337</v>
      </c>
      <c r="P1622" s="5">
        <v>-2466.7799420590209</v>
      </c>
      <c r="Q1622" s="5">
        <v>-30.806537278822262</v>
      </c>
    </row>
    <row r="1623" spans="1:17" x14ac:dyDescent="0.2">
      <c r="A1623" s="4" t="s">
        <v>35</v>
      </c>
      <c r="B1623" s="4">
        <v>2015</v>
      </c>
      <c r="C1623" s="4" t="s">
        <v>34</v>
      </c>
      <c r="D1623" s="4">
        <v>2</v>
      </c>
      <c r="E1623" s="4">
        <v>13</v>
      </c>
      <c r="F1623" s="4">
        <v>2</v>
      </c>
      <c r="G1623" s="6" t="str">
        <f t="shared" si="56"/>
        <v>132</v>
      </c>
      <c r="H1623" s="5">
        <v>0</v>
      </c>
      <c r="I1623" s="5">
        <v>82.049734486433877</v>
      </c>
      <c r="J1623" s="5">
        <v>5149.6497552641968</v>
      </c>
      <c r="K1623" s="5">
        <v>0</v>
      </c>
      <c r="L1623" s="5">
        <v>127.58129637316367</v>
      </c>
      <c r="M1623" s="5">
        <v>8007.3262364179818</v>
      </c>
      <c r="N1623" s="5" t="s">
        <v>97</v>
      </c>
      <c r="O1623" s="5">
        <v>-45.53156188672979</v>
      </c>
      <c r="P1623" s="5">
        <v>-2857.6764811537851</v>
      </c>
      <c r="Q1623" s="5">
        <v>-35.688273423366169</v>
      </c>
    </row>
    <row r="1624" spans="1:17" x14ac:dyDescent="0.2">
      <c r="A1624" s="4" t="s">
        <v>35</v>
      </c>
      <c r="B1624" s="4">
        <v>2015</v>
      </c>
      <c r="C1624" s="4" t="s">
        <v>34</v>
      </c>
      <c r="D1624" s="4">
        <v>3</v>
      </c>
      <c r="E1624" s="4">
        <v>13</v>
      </c>
      <c r="F1624" s="4">
        <v>2</v>
      </c>
      <c r="G1624" s="6" t="str">
        <f t="shared" si="56"/>
        <v>132</v>
      </c>
      <c r="H1624" s="5">
        <v>0</v>
      </c>
      <c r="I1624" s="5">
        <v>147.93148198691367</v>
      </c>
      <c r="J1624" s="5">
        <v>9284.5555781260373</v>
      </c>
      <c r="K1624" s="5">
        <v>0</v>
      </c>
      <c r="L1624" s="5">
        <v>127.58129637316367</v>
      </c>
      <c r="M1624" s="5">
        <v>8007.3262364179818</v>
      </c>
      <c r="N1624" s="5" t="s">
        <v>97</v>
      </c>
      <c r="O1624" s="5">
        <v>20.35018561375</v>
      </c>
      <c r="P1624" s="5">
        <v>1277.2293417080555</v>
      </c>
      <c r="Q1624" s="5">
        <v>15.950759392056623</v>
      </c>
    </row>
    <row r="1625" spans="1:17" x14ac:dyDescent="0.2">
      <c r="A1625" s="4" t="s">
        <v>35</v>
      </c>
      <c r="B1625" s="4">
        <v>2015</v>
      </c>
      <c r="C1625" s="4" t="s">
        <v>34</v>
      </c>
      <c r="D1625" s="4">
        <v>4</v>
      </c>
      <c r="E1625" s="4">
        <v>13</v>
      </c>
      <c r="F1625" s="4">
        <v>2</v>
      </c>
      <c r="G1625" s="6" t="str">
        <f t="shared" si="56"/>
        <v>132</v>
      </c>
      <c r="H1625" s="5">
        <v>0</v>
      </c>
      <c r="I1625" s="5">
        <v>102.20846638844526</v>
      </c>
      <c r="J1625" s="5">
        <v>6414.8629757017779</v>
      </c>
      <c r="K1625" s="5">
        <v>0</v>
      </c>
      <c r="L1625" s="5">
        <v>127.58129637316367</v>
      </c>
      <c r="M1625" s="5">
        <v>8007.3262364179818</v>
      </c>
      <c r="N1625" s="5" t="s">
        <v>97</v>
      </c>
      <c r="O1625" s="5">
        <v>-25.372829984718408</v>
      </c>
      <c r="P1625" s="5">
        <v>-1592.4632607162039</v>
      </c>
      <c r="Q1625" s="5">
        <v>-19.887578121565088</v>
      </c>
    </row>
    <row r="1626" spans="1:17" x14ac:dyDescent="0.2">
      <c r="A1626" s="4" t="s">
        <v>35</v>
      </c>
      <c r="B1626" s="4">
        <v>2015</v>
      </c>
      <c r="C1626" s="4" t="s">
        <v>34</v>
      </c>
      <c r="D1626" s="4">
        <v>1</v>
      </c>
      <c r="E1626" s="4">
        <v>14</v>
      </c>
      <c r="F1626" s="4">
        <v>2</v>
      </c>
      <c r="G1626" s="6" t="str">
        <f t="shared" si="56"/>
        <v>142</v>
      </c>
      <c r="H1626" s="5">
        <v>0</v>
      </c>
      <c r="I1626" s="5">
        <v>77.457597612103513</v>
      </c>
      <c r="J1626" s="5">
        <v>4861.4355803000471</v>
      </c>
      <c r="K1626" s="5">
        <v>0</v>
      </c>
      <c r="L1626" s="5">
        <v>127.58129637316367</v>
      </c>
      <c r="M1626" s="5">
        <v>8007.3262364179818</v>
      </c>
      <c r="N1626" s="5" t="s">
        <v>97</v>
      </c>
      <c r="O1626" s="5">
        <v>-50.123698761060155</v>
      </c>
      <c r="P1626" s="5">
        <v>-3145.8906561179347</v>
      </c>
      <c r="Q1626" s="5">
        <v>-39.287654370945496</v>
      </c>
    </row>
    <row r="1627" spans="1:17" x14ac:dyDescent="0.2">
      <c r="A1627" s="4" t="s">
        <v>35</v>
      </c>
      <c r="B1627" s="4">
        <v>2015</v>
      </c>
      <c r="C1627" s="4" t="s">
        <v>34</v>
      </c>
      <c r="D1627" s="4">
        <v>2</v>
      </c>
      <c r="E1627" s="4">
        <v>14</v>
      </c>
      <c r="F1627" s="4">
        <v>2</v>
      </c>
      <c r="G1627" s="6" t="str">
        <f t="shared" si="56"/>
        <v>142</v>
      </c>
      <c r="H1627" s="5">
        <v>0</v>
      </c>
      <c r="I1627" s="5">
        <v>158.16263337598159</v>
      </c>
      <c r="J1627" s="5">
        <v>9926.6886279958781</v>
      </c>
      <c r="K1627" s="5">
        <v>0</v>
      </c>
      <c r="L1627" s="5">
        <v>127.58129637316367</v>
      </c>
      <c r="M1627" s="5">
        <v>8007.3262364179818</v>
      </c>
      <c r="N1627" s="5" t="s">
        <v>97</v>
      </c>
      <c r="O1627" s="5">
        <v>30.581337002817918</v>
      </c>
      <c r="P1627" s="5">
        <v>1919.3623915778962</v>
      </c>
      <c r="Q1627" s="5">
        <v>23.970078586888061</v>
      </c>
    </row>
    <row r="1628" spans="1:17" x14ac:dyDescent="0.2">
      <c r="A1628" s="4" t="s">
        <v>35</v>
      </c>
      <c r="B1628" s="4">
        <v>2015</v>
      </c>
      <c r="C1628" s="4" t="s">
        <v>34</v>
      </c>
      <c r="D1628" s="4">
        <v>3</v>
      </c>
      <c r="E1628" s="4">
        <v>14</v>
      </c>
      <c r="F1628" s="4">
        <v>2</v>
      </c>
      <c r="G1628" s="6" t="str">
        <f t="shared" si="56"/>
        <v>142</v>
      </c>
      <c r="H1628" s="5">
        <v>0</v>
      </c>
      <c r="I1628" s="5">
        <v>81.264413306661524</v>
      </c>
      <c r="J1628" s="5">
        <v>5100.361003185576</v>
      </c>
      <c r="K1628" s="5">
        <v>0</v>
      </c>
      <c r="L1628" s="5">
        <v>127.58129637316367</v>
      </c>
      <c r="M1628" s="5">
        <v>8007.3262364179818</v>
      </c>
      <c r="N1628" s="5" t="s">
        <v>97</v>
      </c>
      <c r="O1628" s="5">
        <v>-46.316883066502143</v>
      </c>
      <c r="P1628" s="5">
        <v>-2906.9652332324058</v>
      </c>
      <c r="Q1628" s="5">
        <v>-36.303819120186304</v>
      </c>
    </row>
    <row r="1629" spans="1:17" x14ac:dyDescent="0.2">
      <c r="A1629" s="4" t="s">
        <v>35</v>
      </c>
      <c r="B1629" s="4">
        <v>2015</v>
      </c>
      <c r="C1629" s="4" t="s">
        <v>34</v>
      </c>
      <c r="D1629" s="4">
        <v>4</v>
      </c>
      <c r="E1629" s="4">
        <v>14</v>
      </c>
      <c r="F1629" s="4">
        <v>2</v>
      </c>
      <c r="G1629" s="6" t="str">
        <f t="shared" si="56"/>
        <v>142</v>
      </c>
      <c r="H1629" s="5">
        <v>0</v>
      </c>
      <c r="I1629" s="5">
        <v>128.39035227321742</v>
      </c>
      <c r="J1629" s="5">
        <v>8058.1046398312883</v>
      </c>
      <c r="K1629" s="5">
        <v>0</v>
      </c>
      <c r="L1629" s="5">
        <v>127.58129637316367</v>
      </c>
      <c r="M1629" s="5">
        <v>8007.3262364179818</v>
      </c>
      <c r="N1629" s="5" t="s">
        <v>97</v>
      </c>
      <c r="O1629" s="5">
        <v>0.80905590005374961</v>
      </c>
      <c r="P1629" s="5">
        <v>50.778403413306478</v>
      </c>
      <c r="Q1629" s="5">
        <v>0.6341493017027594</v>
      </c>
    </row>
    <row r="1630" spans="1:17" x14ac:dyDescent="0.2">
      <c r="A1630" s="4" t="s">
        <v>35</v>
      </c>
      <c r="B1630" s="4">
        <v>2015</v>
      </c>
      <c r="C1630" s="4" t="s">
        <v>34</v>
      </c>
      <c r="D1630" s="4">
        <v>1</v>
      </c>
      <c r="E1630" s="4">
        <v>15</v>
      </c>
      <c r="F1630" s="4">
        <v>3</v>
      </c>
      <c r="G1630" s="6" t="str">
        <f t="shared" si="56"/>
        <v>153</v>
      </c>
      <c r="H1630" s="5">
        <v>0</v>
      </c>
      <c r="I1630" s="5">
        <v>84.951513717417924</v>
      </c>
      <c r="J1630" s="5">
        <v>5331.7727907645549</v>
      </c>
      <c r="K1630" s="5">
        <v>0</v>
      </c>
      <c r="L1630" s="5">
        <v>127.58129637316367</v>
      </c>
      <c r="M1630" s="5">
        <v>8007.3262364179818</v>
      </c>
      <c r="N1630" s="5" t="s">
        <v>97</v>
      </c>
      <c r="O1630" s="5">
        <v>-42.629782655745743</v>
      </c>
      <c r="P1630" s="5">
        <v>-2675.5534456534269</v>
      </c>
      <c r="Q1630" s="5">
        <v>-33.413818379033799</v>
      </c>
    </row>
    <row r="1631" spans="1:17" x14ac:dyDescent="0.2">
      <c r="A1631" s="4" t="s">
        <v>35</v>
      </c>
      <c r="B1631" s="4">
        <v>2015</v>
      </c>
      <c r="C1631" s="4" t="s">
        <v>34</v>
      </c>
      <c r="D1631" s="4">
        <v>2</v>
      </c>
      <c r="E1631" s="4">
        <v>15</v>
      </c>
      <c r="F1631" s="4">
        <v>3</v>
      </c>
      <c r="G1631" s="6" t="str">
        <f t="shared" si="56"/>
        <v>153</v>
      </c>
      <c r="H1631" s="5">
        <v>0</v>
      </c>
      <c r="I1631" s="5">
        <v>150.0247968614988</v>
      </c>
      <c r="J1631" s="5">
        <v>9415.9373369954774</v>
      </c>
      <c r="K1631" s="5">
        <v>0</v>
      </c>
      <c r="L1631" s="5">
        <v>127.58129637316367</v>
      </c>
      <c r="M1631" s="5">
        <v>8007.3262364179818</v>
      </c>
      <c r="N1631" s="5" t="s">
        <v>97</v>
      </c>
      <c r="O1631" s="5">
        <v>22.443500488335133</v>
      </c>
      <c r="P1631" s="5">
        <v>1408.6111005774956</v>
      </c>
      <c r="Q1631" s="5">
        <v>17.591528794855588</v>
      </c>
    </row>
    <row r="1632" spans="1:17" x14ac:dyDescent="0.2">
      <c r="A1632" s="4" t="s">
        <v>35</v>
      </c>
      <c r="B1632" s="4">
        <v>2015</v>
      </c>
      <c r="C1632" s="4" t="s">
        <v>34</v>
      </c>
      <c r="D1632" s="4">
        <v>3</v>
      </c>
      <c r="E1632" s="4">
        <v>15</v>
      </c>
      <c r="F1632" s="4">
        <v>3</v>
      </c>
      <c r="G1632" s="6" t="str">
        <f t="shared" si="56"/>
        <v>153</v>
      </c>
      <c r="H1632" s="5">
        <v>0</v>
      </c>
      <c r="I1632" s="5">
        <v>187.47879344116481</v>
      </c>
      <c r="J1632" s="5">
        <v>11766.645301224577</v>
      </c>
      <c r="K1632" s="5">
        <v>0</v>
      </c>
      <c r="L1632" s="5">
        <v>127.58129637316367</v>
      </c>
      <c r="M1632" s="5">
        <v>8007.3262364179818</v>
      </c>
      <c r="N1632" s="5" t="s">
        <v>97</v>
      </c>
      <c r="O1632" s="5">
        <v>59.897497068001144</v>
      </c>
      <c r="P1632" s="5">
        <v>3759.3190648065947</v>
      </c>
      <c r="Q1632" s="5">
        <v>46.94849383941547</v>
      </c>
    </row>
    <row r="1633" spans="1:17" x14ac:dyDescent="0.2">
      <c r="A1633" s="4" t="s">
        <v>35</v>
      </c>
      <c r="B1633" s="4">
        <v>2015</v>
      </c>
      <c r="C1633" s="4" t="s">
        <v>34</v>
      </c>
      <c r="D1633" s="4">
        <v>4</v>
      </c>
      <c r="E1633" s="4">
        <v>15</v>
      </c>
      <c r="F1633" s="4">
        <v>3</v>
      </c>
      <c r="G1633" s="6" t="str">
        <f t="shared" si="56"/>
        <v>153</v>
      </c>
      <c r="H1633" s="5">
        <v>0</v>
      </c>
      <c r="I1633" s="5">
        <v>119.72539457578112</v>
      </c>
      <c r="J1633" s="5">
        <v>7514.2698844201641</v>
      </c>
      <c r="K1633" s="5">
        <v>0</v>
      </c>
      <c r="L1633" s="5">
        <v>127.58129637316367</v>
      </c>
      <c r="M1633" s="5">
        <v>8007.3262364179818</v>
      </c>
      <c r="N1633" s="5" t="s">
        <v>97</v>
      </c>
      <c r="O1633" s="5">
        <v>-7.8559017973825434</v>
      </c>
      <c r="P1633" s="5">
        <v>-493.05635199781773</v>
      </c>
      <c r="Q1633" s="5">
        <v>-6.1575654274626235</v>
      </c>
    </row>
    <row r="1634" spans="1:17" x14ac:dyDescent="0.2">
      <c r="A1634" s="4" t="s">
        <v>35</v>
      </c>
      <c r="B1634" s="4">
        <v>2015</v>
      </c>
      <c r="C1634" s="4" t="s">
        <v>34</v>
      </c>
      <c r="D1634" s="4">
        <v>1</v>
      </c>
      <c r="E1634" s="4">
        <v>16</v>
      </c>
      <c r="F1634" s="4">
        <v>3</v>
      </c>
      <c r="G1634" s="6" t="str">
        <f t="shared" si="56"/>
        <v>163</v>
      </c>
      <c r="H1634" s="5">
        <v>0</v>
      </c>
      <c r="I1634" s="5">
        <v>84.784865311373665</v>
      </c>
      <c r="J1634" s="5">
        <v>5321.3135134887352</v>
      </c>
      <c r="K1634" s="5">
        <v>0</v>
      </c>
      <c r="L1634" s="5">
        <v>127.58129637316367</v>
      </c>
      <c r="M1634" s="5">
        <v>8007.3262364179818</v>
      </c>
      <c r="N1634" s="5" t="s">
        <v>97</v>
      </c>
      <c r="O1634" s="5">
        <v>-42.796431061790003</v>
      </c>
      <c r="P1634" s="5">
        <v>-2686.0127229292466</v>
      </c>
      <c r="Q1634" s="5">
        <v>-33.544439724624162</v>
      </c>
    </row>
    <row r="1635" spans="1:17" x14ac:dyDescent="0.2">
      <c r="A1635" s="4" t="s">
        <v>35</v>
      </c>
      <c r="B1635" s="4">
        <v>2015</v>
      </c>
      <c r="C1635" s="4" t="s">
        <v>34</v>
      </c>
      <c r="D1635" s="4">
        <v>2</v>
      </c>
      <c r="E1635" s="4">
        <v>16</v>
      </c>
      <c r="F1635" s="4">
        <v>3</v>
      </c>
      <c r="G1635" s="6" t="str">
        <f t="shared" si="56"/>
        <v>163</v>
      </c>
      <c r="H1635" s="5">
        <v>0</v>
      </c>
      <c r="I1635" s="5">
        <v>154.10603381792143</v>
      </c>
      <c r="J1635" s="5">
        <v>9672.0861353476757</v>
      </c>
      <c r="K1635" s="5">
        <v>0</v>
      </c>
      <c r="L1635" s="5">
        <v>127.58129637316367</v>
      </c>
      <c r="M1635" s="5">
        <v>8007.3262364179818</v>
      </c>
      <c r="N1635" s="5" t="s">
        <v>97</v>
      </c>
      <c r="O1635" s="5">
        <v>26.524737444757761</v>
      </c>
      <c r="P1635" s="5">
        <v>1664.7598989296939</v>
      </c>
      <c r="Q1635" s="5">
        <v>20.790459259149806</v>
      </c>
    </row>
    <row r="1636" spans="1:17" x14ac:dyDescent="0.2">
      <c r="A1636" s="4" t="s">
        <v>35</v>
      </c>
      <c r="B1636" s="4">
        <v>2015</v>
      </c>
      <c r="C1636" s="4" t="s">
        <v>34</v>
      </c>
      <c r="D1636" s="4">
        <v>3</v>
      </c>
      <c r="E1636" s="4">
        <v>16</v>
      </c>
      <c r="F1636" s="4">
        <v>3</v>
      </c>
      <c r="G1636" s="6" t="str">
        <f t="shared" si="56"/>
        <v>163</v>
      </c>
      <c r="H1636" s="5">
        <v>0</v>
      </c>
      <c r="I1636" s="5">
        <v>146.83060073376396</v>
      </c>
      <c r="J1636" s="5">
        <v>9215.4614742713238</v>
      </c>
      <c r="K1636" s="5">
        <v>0</v>
      </c>
      <c r="L1636" s="5">
        <v>127.58129637316367</v>
      </c>
      <c r="M1636" s="5">
        <v>8007.3262364179818</v>
      </c>
      <c r="N1636" s="5" t="s">
        <v>97</v>
      </c>
      <c r="O1636" s="5">
        <v>19.249304360600291</v>
      </c>
      <c r="P1636" s="5">
        <v>1208.135237853342</v>
      </c>
      <c r="Q1636" s="5">
        <v>15.087873307305042</v>
      </c>
    </row>
    <row r="1637" spans="1:17" x14ac:dyDescent="0.2">
      <c r="A1637" s="4" t="s">
        <v>35</v>
      </c>
      <c r="B1637" s="4">
        <v>2015</v>
      </c>
      <c r="C1637" s="4" t="s">
        <v>34</v>
      </c>
      <c r="D1637" s="4">
        <v>4</v>
      </c>
      <c r="E1637" s="4">
        <v>16</v>
      </c>
      <c r="F1637" s="4">
        <v>3</v>
      </c>
      <c r="G1637" s="6" t="str">
        <f t="shared" si="56"/>
        <v>163</v>
      </c>
      <c r="H1637" s="5">
        <v>0</v>
      </c>
      <c r="I1637" s="5">
        <v>168.7582923745405</v>
      </c>
      <c r="J1637" s="5">
        <v>10591.699101342547</v>
      </c>
      <c r="K1637" s="5">
        <v>0</v>
      </c>
      <c r="L1637" s="5">
        <v>127.58129637316367</v>
      </c>
      <c r="M1637" s="5">
        <v>8007.3262364179818</v>
      </c>
      <c r="N1637" s="5" t="s">
        <v>97</v>
      </c>
      <c r="O1637" s="5">
        <v>41.176996001376835</v>
      </c>
      <c r="P1637" s="5">
        <v>2584.372864924565</v>
      </c>
      <c r="Q1637" s="5">
        <v>32.275103931330079</v>
      </c>
    </row>
    <row r="1638" spans="1:17" x14ac:dyDescent="0.2">
      <c r="A1638" s="4" t="s">
        <v>35</v>
      </c>
      <c r="B1638" s="4">
        <v>2015</v>
      </c>
      <c r="C1638" s="4" t="s">
        <v>34</v>
      </c>
      <c r="D1638" s="4">
        <v>1</v>
      </c>
      <c r="E1638" s="4">
        <v>17</v>
      </c>
      <c r="F1638" s="4">
        <v>3</v>
      </c>
      <c r="G1638" s="6" t="str">
        <f t="shared" si="56"/>
        <v>173</v>
      </c>
      <c r="H1638" s="5">
        <v>0</v>
      </c>
      <c r="I1638" s="5">
        <v>74.1415027626186</v>
      </c>
      <c r="J1638" s="5">
        <v>4653.3090441574313</v>
      </c>
      <c r="K1638" s="5">
        <v>0</v>
      </c>
      <c r="L1638" s="5">
        <v>127.58129637316367</v>
      </c>
      <c r="M1638" s="5">
        <v>8007.3262364179818</v>
      </c>
      <c r="N1638" s="5" t="s">
        <v>97</v>
      </c>
      <c r="O1638" s="5">
        <v>-53.439793610545067</v>
      </c>
      <c r="P1638" s="5">
        <v>-3354.0171922605505</v>
      </c>
      <c r="Q1638" s="5">
        <v>-41.886855777228142</v>
      </c>
    </row>
    <row r="1639" spans="1:17" x14ac:dyDescent="0.2">
      <c r="A1639" s="4" t="s">
        <v>35</v>
      </c>
      <c r="B1639" s="4">
        <v>2015</v>
      </c>
      <c r="C1639" s="4" t="s">
        <v>34</v>
      </c>
      <c r="D1639" s="4">
        <v>2</v>
      </c>
      <c r="E1639" s="4">
        <v>17</v>
      </c>
      <c r="F1639" s="4">
        <v>3</v>
      </c>
      <c r="G1639" s="6" t="str">
        <f t="shared" si="56"/>
        <v>173</v>
      </c>
      <c r="H1639" s="5">
        <v>0</v>
      </c>
      <c r="I1639" s="5">
        <v>168.11754192669599</v>
      </c>
      <c r="J1639" s="5">
        <v>10551.483975631525</v>
      </c>
      <c r="K1639" s="5">
        <v>0</v>
      </c>
      <c r="L1639" s="5">
        <v>127.58129637316367</v>
      </c>
      <c r="M1639" s="5">
        <v>8007.3262364179818</v>
      </c>
      <c r="N1639" s="5" t="s">
        <v>97</v>
      </c>
      <c r="O1639" s="5">
        <v>40.536245553532325</v>
      </c>
      <c r="P1639" s="5">
        <v>2544.1577392135432</v>
      </c>
      <c r="Q1639" s="5">
        <v>31.772874791119456</v>
      </c>
    </row>
    <row r="1640" spans="1:17" x14ac:dyDescent="0.2">
      <c r="A1640" s="4" t="s">
        <v>35</v>
      </c>
      <c r="B1640" s="4">
        <v>2015</v>
      </c>
      <c r="C1640" s="4" t="s">
        <v>34</v>
      </c>
      <c r="D1640" s="4">
        <v>3</v>
      </c>
      <c r="E1640" s="4">
        <v>17</v>
      </c>
      <c r="F1640" s="4">
        <v>3</v>
      </c>
      <c r="G1640" s="6" t="str">
        <f t="shared" si="56"/>
        <v>173</v>
      </c>
      <c r="H1640" s="5">
        <v>0</v>
      </c>
      <c r="I1640" s="5">
        <v>135.70870179288008</v>
      </c>
      <c r="J1640" s="5">
        <v>8517.4228454142667</v>
      </c>
      <c r="K1640" s="5">
        <v>0</v>
      </c>
      <c r="L1640" s="5">
        <v>127.58129637316367</v>
      </c>
      <c r="M1640" s="5">
        <v>8007.3262364179818</v>
      </c>
      <c r="N1640" s="5" t="s">
        <v>97</v>
      </c>
      <c r="O1640" s="5">
        <v>8.1274054197164105</v>
      </c>
      <c r="P1640" s="5">
        <v>510.09660899628489</v>
      </c>
      <c r="Q1640" s="5">
        <v>6.370373754429079</v>
      </c>
    </row>
    <row r="1641" spans="1:17" x14ac:dyDescent="0.2">
      <c r="A1641" s="4" t="s">
        <v>35</v>
      </c>
      <c r="B1641" s="4">
        <v>2015</v>
      </c>
      <c r="C1641" s="4" t="s">
        <v>34</v>
      </c>
      <c r="D1641" s="4">
        <v>4</v>
      </c>
      <c r="E1641" s="4">
        <v>17</v>
      </c>
      <c r="F1641" s="4">
        <v>3</v>
      </c>
      <c r="G1641" s="6" t="str">
        <f t="shared" si="56"/>
        <v>173</v>
      </c>
      <c r="H1641" s="5">
        <v>0</v>
      </c>
      <c r="I1641" s="5">
        <v>80.138316603265935</v>
      </c>
      <c r="J1641" s="5">
        <v>5029.6843136223242</v>
      </c>
      <c r="K1641" s="5">
        <v>0</v>
      </c>
      <c r="L1641" s="5">
        <v>127.58129637316367</v>
      </c>
      <c r="M1641" s="5">
        <v>8007.3262364179818</v>
      </c>
      <c r="N1641" s="5" t="s">
        <v>97</v>
      </c>
      <c r="O1641" s="5">
        <v>-47.442979769897732</v>
      </c>
      <c r="P1641" s="5">
        <v>-2977.6419227956576</v>
      </c>
      <c r="Q1641" s="5">
        <v>-37.186469426624527</v>
      </c>
    </row>
    <row r="1642" spans="1:17" x14ac:dyDescent="0.2">
      <c r="A1642" s="4" t="s">
        <v>35</v>
      </c>
      <c r="B1642" s="4">
        <v>2015</v>
      </c>
      <c r="C1642" s="4" t="s">
        <v>34</v>
      </c>
      <c r="D1642" s="4">
        <v>1</v>
      </c>
      <c r="E1642" s="4">
        <v>18</v>
      </c>
      <c r="F1642" s="4">
        <v>3</v>
      </c>
      <c r="G1642" s="6" t="str">
        <f t="shared" si="56"/>
        <v>183</v>
      </c>
      <c r="H1642" s="5">
        <v>0</v>
      </c>
      <c r="I1642" s="5">
        <v>69.124452579950514</v>
      </c>
      <c r="J1642" s="5">
        <v>4338.4262306171067</v>
      </c>
      <c r="K1642" s="5">
        <v>0</v>
      </c>
      <c r="L1642" s="5">
        <v>127.58129637316367</v>
      </c>
      <c r="M1642" s="5">
        <v>8007.3262364179818</v>
      </c>
      <c r="N1642" s="5" t="s">
        <v>97</v>
      </c>
      <c r="O1642" s="5">
        <v>-58.456843793213153</v>
      </c>
      <c r="P1642" s="5">
        <v>-3668.9000058008751</v>
      </c>
      <c r="Q1642" s="5">
        <v>-45.819289703901589</v>
      </c>
    </row>
    <row r="1643" spans="1:17" x14ac:dyDescent="0.2">
      <c r="A1643" s="4" t="s">
        <v>35</v>
      </c>
      <c r="B1643" s="4">
        <v>2015</v>
      </c>
      <c r="C1643" s="4" t="s">
        <v>34</v>
      </c>
      <c r="D1643" s="4">
        <v>2</v>
      </c>
      <c r="E1643" s="4">
        <v>18</v>
      </c>
      <c r="F1643" s="4">
        <v>3</v>
      </c>
      <c r="G1643" s="6" t="str">
        <f t="shared" si="56"/>
        <v>183</v>
      </c>
      <c r="H1643" s="5">
        <v>0</v>
      </c>
      <c r="I1643" s="5">
        <v>58.097803697019479</v>
      </c>
      <c r="J1643" s="5">
        <v>3646.3657373469105</v>
      </c>
      <c r="K1643" s="5">
        <v>0</v>
      </c>
      <c r="L1643" s="5">
        <v>127.58129637316367</v>
      </c>
      <c r="M1643" s="5">
        <v>8007.3262364179818</v>
      </c>
      <c r="N1643" s="5" t="s">
        <v>97</v>
      </c>
      <c r="O1643" s="5">
        <v>-69.483492676144181</v>
      </c>
      <c r="P1643" s="5">
        <v>-4360.9604990710714</v>
      </c>
      <c r="Q1643" s="5">
        <v>-54.462130932508558</v>
      </c>
    </row>
    <row r="1644" spans="1:17" x14ac:dyDescent="0.2">
      <c r="A1644" s="4" t="s">
        <v>35</v>
      </c>
      <c r="B1644" s="4">
        <v>2015</v>
      </c>
      <c r="C1644" s="4" t="s">
        <v>34</v>
      </c>
      <c r="D1644" s="4">
        <v>3</v>
      </c>
      <c r="E1644" s="4">
        <v>18</v>
      </c>
      <c r="F1644" s="4">
        <v>3</v>
      </c>
      <c r="G1644" s="6" t="str">
        <f t="shared" si="56"/>
        <v>183</v>
      </c>
      <c r="H1644" s="5">
        <v>0</v>
      </c>
      <c r="I1644" s="5">
        <v>124.70597402324188</v>
      </c>
      <c r="J1644" s="5">
        <v>7826.8637019776224</v>
      </c>
      <c r="K1644" s="5">
        <v>0</v>
      </c>
      <c r="L1644" s="5">
        <v>127.58129637316367</v>
      </c>
      <c r="M1644" s="5">
        <v>8007.3262364179818</v>
      </c>
      <c r="N1644" s="5" t="s">
        <v>97</v>
      </c>
      <c r="O1644" s="5">
        <v>-2.8753223499217881</v>
      </c>
      <c r="P1644" s="5">
        <v>-180.46253444035938</v>
      </c>
      <c r="Q1644" s="5">
        <v>-2.2537177718524926</v>
      </c>
    </row>
    <row r="1645" spans="1:17" x14ac:dyDescent="0.2">
      <c r="A1645" s="4" t="s">
        <v>35</v>
      </c>
      <c r="B1645" s="4">
        <v>2015</v>
      </c>
      <c r="C1645" s="4" t="s">
        <v>34</v>
      </c>
      <c r="D1645" s="4">
        <v>4</v>
      </c>
      <c r="E1645" s="4">
        <v>18</v>
      </c>
      <c r="F1645" s="4">
        <v>3</v>
      </c>
      <c r="G1645" s="6" t="str">
        <f t="shared" si="56"/>
        <v>183</v>
      </c>
      <c r="H1645" s="5">
        <v>0</v>
      </c>
      <c r="I1645" s="5">
        <v>122.817951727118</v>
      </c>
      <c r="J1645" s="5">
        <v>7708.3666268070101</v>
      </c>
      <c r="K1645" s="5">
        <v>0</v>
      </c>
      <c r="L1645" s="5">
        <v>127.58129637316367</v>
      </c>
      <c r="M1645" s="5">
        <v>8007.3262364179818</v>
      </c>
      <c r="N1645" s="5" t="s">
        <v>97</v>
      </c>
      <c r="O1645" s="5">
        <v>-4.7633446460456668</v>
      </c>
      <c r="P1645" s="5">
        <v>-298.95960961097171</v>
      </c>
      <c r="Q1645" s="5">
        <v>-3.7335759875909473</v>
      </c>
    </row>
    <row r="1646" spans="1:17" x14ac:dyDescent="0.2">
      <c r="A1646" s="4" t="s">
        <v>35</v>
      </c>
      <c r="B1646" s="4">
        <v>2015</v>
      </c>
      <c r="C1646" s="4" t="s">
        <v>34</v>
      </c>
      <c r="D1646" s="4">
        <v>1</v>
      </c>
      <c r="E1646" s="4">
        <v>19</v>
      </c>
      <c r="F1646" s="4">
        <v>3</v>
      </c>
      <c r="G1646" s="6" t="str">
        <f t="shared" si="56"/>
        <v>193</v>
      </c>
      <c r="H1646" s="5">
        <v>0</v>
      </c>
      <c r="I1646" s="5">
        <v>60.647719016906656</v>
      </c>
      <c r="J1646" s="5">
        <v>3806.4048999985894</v>
      </c>
      <c r="K1646" s="5">
        <v>0</v>
      </c>
      <c r="L1646" s="5">
        <v>127.58129637316367</v>
      </c>
      <c r="M1646" s="5">
        <v>8007.3262364179818</v>
      </c>
      <c r="N1646" s="5" t="s">
        <v>97</v>
      </c>
      <c r="O1646" s="5">
        <v>-66.933577356257018</v>
      </c>
      <c r="P1646" s="5">
        <v>-4200.9213364193929</v>
      </c>
      <c r="Q1646" s="5">
        <v>-52.463471730591607</v>
      </c>
    </row>
    <row r="1647" spans="1:17" x14ac:dyDescent="0.2">
      <c r="A1647" s="4" t="s">
        <v>35</v>
      </c>
      <c r="B1647" s="4">
        <v>2015</v>
      </c>
      <c r="C1647" s="4" t="s">
        <v>34</v>
      </c>
      <c r="D1647" s="4">
        <v>2</v>
      </c>
      <c r="E1647" s="4">
        <v>19</v>
      </c>
      <c r="F1647" s="4">
        <v>3</v>
      </c>
      <c r="G1647" s="6" t="str">
        <f t="shared" si="56"/>
        <v>193</v>
      </c>
      <c r="H1647" s="5">
        <v>0</v>
      </c>
      <c r="I1647" s="5">
        <v>163.21680843467146</v>
      </c>
      <c r="J1647" s="5">
        <v>10243.901493058203</v>
      </c>
      <c r="K1647" s="5">
        <v>0</v>
      </c>
      <c r="L1647" s="5">
        <v>127.58129637316367</v>
      </c>
      <c r="M1647" s="5">
        <v>8007.3262364179818</v>
      </c>
      <c r="N1647" s="5" t="s">
        <v>97</v>
      </c>
      <c r="O1647" s="5">
        <v>35.635512061507796</v>
      </c>
      <c r="P1647" s="5">
        <v>2236.5752566402216</v>
      </c>
      <c r="Q1647" s="5">
        <v>27.931611509321208</v>
      </c>
    </row>
    <row r="1648" spans="1:17" x14ac:dyDescent="0.2">
      <c r="A1648" s="4" t="s">
        <v>35</v>
      </c>
      <c r="B1648" s="4">
        <v>2015</v>
      </c>
      <c r="C1648" s="4" t="s">
        <v>34</v>
      </c>
      <c r="D1648" s="4">
        <v>3</v>
      </c>
      <c r="E1648" s="4">
        <v>19</v>
      </c>
      <c r="F1648" s="4">
        <v>3</v>
      </c>
      <c r="G1648" s="6" t="str">
        <f t="shared" si="56"/>
        <v>193</v>
      </c>
      <c r="H1648" s="5">
        <v>0</v>
      </c>
      <c r="I1648" s="5">
        <v>125.87229377163713</v>
      </c>
      <c r="J1648" s="5">
        <v>7900.0648920177491</v>
      </c>
      <c r="K1648" s="5">
        <v>0</v>
      </c>
      <c r="L1648" s="5">
        <v>127.58129637316367</v>
      </c>
      <c r="M1648" s="5">
        <v>8007.3262364179818</v>
      </c>
      <c r="N1648" s="5" t="s">
        <v>97</v>
      </c>
      <c r="O1648" s="5">
        <v>-1.7090026015265352</v>
      </c>
      <c r="P1648" s="5">
        <v>-107.2613444002327</v>
      </c>
      <c r="Q1648" s="5">
        <v>-1.3395400815867753</v>
      </c>
    </row>
    <row r="1649" spans="1:17" s="7" customFormat="1" x14ac:dyDescent="0.2">
      <c r="A1649" s="4" t="s">
        <v>35</v>
      </c>
      <c r="B1649" s="7">
        <v>2015</v>
      </c>
      <c r="C1649" s="7" t="s">
        <v>34</v>
      </c>
      <c r="D1649" s="7">
        <v>4</v>
      </c>
      <c r="E1649" s="7">
        <v>19</v>
      </c>
      <c r="F1649" s="7">
        <v>3</v>
      </c>
      <c r="G1649" s="6" t="str">
        <f t="shared" si="56"/>
        <v>193</v>
      </c>
      <c r="H1649" s="9">
        <v>0</v>
      </c>
      <c r="I1649" s="9">
        <v>170.32461980301491</v>
      </c>
      <c r="J1649" s="9">
        <v>10690.005789465231</v>
      </c>
      <c r="K1649" s="9">
        <v>0</v>
      </c>
      <c r="L1649" s="9">
        <v>127.58129637316367</v>
      </c>
      <c r="M1649" s="9">
        <v>8007.3262364179818</v>
      </c>
      <c r="N1649" s="9" t="s">
        <v>97</v>
      </c>
      <c r="O1649" s="9">
        <v>42.743323429851245</v>
      </c>
      <c r="P1649" s="9">
        <v>2682.6795530472491</v>
      </c>
      <c r="Q1649" s="9">
        <v>33.502813221799315</v>
      </c>
    </row>
    <row r="1650" spans="1:17" x14ac:dyDescent="0.2">
      <c r="A1650" s="4" t="s">
        <v>90</v>
      </c>
      <c r="B1650" s="4">
        <v>2015</v>
      </c>
      <c r="C1650" s="4" t="s">
        <v>88</v>
      </c>
      <c r="D1650" s="4">
        <v>1</v>
      </c>
      <c r="E1650" s="4">
        <v>1</v>
      </c>
      <c r="F1650" s="4">
        <v>0</v>
      </c>
      <c r="G1650" s="6" t="str">
        <f t="shared" si="56"/>
        <v>10</v>
      </c>
      <c r="H1650" s="5">
        <v>0</v>
      </c>
      <c r="I1650" s="5">
        <v>220.60421667313977</v>
      </c>
      <c r="J1650" s="5">
        <v>13845.681006913146</v>
      </c>
      <c r="K1650" s="5">
        <v>0</v>
      </c>
      <c r="L1650" s="5">
        <v>220.60421667313977</v>
      </c>
      <c r="M1650" s="5">
        <v>13845.681006913146</v>
      </c>
      <c r="N1650" s="5" t="s">
        <v>97</v>
      </c>
      <c r="O1650" s="5">
        <v>0</v>
      </c>
      <c r="P1650" s="5">
        <v>0</v>
      </c>
      <c r="Q1650" s="5">
        <v>0</v>
      </c>
    </row>
    <row r="1651" spans="1:17" x14ac:dyDescent="0.2">
      <c r="A1651" s="4" t="s">
        <v>90</v>
      </c>
      <c r="B1651" s="4">
        <v>2015</v>
      </c>
      <c r="C1651" s="4" t="s">
        <v>88</v>
      </c>
      <c r="D1651" s="4">
        <v>2</v>
      </c>
      <c r="E1651" s="4">
        <v>1</v>
      </c>
      <c r="F1651" s="4">
        <v>0</v>
      </c>
      <c r="G1651" s="6" t="str">
        <f t="shared" si="56"/>
        <v>10</v>
      </c>
      <c r="H1651" s="5">
        <v>0</v>
      </c>
      <c r="I1651" s="5">
        <v>210.10975074821235</v>
      </c>
      <c r="J1651" s="5">
        <v>13187.021667913501</v>
      </c>
      <c r="K1651" s="5">
        <v>0</v>
      </c>
      <c r="L1651" s="5">
        <v>210.10975074821235</v>
      </c>
      <c r="M1651" s="5">
        <v>13187.021667913501</v>
      </c>
      <c r="N1651" s="5" t="s">
        <v>97</v>
      </c>
      <c r="O1651" s="5">
        <v>0</v>
      </c>
      <c r="P1651" s="5">
        <v>0</v>
      </c>
      <c r="Q1651" s="5">
        <v>0</v>
      </c>
    </row>
    <row r="1652" spans="1:17" x14ac:dyDescent="0.2">
      <c r="A1652" s="4" t="s">
        <v>90</v>
      </c>
      <c r="B1652" s="4">
        <v>2015</v>
      </c>
      <c r="C1652" s="4" t="s">
        <v>88</v>
      </c>
      <c r="D1652" s="4">
        <v>3</v>
      </c>
      <c r="E1652" s="4">
        <v>1</v>
      </c>
      <c r="F1652" s="4">
        <v>0</v>
      </c>
      <c r="G1652" s="6" t="str">
        <f t="shared" si="56"/>
        <v>10</v>
      </c>
      <c r="H1652" s="5">
        <v>0</v>
      </c>
      <c r="I1652" s="5">
        <v>216.27961458499922</v>
      </c>
      <c r="J1652" s="5">
        <v>13574.257994709613</v>
      </c>
      <c r="K1652" s="5">
        <v>0</v>
      </c>
      <c r="L1652" s="5">
        <v>216.27961458499922</v>
      </c>
      <c r="M1652" s="5">
        <v>13574.257994709613</v>
      </c>
      <c r="N1652" s="5" t="s">
        <v>97</v>
      </c>
      <c r="O1652" s="5">
        <v>0</v>
      </c>
      <c r="P1652" s="5">
        <v>0</v>
      </c>
      <c r="Q1652" s="5">
        <v>0</v>
      </c>
    </row>
    <row r="1653" spans="1:17" x14ac:dyDescent="0.2">
      <c r="A1653" s="4" t="s">
        <v>90</v>
      </c>
      <c r="B1653" s="4">
        <v>2015</v>
      </c>
      <c r="C1653" s="4" t="s">
        <v>88</v>
      </c>
      <c r="D1653" s="4">
        <v>4</v>
      </c>
      <c r="E1653" s="4">
        <v>1</v>
      </c>
      <c r="F1653" s="4">
        <v>0</v>
      </c>
      <c r="G1653" s="6" t="str">
        <f t="shared" si="56"/>
        <v>10</v>
      </c>
      <c r="H1653" s="5">
        <v>0</v>
      </c>
      <c r="I1653" s="5">
        <v>211.28973503004275</v>
      </c>
      <c r="J1653" s="5">
        <v>13261.080478782025</v>
      </c>
      <c r="K1653" s="5">
        <v>0</v>
      </c>
      <c r="L1653" s="5">
        <v>211.28973503004275</v>
      </c>
      <c r="M1653" s="5">
        <v>13261.080478782025</v>
      </c>
      <c r="N1653" s="5" t="s">
        <v>97</v>
      </c>
      <c r="O1653" s="5">
        <v>0</v>
      </c>
      <c r="P1653" s="5">
        <v>0</v>
      </c>
      <c r="Q1653" s="5">
        <v>0</v>
      </c>
    </row>
    <row r="1654" spans="1:17" x14ac:dyDescent="0.2">
      <c r="A1654" s="4" t="s">
        <v>90</v>
      </c>
      <c r="B1654" s="4">
        <v>2015</v>
      </c>
      <c r="C1654" s="4" t="s">
        <v>88</v>
      </c>
      <c r="D1654" s="4">
        <v>1</v>
      </c>
      <c r="E1654" s="4">
        <v>2</v>
      </c>
      <c r="F1654" s="4">
        <v>1</v>
      </c>
      <c r="G1654" s="6" t="str">
        <f t="shared" si="56"/>
        <v>21</v>
      </c>
      <c r="H1654" s="5">
        <v>0</v>
      </c>
      <c r="I1654" s="5">
        <v>216.39525443786982</v>
      </c>
      <c r="J1654" s="5">
        <v>13581.515845618715</v>
      </c>
      <c r="K1654" s="5">
        <v>0</v>
      </c>
      <c r="L1654" s="5">
        <v>220.60421667313977</v>
      </c>
      <c r="M1654" s="5">
        <v>13845.681006913146</v>
      </c>
      <c r="N1654" s="5" t="s">
        <v>97</v>
      </c>
      <c r="O1654" s="5">
        <v>-4.2089622352699507</v>
      </c>
      <c r="P1654" s="5">
        <v>-264.16516129443153</v>
      </c>
      <c r="Q1654" s="5">
        <v>-1.9079246529118639</v>
      </c>
    </row>
    <row r="1655" spans="1:17" x14ac:dyDescent="0.2">
      <c r="A1655" s="4" t="s">
        <v>90</v>
      </c>
      <c r="B1655" s="4">
        <v>2015</v>
      </c>
      <c r="C1655" s="4" t="s">
        <v>88</v>
      </c>
      <c r="D1655" s="4">
        <v>2</v>
      </c>
      <c r="E1655" s="4">
        <v>2</v>
      </c>
      <c r="F1655" s="4">
        <v>1</v>
      </c>
      <c r="G1655" s="6" t="str">
        <f t="shared" si="56"/>
        <v>21</v>
      </c>
      <c r="H1655" s="5">
        <v>0</v>
      </c>
      <c r="I1655" s="5">
        <v>232.02335359027666</v>
      </c>
      <c r="J1655" s="5">
        <v>14562.375046189836</v>
      </c>
      <c r="K1655" s="5">
        <v>0</v>
      </c>
      <c r="L1655" s="5">
        <v>210.10975074821235</v>
      </c>
      <c r="M1655" s="5">
        <v>13187.021667913501</v>
      </c>
      <c r="N1655" s="5" t="s">
        <v>97</v>
      </c>
      <c r="O1655" s="5">
        <v>21.913602842064307</v>
      </c>
      <c r="P1655" s="5">
        <v>1375.3533782763352</v>
      </c>
      <c r="Q1655" s="5">
        <v>10.429598228558525</v>
      </c>
    </row>
    <row r="1656" spans="1:17" x14ac:dyDescent="0.2">
      <c r="A1656" s="4" t="s">
        <v>90</v>
      </c>
      <c r="B1656" s="4">
        <v>2015</v>
      </c>
      <c r="C1656" s="4" t="s">
        <v>88</v>
      </c>
      <c r="D1656" s="4">
        <v>3</v>
      </c>
      <c r="E1656" s="4">
        <v>2</v>
      </c>
      <c r="F1656" s="4">
        <v>1</v>
      </c>
      <c r="G1656" s="6" t="str">
        <f t="shared" si="56"/>
        <v>21</v>
      </c>
      <c r="H1656" s="5">
        <v>0</v>
      </c>
      <c r="I1656" s="5">
        <v>216.98853067099225</v>
      </c>
      <c r="J1656" s="5">
        <v>13618.751369021998</v>
      </c>
      <c r="K1656" s="5">
        <v>0</v>
      </c>
      <c r="L1656" s="5">
        <v>216.27961458499922</v>
      </c>
      <c r="M1656" s="5">
        <v>13574.257994709613</v>
      </c>
      <c r="N1656" s="5" t="s">
        <v>97</v>
      </c>
      <c r="O1656" s="5">
        <v>0.70891608599302458</v>
      </c>
      <c r="P1656" s="5">
        <v>44.49337431238564</v>
      </c>
      <c r="Q1656" s="5">
        <v>0.32777757966384863</v>
      </c>
    </row>
    <row r="1657" spans="1:17" x14ac:dyDescent="0.2">
      <c r="A1657" s="4" t="s">
        <v>90</v>
      </c>
      <c r="B1657" s="4">
        <v>2015</v>
      </c>
      <c r="C1657" s="4" t="s">
        <v>88</v>
      </c>
      <c r="D1657" s="4">
        <v>4</v>
      </c>
      <c r="E1657" s="4">
        <v>2</v>
      </c>
      <c r="F1657" s="4">
        <v>1</v>
      </c>
      <c r="G1657" s="6" t="str">
        <f t="shared" si="56"/>
        <v>21</v>
      </c>
      <c r="H1657" s="5">
        <v>0</v>
      </c>
      <c r="I1657" s="5">
        <v>203.48190532544385</v>
      </c>
      <c r="J1657" s="5">
        <v>12771.04125343779</v>
      </c>
      <c r="K1657" s="5">
        <v>0</v>
      </c>
      <c r="L1657" s="5">
        <v>211.28973503004275</v>
      </c>
      <c r="M1657" s="5">
        <v>13261.080478782025</v>
      </c>
      <c r="N1657" s="5" t="s">
        <v>97</v>
      </c>
      <c r="O1657" s="5">
        <v>-7.8078297045989018</v>
      </c>
      <c r="P1657" s="5">
        <v>-490.03922534423509</v>
      </c>
      <c r="Q1657" s="5">
        <v>-3.695318991000069</v>
      </c>
    </row>
    <row r="1658" spans="1:17" x14ac:dyDescent="0.2">
      <c r="A1658" s="4" t="s">
        <v>90</v>
      </c>
      <c r="B1658" s="4">
        <v>2015</v>
      </c>
      <c r="C1658" s="4" t="s">
        <v>88</v>
      </c>
      <c r="D1658" s="4">
        <v>1</v>
      </c>
      <c r="E1658" s="4">
        <v>4</v>
      </c>
      <c r="F1658" s="4">
        <v>1</v>
      </c>
      <c r="G1658" s="6" t="str">
        <f t="shared" si="56"/>
        <v>41</v>
      </c>
      <c r="H1658" s="5">
        <v>0</v>
      </c>
      <c r="I1658" s="5">
        <v>222.98767147197918</v>
      </c>
      <c r="J1658" s="5">
        <v>13995.272684428641</v>
      </c>
      <c r="K1658" s="5">
        <v>0</v>
      </c>
      <c r="L1658" s="5">
        <v>220.60421667313977</v>
      </c>
      <c r="M1658" s="5">
        <v>13845.681006913146</v>
      </c>
      <c r="N1658" s="5" t="s">
        <v>97</v>
      </c>
      <c r="O1658" s="5">
        <v>2.3834547988394092</v>
      </c>
      <c r="P1658" s="5">
        <v>149.59167751549467</v>
      </c>
      <c r="Q1658" s="5">
        <v>1.0804212334575929</v>
      </c>
    </row>
    <row r="1659" spans="1:17" x14ac:dyDescent="0.2">
      <c r="A1659" s="4" t="s">
        <v>90</v>
      </c>
      <c r="B1659" s="4">
        <v>2015</v>
      </c>
      <c r="C1659" s="4" t="s">
        <v>88</v>
      </c>
      <c r="D1659" s="4">
        <v>2</v>
      </c>
      <c r="E1659" s="4">
        <v>4</v>
      </c>
      <c r="F1659" s="4">
        <v>1</v>
      </c>
      <c r="G1659" s="6" t="str">
        <f t="shared" si="56"/>
        <v>41</v>
      </c>
      <c r="H1659" s="5">
        <v>0</v>
      </c>
      <c r="I1659" s="5">
        <v>219.22634095634098</v>
      </c>
      <c r="J1659" s="5">
        <v>13759.202026911442</v>
      </c>
      <c r="K1659" s="5">
        <v>0</v>
      </c>
      <c r="L1659" s="5">
        <v>210.10975074821235</v>
      </c>
      <c r="M1659" s="5">
        <v>13187.021667913501</v>
      </c>
      <c r="N1659" s="5" t="s">
        <v>97</v>
      </c>
      <c r="O1659" s="5">
        <v>9.1165902081286276</v>
      </c>
      <c r="P1659" s="5">
        <v>572.18035899794086</v>
      </c>
      <c r="Q1659" s="5">
        <v>4.3389657908135773</v>
      </c>
    </row>
    <row r="1660" spans="1:17" x14ac:dyDescent="0.2">
      <c r="A1660" s="4" t="s">
        <v>90</v>
      </c>
      <c r="B1660" s="4">
        <v>2015</v>
      </c>
      <c r="C1660" s="4" t="s">
        <v>88</v>
      </c>
      <c r="D1660" s="4">
        <v>3</v>
      </c>
      <c r="E1660" s="4">
        <v>4</v>
      </c>
      <c r="F1660" s="4">
        <v>1</v>
      </c>
      <c r="G1660" s="6" t="str">
        <f t="shared" si="56"/>
        <v>41</v>
      </c>
      <c r="H1660" s="5">
        <v>0</v>
      </c>
      <c r="I1660" s="5">
        <v>216.58214913984148</v>
      </c>
      <c r="J1660" s="5">
        <v>13593.245831855629</v>
      </c>
      <c r="K1660" s="5">
        <v>0</v>
      </c>
      <c r="L1660" s="5">
        <v>216.27961458499922</v>
      </c>
      <c r="M1660" s="5">
        <v>13574.257994709613</v>
      </c>
      <c r="N1660" s="5" t="s">
        <v>97</v>
      </c>
      <c r="O1660" s="5">
        <v>0.30253455484225356</v>
      </c>
      <c r="P1660" s="5">
        <v>18.987837146016318</v>
      </c>
      <c r="Q1660" s="5">
        <v>0.13988121600028949</v>
      </c>
    </row>
    <row r="1661" spans="1:17" x14ac:dyDescent="0.2">
      <c r="A1661" s="4" t="s">
        <v>90</v>
      </c>
      <c r="B1661" s="4">
        <v>2015</v>
      </c>
      <c r="C1661" s="4" t="s">
        <v>88</v>
      </c>
      <c r="D1661" s="4">
        <v>4</v>
      </c>
      <c r="E1661" s="4">
        <v>4</v>
      </c>
      <c r="F1661" s="4">
        <v>1</v>
      </c>
      <c r="G1661" s="6" t="str">
        <f t="shared" si="56"/>
        <v>41</v>
      </c>
      <c r="H1661" s="5">
        <v>0</v>
      </c>
      <c r="I1661" s="5">
        <v>198.51755212355212</v>
      </c>
      <c r="J1661" s="5">
        <v>12459.465836269394</v>
      </c>
      <c r="K1661" s="5">
        <v>0</v>
      </c>
      <c r="L1661" s="5">
        <v>211.28973503004275</v>
      </c>
      <c r="M1661" s="5">
        <v>13261.080478782025</v>
      </c>
      <c r="N1661" s="5" t="s">
        <v>97</v>
      </c>
      <c r="O1661" s="5">
        <v>-12.772182906490627</v>
      </c>
      <c r="P1661" s="5">
        <v>-801.61464251263169</v>
      </c>
      <c r="Q1661" s="5">
        <v>-6.0448667346166101</v>
      </c>
    </row>
    <row r="1662" spans="1:17" x14ac:dyDescent="0.2">
      <c r="A1662" s="4" t="s">
        <v>90</v>
      </c>
      <c r="B1662" s="4">
        <v>2015</v>
      </c>
      <c r="C1662" s="4" t="s">
        <v>88</v>
      </c>
      <c r="D1662" s="4">
        <v>1</v>
      </c>
      <c r="E1662" s="4">
        <v>6</v>
      </c>
      <c r="F1662" s="4">
        <v>1</v>
      </c>
      <c r="G1662" s="6" t="str">
        <f t="shared" si="56"/>
        <v>61</v>
      </c>
      <c r="H1662" s="5">
        <v>0</v>
      </c>
      <c r="I1662" s="5">
        <v>224.46635886774348</v>
      </c>
      <c r="J1662" s="5">
        <v>14088.078861479329</v>
      </c>
      <c r="K1662" s="5">
        <v>0</v>
      </c>
      <c r="L1662" s="5">
        <v>220.60421667313977</v>
      </c>
      <c r="M1662" s="5">
        <v>13845.681006913146</v>
      </c>
      <c r="N1662" s="5" t="s">
        <v>97</v>
      </c>
      <c r="O1662" s="5">
        <v>3.862142194603706</v>
      </c>
      <c r="P1662" s="5">
        <v>242.39785456618301</v>
      </c>
      <c r="Q1662" s="5">
        <v>1.7507109577719855</v>
      </c>
    </row>
    <row r="1663" spans="1:17" x14ac:dyDescent="0.2">
      <c r="A1663" s="4" t="s">
        <v>90</v>
      </c>
      <c r="B1663" s="4">
        <v>2015</v>
      </c>
      <c r="C1663" s="4" t="s">
        <v>88</v>
      </c>
      <c r="D1663" s="4">
        <v>2</v>
      </c>
      <c r="E1663" s="4">
        <v>6</v>
      </c>
      <c r="F1663" s="4">
        <v>1</v>
      </c>
      <c r="G1663" s="6" t="str">
        <f t="shared" si="56"/>
        <v>61</v>
      </c>
      <c r="H1663" s="5">
        <v>0</v>
      </c>
      <c r="I1663" s="5">
        <v>219.8693264033264</v>
      </c>
      <c r="J1663" s="5">
        <v>13799.557426845788</v>
      </c>
      <c r="K1663" s="5">
        <v>0</v>
      </c>
      <c r="L1663" s="5">
        <v>210.10975074821235</v>
      </c>
      <c r="M1663" s="5">
        <v>13187.021667913501</v>
      </c>
      <c r="N1663" s="5" t="s">
        <v>97</v>
      </c>
      <c r="O1663" s="5">
        <v>9.7595756551140482</v>
      </c>
      <c r="P1663" s="5">
        <v>612.53575893228663</v>
      </c>
      <c r="Q1663" s="5">
        <v>4.6449894021384761</v>
      </c>
    </row>
    <row r="1664" spans="1:17" x14ac:dyDescent="0.2">
      <c r="A1664" s="4" t="s">
        <v>90</v>
      </c>
      <c r="B1664" s="4">
        <v>2015</v>
      </c>
      <c r="C1664" s="4" t="s">
        <v>88</v>
      </c>
      <c r="D1664" s="4">
        <v>3</v>
      </c>
      <c r="E1664" s="4">
        <v>6</v>
      </c>
      <c r="F1664" s="4">
        <v>1</v>
      </c>
      <c r="G1664" s="6" t="str">
        <f t="shared" si="56"/>
        <v>61</v>
      </c>
      <c r="H1664" s="5">
        <v>0</v>
      </c>
      <c r="I1664" s="5">
        <v>221.28213291905604</v>
      </c>
      <c r="J1664" s="5">
        <v>13888.228752517973</v>
      </c>
      <c r="K1664" s="5">
        <v>0</v>
      </c>
      <c r="L1664" s="5">
        <v>216.27961458499922</v>
      </c>
      <c r="M1664" s="5">
        <v>13574.257994709613</v>
      </c>
      <c r="N1664" s="5" t="s">
        <v>97</v>
      </c>
      <c r="O1664" s="5">
        <v>5.0025183340568162</v>
      </c>
      <c r="P1664" s="5">
        <v>313.97075780835985</v>
      </c>
      <c r="Q1664" s="5">
        <v>2.3129865214785648</v>
      </c>
    </row>
    <row r="1665" spans="1:17" x14ac:dyDescent="0.2">
      <c r="A1665" s="4" t="s">
        <v>90</v>
      </c>
      <c r="B1665" s="4">
        <v>2015</v>
      </c>
      <c r="C1665" s="4" t="s">
        <v>88</v>
      </c>
      <c r="D1665" s="4">
        <v>4</v>
      </c>
      <c r="E1665" s="4">
        <v>6</v>
      </c>
      <c r="F1665" s="4">
        <v>1</v>
      </c>
      <c r="G1665" s="6" t="str">
        <f t="shared" si="56"/>
        <v>61</v>
      </c>
      <c r="H1665" s="5">
        <v>0</v>
      </c>
      <c r="I1665" s="5">
        <v>216.3</v>
      </c>
      <c r="J1665" s="5">
        <v>13575.537435137139</v>
      </c>
      <c r="K1665" s="5">
        <v>0</v>
      </c>
      <c r="L1665" s="5">
        <v>211.28973503004275</v>
      </c>
      <c r="M1665" s="5">
        <v>13261.080478782025</v>
      </c>
      <c r="N1665" s="5" t="s">
        <v>97</v>
      </c>
      <c r="O1665" s="5">
        <v>5.0102649699572623</v>
      </c>
      <c r="P1665" s="5">
        <v>314.45695635511402</v>
      </c>
      <c r="Q1665" s="5">
        <v>2.3712770377817325</v>
      </c>
    </row>
    <row r="1666" spans="1:17" x14ac:dyDescent="0.2">
      <c r="A1666" s="4" t="s">
        <v>90</v>
      </c>
      <c r="B1666" s="4">
        <v>2015</v>
      </c>
      <c r="C1666" s="4" t="s">
        <v>88</v>
      </c>
      <c r="D1666" s="4">
        <v>1</v>
      </c>
      <c r="E1666" s="4">
        <v>7</v>
      </c>
      <c r="F1666" s="4">
        <v>2</v>
      </c>
      <c r="G1666" s="6" t="str">
        <f t="shared" ref="G1666:G1729" si="57">E1666&amp;F1666</f>
        <v>72</v>
      </c>
      <c r="H1666" s="5">
        <v>0</v>
      </c>
      <c r="I1666" s="5">
        <v>218.95381106211875</v>
      </c>
      <c r="J1666" s="5">
        <v>13742.097358482371</v>
      </c>
      <c r="K1666" s="5">
        <v>0</v>
      </c>
      <c r="L1666" s="5">
        <v>220.60421667313977</v>
      </c>
      <c r="M1666" s="5">
        <v>13845.681006913146</v>
      </c>
      <c r="N1666" s="5" t="s">
        <v>97</v>
      </c>
      <c r="O1666" s="5">
        <v>-1.6504056110210286</v>
      </c>
      <c r="P1666" s="5">
        <v>-103.5836484307747</v>
      </c>
      <c r="Q1666" s="5">
        <v>-0.74812967581049572</v>
      </c>
    </row>
    <row r="1667" spans="1:17" x14ac:dyDescent="0.2">
      <c r="A1667" s="4" t="s">
        <v>90</v>
      </c>
      <c r="B1667" s="4">
        <v>2015</v>
      </c>
      <c r="C1667" s="4" t="s">
        <v>88</v>
      </c>
      <c r="D1667" s="4">
        <v>2</v>
      </c>
      <c r="E1667" s="4">
        <v>7</v>
      </c>
      <c r="F1667" s="4">
        <v>2</v>
      </c>
      <c r="G1667" s="6" t="str">
        <f t="shared" si="57"/>
        <v>72</v>
      </c>
      <c r="H1667" s="5">
        <v>0</v>
      </c>
      <c r="I1667" s="5">
        <v>217.80517493317495</v>
      </c>
      <c r="J1667" s="5">
        <v>13670.006037318122</v>
      </c>
      <c r="K1667" s="5">
        <v>0</v>
      </c>
      <c r="L1667" s="5">
        <v>210.10975074821235</v>
      </c>
      <c r="M1667" s="5">
        <v>13187.021667913501</v>
      </c>
      <c r="N1667" s="5" t="s">
        <v>97</v>
      </c>
      <c r="O1667" s="5">
        <v>7.6954241849626044</v>
      </c>
      <c r="P1667" s="5">
        <v>482.98436940462125</v>
      </c>
      <c r="Q1667" s="5">
        <v>3.6625735633680869</v>
      </c>
    </row>
    <row r="1668" spans="1:17" x14ac:dyDescent="0.2">
      <c r="A1668" s="4" t="s">
        <v>90</v>
      </c>
      <c r="B1668" s="4">
        <v>2015</v>
      </c>
      <c r="C1668" s="4" t="s">
        <v>88</v>
      </c>
      <c r="D1668" s="4">
        <v>3</v>
      </c>
      <c r="E1668" s="4">
        <v>7</v>
      </c>
      <c r="F1668" s="4">
        <v>2</v>
      </c>
      <c r="G1668" s="6" t="str">
        <f t="shared" si="57"/>
        <v>72</v>
      </c>
      <c r="H1668" s="5">
        <v>0</v>
      </c>
      <c r="I1668" s="5">
        <v>233.81422878161342</v>
      </c>
      <c r="J1668" s="5">
        <v>14674.774922295481</v>
      </c>
      <c r="K1668" s="5">
        <v>0</v>
      </c>
      <c r="L1668" s="5">
        <v>216.27961458499922</v>
      </c>
      <c r="M1668" s="5">
        <v>13574.257994709613</v>
      </c>
      <c r="N1668" s="5" t="s">
        <v>97</v>
      </c>
      <c r="O1668" s="5">
        <v>17.5346141966142</v>
      </c>
      <c r="P1668" s="5">
        <v>1100.516927585868</v>
      </c>
      <c r="Q1668" s="5">
        <v>8.1073818400591762</v>
      </c>
    </row>
    <row r="1669" spans="1:17" x14ac:dyDescent="0.2">
      <c r="A1669" s="4" t="s">
        <v>90</v>
      </c>
      <c r="B1669" s="4">
        <v>2015</v>
      </c>
      <c r="C1669" s="4" t="s">
        <v>88</v>
      </c>
      <c r="D1669" s="4">
        <v>4</v>
      </c>
      <c r="E1669" s="4">
        <v>7</v>
      </c>
      <c r="F1669" s="4">
        <v>2</v>
      </c>
      <c r="G1669" s="6" t="str">
        <f t="shared" si="57"/>
        <v>72</v>
      </c>
      <c r="H1669" s="5">
        <v>0</v>
      </c>
      <c r="I1669" s="5">
        <v>218.94903420072652</v>
      </c>
      <c r="J1669" s="5">
        <v>13741.797550527435</v>
      </c>
      <c r="K1669" s="5">
        <v>0</v>
      </c>
      <c r="L1669" s="5">
        <v>211.28973503004275</v>
      </c>
      <c r="M1669" s="5">
        <v>13261.080478782025</v>
      </c>
      <c r="N1669" s="5" t="s">
        <v>97</v>
      </c>
      <c r="O1669" s="5">
        <v>7.6592991706837665</v>
      </c>
      <c r="P1669" s="5">
        <v>480.71707174541007</v>
      </c>
      <c r="Q1669" s="5">
        <v>3.6250219016057272</v>
      </c>
    </row>
    <row r="1670" spans="1:17" x14ac:dyDescent="0.2">
      <c r="A1670" s="4" t="s">
        <v>90</v>
      </c>
      <c r="B1670" s="4">
        <v>2015</v>
      </c>
      <c r="C1670" s="4" t="s">
        <v>88</v>
      </c>
      <c r="D1670" s="4">
        <v>1</v>
      </c>
      <c r="E1670" s="4">
        <v>8</v>
      </c>
      <c r="F1670" s="4">
        <v>2</v>
      </c>
      <c r="G1670" s="6" t="str">
        <f t="shared" si="57"/>
        <v>82</v>
      </c>
      <c r="H1670" s="5">
        <v>0</v>
      </c>
      <c r="I1670" s="5">
        <v>229.01343332343336</v>
      </c>
      <c r="J1670" s="5">
        <v>14373.464804584155</v>
      </c>
      <c r="K1670" s="5">
        <v>0</v>
      </c>
      <c r="L1670" s="5">
        <v>220.60421667313977</v>
      </c>
      <c r="M1670" s="5">
        <v>13845.681006913146</v>
      </c>
      <c r="N1670" s="5" t="s">
        <v>97</v>
      </c>
      <c r="O1670" s="5">
        <v>8.4092166502935868</v>
      </c>
      <c r="P1670" s="5">
        <v>527.78379767100887</v>
      </c>
      <c r="Q1670" s="5">
        <v>3.8119020466200726</v>
      </c>
    </row>
    <row r="1671" spans="1:17" x14ac:dyDescent="0.2">
      <c r="A1671" s="4" t="s">
        <v>90</v>
      </c>
      <c r="B1671" s="4">
        <v>2015</v>
      </c>
      <c r="C1671" s="4" t="s">
        <v>88</v>
      </c>
      <c r="D1671" s="4">
        <v>2</v>
      </c>
      <c r="E1671" s="4">
        <v>8</v>
      </c>
      <c r="F1671" s="4">
        <v>2</v>
      </c>
      <c r="G1671" s="6" t="str">
        <f t="shared" si="57"/>
        <v>82</v>
      </c>
      <c r="H1671" s="5">
        <v>0</v>
      </c>
      <c r="I1671" s="5">
        <v>213.89939411939415</v>
      </c>
      <c r="J1671" s="5">
        <v>13424.869312163606</v>
      </c>
      <c r="K1671" s="5">
        <v>0</v>
      </c>
      <c r="L1671" s="5">
        <v>210.10975074821235</v>
      </c>
      <c r="M1671" s="5">
        <v>13187.021667913501</v>
      </c>
      <c r="N1671" s="5" t="s">
        <v>97</v>
      </c>
      <c r="O1671" s="5">
        <v>3.7896433711817963</v>
      </c>
      <c r="P1671" s="5">
        <v>237.84764425010508</v>
      </c>
      <c r="Q1671" s="5">
        <v>1.8036494535292455</v>
      </c>
    </row>
    <row r="1672" spans="1:17" x14ac:dyDescent="0.2">
      <c r="A1672" s="4" t="s">
        <v>90</v>
      </c>
      <c r="B1672" s="4">
        <v>2015</v>
      </c>
      <c r="C1672" s="4" t="s">
        <v>88</v>
      </c>
      <c r="D1672" s="4">
        <v>3</v>
      </c>
      <c r="E1672" s="4">
        <v>8</v>
      </c>
      <c r="F1672" s="4">
        <v>2</v>
      </c>
      <c r="G1672" s="6" t="str">
        <f t="shared" si="57"/>
        <v>82</v>
      </c>
      <c r="H1672" s="5">
        <v>0</v>
      </c>
      <c r="I1672" s="5">
        <v>224.93464056110213</v>
      </c>
      <c r="J1672" s="5">
        <v>14117.46941006176</v>
      </c>
      <c r="K1672" s="5">
        <v>0</v>
      </c>
      <c r="L1672" s="5">
        <v>216.27961458499922</v>
      </c>
      <c r="M1672" s="5">
        <v>13574.257994709613</v>
      </c>
      <c r="N1672" s="5" t="s">
        <v>97</v>
      </c>
      <c r="O1672" s="5">
        <v>8.6550259761029054</v>
      </c>
      <c r="P1672" s="5">
        <v>543.21141535214701</v>
      </c>
      <c r="Q1672" s="5">
        <v>4.0017761233347455</v>
      </c>
    </row>
    <row r="1673" spans="1:17" x14ac:dyDescent="0.2">
      <c r="A1673" s="4" t="s">
        <v>90</v>
      </c>
      <c r="B1673" s="4">
        <v>2015</v>
      </c>
      <c r="C1673" s="4" t="s">
        <v>88</v>
      </c>
      <c r="D1673" s="4">
        <v>4</v>
      </c>
      <c r="E1673" s="4">
        <v>8</v>
      </c>
      <c r="F1673" s="4">
        <v>2</v>
      </c>
      <c r="G1673" s="6" t="str">
        <f t="shared" si="57"/>
        <v>82</v>
      </c>
      <c r="H1673" s="5">
        <v>0</v>
      </c>
      <c r="I1673" s="5">
        <v>207.62399150122229</v>
      </c>
      <c r="J1673" s="5">
        <v>13031.0091033631</v>
      </c>
      <c r="K1673" s="5">
        <v>0</v>
      </c>
      <c r="L1673" s="5">
        <v>211.28973503004275</v>
      </c>
      <c r="M1673" s="5">
        <v>13261.080478782025</v>
      </c>
      <c r="N1673" s="5" t="s">
        <v>97</v>
      </c>
      <c r="O1673" s="5">
        <v>-3.6657435288204567</v>
      </c>
      <c r="P1673" s="5">
        <v>-230.07137541892553</v>
      </c>
      <c r="Q1673" s="5">
        <v>-1.7349368762752326</v>
      </c>
    </row>
    <row r="1674" spans="1:17" x14ac:dyDescent="0.2">
      <c r="A1674" s="4" t="s">
        <v>90</v>
      </c>
      <c r="B1674" s="4">
        <v>2015</v>
      </c>
      <c r="C1674" s="4" t="s">
        <v>88</v>
      </c>
      <c r="D1674" s="4">
        <v>1</v>
      </c>
      <c r="E1674" s="4">
        <v>9</v>
      </c>
      <c r="F1674" s="4">
        <v>2</v>
      </c>
      <c r="G1674" s="6" t="str">
        <f t="shared" si="57"/>
        <v>92</v>
      </c>
      <c r="H1674" s="5">
        <v>0</v>
      </c>
      <c r="I1674" s="5">
        <v>207.1504851157159</v>
      </c>
      <c r="J1674" s="5">
        <v>13001.290639829956</v>
      </c>
      <c r="K1674" s="5">
        <v>0</v>
      </c>
      <c r="L1674" s="5">
        <v>220.60421667313977</v>
      </c>
      <c r="M1674" s="5">
        <v>13845.681006913146</v>
      </c>
      <c r="N1674" s="5" t="s">
        <v>97</v>
      </c>
      <c r="O1674" s="5">
        <v>-13.453731557423879</v>
      </c>
      <c r="P1674" s="5">
        <v>-844.39036708318963</v>
      </c>
      <c r="Q1674" s="5">
        <v>-6.0985831369478012</v>
      </c>
    </row>
    <row r="1675" spans="1:17" x14ac:dyDescent="0.2">
      <c r="A1675" s="4" t="s">
        <v>90</v>
      </c>
      <c r="B1675" s="4">
        <v>2015</v>
      </c>
      <c r="C1675" s="4" t="s">
        <v>88</v>
      </c>
      <c r="D1675" s="4">
        <v>2</v>
      </c>
      <c r="E1675" s="4">
        <v>9</v>
      </c>
      <c r="F1675" s="4">
        <v>2</v>
      </c>
      <c r="G1675" s="6" t="str">
        <f t="shared" si="57"/>
        <v>92</v>
      </c>
      <c r="H1675" s="5">
        <v>0</v>
      </c>
      <c r="I1675" s="5">
        <v>222.66443718443719</v>
      </c>
      <c r="J1675" s="5">
        <v>13974.985679477895</v>
      </c>
      <c r="K1675" s="5">
        <v>0</v>
      </c>
      <c r="L1675" s="5">
        <v>210.10975074821235</v>
      </c>
      <c r="M1675" s="5">
        <v>13187.021667913501</v>
      </c>
      <c r="N1675" s="5" t="s">
        <v>97</v>
      </c>
      <c r="O1675" s="5">
        <v>12.554686436224841</v>
      </c>
      <c r="P1675" s="5">
        <v>787.96401156439424</v>
      </c>
      <c r="Q1675" s="5">
        <v>5.9752992859764431</v>
      </c>
    </row>
    <row r="1676" spans="1:17" x14ac:dyDescent="0.2">
      <c r="A1676" s="4" t="s">
        <v>90</v>
      </c>
      <c r="B1676" s="4">
        <v>2015</v>
      </c>
      <c r="C1676" s="4" t="s">
        <v>88</v>
      </c>
      <c r="D1676" s="4">
        <v>3</v>
      </c>
      <c r="E1676" s="4">
        <v>9</v>
      </c>
      <c r="F1676" s="4">
        <v>2</v>
      </c>
      <c r="G1676" s="6" t="str">
        <f t="shared" si="57"/>
        <v>92</v>
      </c>
      <c r="H1676" s="5">
        <v>0</v>
      </c>
      <c r="I1676" s="5">
        <v>230.46326051495282</v>
      </c>
      <c r="J1676" s="5">
        <v>14464.459641907095</v>
      </c>
      <c r="K1676" s="5">
        <v>0</v>
      </c>
      <c r="L1676" s="5">
        <v>216.27961458499922</v>
      </c>
      <c r="M1676" s="5">
        <v>13574.257994709613</v>
      </c>
      <c r="N1676" s="5" t="s">
        <v>97</v>
      </c>
      <c r="O1676" s="5">
        <v>14.183645929953599</v>
      </c>
      <c r="P1676" s="5">
        <v>890.20164719748209</v>
      </c>
      <c r="Q1676" s="5">
        <v>6.5580133186243135</v>
      </c>
    </row>
    <row r="1677" spans="1:17" x14ac:dyDescent="0.2">
      <c r="A1677" s="4" t="s">
        <v>90</v>
      </c>
      <c r="B1677" s="4">
        <v>2015</v>
      </c>
      <c r="C1677" s="4" t="s">
        <v>88</v>
      </c>
      <c r="D1677" s="4">
        <v>4</v>
      </c>
      <c r="E1677" s="4">
        <v>9</v>
      </c>
      <c r="F1677" s="4">
        <v>2</v>
      </c>
      <c r="G1677" s="6" t="str">
        <f t="shared" si="57"/>
        <v>92</v>
      </c>
      <c r="H1677" s="5">
        <v>0</v>
      </c>
      <c r="I1677" s="5">
        <v>204.70254268808117</v>
      </c>
      <c r="J1677" s="5">
        <v>12847.651554922812</v>
      </c>
      <c r="K1677" s="5">
        <v>0</v>
      </c>
      <c r="L1677" s="5">
        <v>211.28973503004275</v>
      </c>
      <c r="M1677" s="5">
        <v>13261.080478782025</v>
      </c>
      <c r="N1677" s="5" t="s">
        <v>97</v>
      </c>
      <c r="O1677" s="5">
        <v>-6.5871923419615825</v>
      </c>
      <c r="P1677" s="5">
        <v>-413.42892385921368</v>
      </c>
      <c r="Q1677" s="5">
        <v>-3.1176111518266376</v>
      </c>
    </row>
    <row r="1678" spans="1:17" x14ac:dyDescent="0.2">
      <c r="A1678" s="4" t="s">
        <v>90</v>
      </c>
      <c r="B1678" s="4">
        <v>2015</v>
      </c>
      <c r="C1678" s="4" t="s">
        <v>88</v>
      </c>
      <c r="D1678" s="4">
        <v>1</v>
      </c>
      <c r="E1678" s="4">
        <v>10</v>
      </c>
      <c r="F1678" s="4">
        <v>2</v>
      </c>
      <c r="G1678" s="6" t="str">
        <f t="shared" si="57"/>
        <v>102</v>
      </c>
      <c r="H1678" s="5">
        <v>0</v>
      </c>
      <c r="I1678" s="5">
        <v>210.38143473989632</v>
      </c>
      <c r="J1678" s="5">
        <v>13204.073245350548</v>
      </c>
      <c r="K1678" s="5">
        <v>0</v>
      </c>
      <c r="L1678" s="5">
        <v>220.60421667313977</v>
      </c>
      <c r="M1678" s="5">
        <v>13845.681006913146</v>
      </c>
      <c r="N1678" s="5" t="s">
        <v>97</v>
      </c>
      <c r="O1678" s="5">
        <v>-10.222781933243454</v>
      </c>
      <c r="P1678" s="5">
        <v>-641.60776156259817</v>
      </c>
      <c r="Q1678" s="5">
        <v>-4.6339920820235827</v>
      </c>
    </row>
    <row r="1679" spans="1:17" x14ac:dyDescent="0.2">
      <c r="A1679" s="4" t="s">
        <v>90</v>
      </c>
      <c r="B1679" s="4">
        <v>2015</v>
      </c>
      <c r="C1679" s="4" t="s">
        <v>88</v>
      </c>
      <c r="D1679" s="4">
        <v>2</v>
      </c>
      <c r="E1679" s="4">
        <v>10</v>
      </c>
      <c r="F1679" s="4">
        <v>2</v>
      </c>
      <c r="G1679" s="6" t="str">
        <f t="shared" si="57"/>
        <v>102</v>
      </c>
      <c r="H1679" s="5">
        <v>0</v>
      </c>
      <c r="I1679" s="5">
        <v>220.33183605583611</v>
      </c>
      <c r="J1679" s="5">
        <v>13828.585707482671</v>
      </c>
      <c r="K1679" s="5">
        <v>0</v>
      </c>
      <c r="L1679" s="5">
        <v>210.10975074821235</v>
      </c>
      <c r="M1679" s="5">
        <v>13187.021667913501</v>
      </c>
      <c r="N1679" s="5" t="s">
        <v>97</v>
      </c>
      <c r="O1679" s="5">
        <v>10.222085307623757</v>
      </c>
      <c r="P1679" s="5">
        <v>641.56403956916984</v>
      </c>
      <c r="Q1679" s="5">
        <v>4.8651170501237253</v>
      </c>
    </row>
    <row r="1680" spans="1:17" x14ac:dyDescent="0.2">
      <c r="A1680" s="4" t="s">
        <v>90</v>
      </c>
      <c r="B1680" s="4">
        <v>2015</v>
      </c>
      <c r="C1680" s="4" t="s">
        <v>88</v>
      </c>
      <c r="D1680" s="4">
        <v>3</v>
      </c>
      <c r="E1680" s="4">
        <v>10</v>
      </c>
      <c r="F1680" s="4">
        <v>2</v>
      </c>
      <c r="G1680" s="6" t="str">
        <f t="shared" si="57"/>
        <v>102</v>
      </c>
      <c r="H1680" s="5">
        <v>0</v>
      </c>
      <c r="I1680" s="5">
        <v>213.88347124808666</v>
      </c>
      <c r="J1680" s="5">
        <v>13423.869952313815</v>
      </c>
      <c r="K1680" s="5">
        <v>0</v>
      </c>
      <c r="L1680" s="5">
        <v>216.27961458499922</v>
      </c>
      <c r="M1680" s="5">
        <v>13574.257994709613</v>
      </c>
      <c r="N1680" s="5" t="s">
        <v>97</v>
      </c>
      <c r="O1680" s="5">
        <v>-2.3961433369125587</v>
      </c>
      <c r="P1680" s="5">
        <v>-150.38804239579804</v>
      </c>
      <c r="Q1680" s="5">
        <v>-1.107891440212863</v>
      </c>
    </row>
    <row r="1681" spans="1:17" x14ac:dyDescent="0.2">
      <c r="A1681" s="4" t="s">
        <v>90</v>
      </c>
      <c r="B1681" s="4">
        <v>2015</v>
      </c>
      <c r="C1681" s="4" t="s">
        <v>88</v>
      </c>
      <c r="D1681" s="4">
        <v>4</v>
      </c>
      <c r="E1681" s="4">
        <v>10</v>
      </c>
      <c r="F1681" s="4">
        <v>2</v>
      </c>
      <c r="G1681" s="6" t="str">
        <f t="shared" si="57"/>
        <v>102</v>
      </c>
      <c r="H1681" s="5">
        <v>0</v>
      </c>
      <c r="I1681" s="5">
        <v>209.07645591830206</v>
      </c>
      <c r="J1681" s="5">
        <v>13122.169459661161</v>
      </c>
      <c r="K1681" s="5">
        <v>0</v>
      </c>
      <c r="L1681" s="5">
        <v>211.28973503004275</v>
      </c>
      <c r="M1681" s="5">
        <v>13261.080478782025</v>
      </c>
      <c r="N1681" s="5" t="s">
        <v>97</v>
      </c>
      <c r="O1681" s="5">
        <v>-2.2132791117406896</v>
      </c>
      <c r="P1681" s="5">
        <v>-138.91101912086378</v>
      </c>
      <c r="Q1681" s="5">
        <v>-1.0475090573737487</v>
      </c>
    </row>
    <row r="1682" spans="1:17" x14ac:dyDescent="0.2">
      <c r="A1682" s="4" t="s">
        <v>90</v>
      </c>
      <c r="B1682" s="4">
        <v>2015</v>
      </c>
      <c r="C1682" s="4" t="s">
        <v>88</v>
      </c>
      <c r="D1682" s="4">
        <v>1</v>
      </c>
      <c r="E1682" s="4">
        <v>11</v>
      </c>
      <c r="F1682" s="4">
        <v>2</v>
      </c>
      <c r="G1682" s="6" t="str">
        <f t="shared" si="57"/>
        <v>112</v>
      </c>
      <c r="H1682" s="5">
        <v>0</v>
      </c>
      <c r="I1682" s="5">
        <v>217.9295723652647</v>
      </c>
      <c r="J1682" s="5">
        <v>13677.813536144609</v>
      </c>
      <c r="K1682" s="5">
        <v>0</v>
      </c>
      <c r="L1682" s="5">
        <v>220.60421667313977</v>
      </c>
      <c r="M1682" s="5">
        <v>13845.681006913146</v>
      </c>
      <c r="N1682" s="5" t="s">
        <v>97</v>
      </c>
      <c r="O1682" s="5">
        <v>-2.6746443078750701</v>
      </c>
      <c r="P1682" s="5">
        <v>-167.8674707685368</v>
      </c>
      <c r="Q1682" s="5">
        <v>-1.2124175812278255</v>
      </c>
    </row>
    <row r="1683" spans="1:17" x14ac:dyDescent="0.2">
      <c r="A1683" s="4" t="s">
        <v>90</v>
      </c>
      <c r="B1683" s="4">
        <v>2015</v>
      </c>
      <c r="C1683" s="4" t="s">
        <v>88</v>
      </c>
      <c r="D1683" s="4">
        <v>2</v>
      </c>
      <c r="E1683" s="4">
        <v>11</v>
      </c>
      <c r="F1683" s="4">
        <v>2</v>
      </c>
      <c r="G1683" s="6" t="str">
        <f t="shared" si="57"/>
        <v>112</v>
      </c>
      <c r="H1683" s="5">
        <v>0</v>
      </c>
      <c r="I1683" s="5">
        <v>211.67865116172806</v>
      </c>
      <c r="J1683" s="5">
        <v>13285.489843113151</v>
      </c>
      <c r="K1683" s="5">
        <v>0</v>
      </c>
      <c r="L1683" s="5">
        <v>210.10975074821235</v>
      </c>
      <c r="M1683" s="5">
        <v>13187.021667913501</v>
      </c>
      <c r="N1683" s="5" t="s">
        <v>97</v>
      </c>
      <c r="O1683" s="5">
        <v>1.5689004135157063</v>
      </c>
      <c r="P1683" s="5">
        <v>98.468175199650432</v>
      </c>
      <c r="Q1683" s="5">
        <v>0.74670518999177793</v>
      </c>
    </row>
    <row r="1684" spans="1:17" x14ac:dyDescent="0.2">
      <c r="A1684" s="4" t="s">
        <v>90</v>
      </c>
      <c r="B1684" s="4">
        <v>2015</v>
      </c>
      <c r="C1684" s="4" t="s">
        <v>88</v>
      </c>
      <c r="D1684" s="4">
        <v>3</v>
      </c>
      <c r="E1684" s="4">
        <v>11</v>
      </c>
      <c r="F1684" s="4">
        <v>2</v>
      </c>
      <c r="G1684" s="6" t="str">
        <f t="shared" si="57"/>
        <v>112</v>
      </c>
      <c r="H1684" s="5">
        <v>0</v>
      </c>
      <c r="I1684" s="5">
        <v>232.1156564848873</v>
      </c>
      <c r="J1684" s="5">
        <v>14568.168210319094</v>
      </c>
      <c r="K1684" s="5">
        <v>0</v>
      </c>
      <c r="L1684" s="5">
        <v>216.27961458499922</v>
      </c>
      <c r="M1684" s="5">
        <v>13574.257994709613</v>
      </c>
      <c r="N1684" s="5" t="s">
        <v>97</v>
      </c>
      <c r="O1684" s="5">
        <v>15.836041899888073</v>
      </c>
      <c r="P1684" s="5">
        <v>993.91021560948138</v>
      </c>
      <c r="Q1684" s="5">
        <v>7.3220224339101607</v>
      </c>
    </row>
    <row r="1685" spans="1:17" x14ac:dyDescent="0.2">
      <c r="A1685" s="4" t="s">
        <v>90</v>
      </c>
      <c r="B1685" s="4">
        <v>2015</v>
      </c>
      <c r="C1685" s="4" t="s">
        <v>88</v>
      </c>
      <c r="D1685" s="4">
        <v>4</v>
      </c>
      <c r="E1685" s="4">
        <v>11</v>
      </c>
      <c r="F1685" s="4">
        <v>2</v>
      </c>
      <c r="G1685" s="6" t="str">
        <f t="shared" si="57"/>
        <v>112</v>
      </c>
      <c r="H1685" s="5">
        <v>0</v>
      </c>
      <c r="I1685" s="5">
        <v>213.26675853875858</v>
      </c>
      <c r="J1685" s="5">
        <v>13385.163496131623</v>
      </c>
      <c r="K1685" s="5">
        <v>0</v>
      </c>
      <c r="L1685" s="5">
        <v>211.28973503004275</v>
      </c>
      <c r="M1685" s="5">
        <v>13261.080478782025</v>
      </c>
      <c r="N1685" s="5" t="s">
        <v>97</v>
      </c>
      <c r="O1685" s="5">
        <v>1.9770235087158312</v>
      </c>
      <c r="P1685" s="5">
        <v>124.08301734959787</v>
      </c>
      <c r="Q1685" s="5">
        <v>0.93569311752638107</v>
      </c>
    </row>
    <row r="1686" spans="1:17" x14ac:dyDescent="0.2">
      <c r="A1686" s="4" t="s">
        <v>90</v>
      </c>
      <c r="B1686" s="4">
        <v>2015</v>
      </c>
      <c r="C1686" s="4" t="s">
        <v>88</v>
      </c>
      <c r="D1686" s="4">
        <v>1</v>
      </c>
      <c r="E1686" s="4">
        <v>15</v>
      </c>
      <c r="F1686" s="4">
        <v>3</v>
      </c>
      <c r="G1686" s="6" t="str">
        <f t="shared" si="57"/>
        <v>153</v>
      </c>
      <c r="H1686" s="5">
        <v>0</v>
      </c>
      <c r="I1686" s="5">
        <v>235.98501373055223</v>
      </c>
      <c r="J1686" s="5">
        <v>14811.018899817214</v>
      </c>
      <c r="K1686" s="5">
        <v>0</v>
      </c>
      <c r="L1686" s="5">
        <v>220.60421667313977</v>
      </c>
      <c r="M1686" s="5">
        <v>13845.681006913146</v>
      </c>
      <c r="N1686" s="5" t="s">
        <v>97</v>
      </c>
      <c r="O1686" s="5">
        <v>15.380797057412451</v>
      </c>
      <c r="P1686" s="5">
        <v>965.33789290406821</v>
      </c>
      <c r="Q1686" s="5">
        <v>6.9721228766001122</v>
      </c>
    </row>
    <row r="1687" spans="1:17" x14ac:dyDescent="0.2">
      <c r="A1687" s="4" t="s">
        <v>90</v>
      </c>
      <c r="B1687" s="4">
        <v>2015</v>
      </c>
      <c r="C1687" s="4" t="s">
        <v>88</v>
      </c>
      <c r="D1687" s="4">
        <v>2</v>
      </c>
      <c r="E1687" s="4">
        <v>15</v>
      </c>
      <c r="F1687" s="4">
        <v>3</v>
      </c>
      <c r="G1687" s="6" t="str">
        <f t="shared" si="57"/>
        <v>153</v>
      </c>
      <c r="H1687" s="5">
        <v>0</v>
      </c>
      <c r="I1687" s="5">
        <v>228.16613753398366</v>
      </c>
      <c r="J1687" s="5">
        <v>14320.286368577181</v>
      </c>
      <c r="K1687" s="5">
        <v>0</v>
      </c>
      <c r="L1687" s="5">
        <v>210.10975074821235</v>
      </c>
      <c r="M1687" s="5">
        <v>13187.021667913501</v>
      </c>
      <c r="N1687" s="5" t="s">
        <v>97</v>
      </c>
      <c r="O1687" s="5">
        <v>18.056386785771309</v>
      </c>
      <c r="P1687" s="5">
        <v>1133.2647006636798</v>
      </c>
      <c r="Q1687" s="5">
        <v>8.5937881138174319</v>
      </c>
    </row>
    <row r="1688" spans="1:17" x14ac:dyDescent="0.2">
      <c r="A1688" s="4" t="s">
        <v>90</v>
      </c>
      <c r="B1688" s="4">
        <v>2015</v>
      </c>
      <c r="C1688" s="4" t="s">
        <v>88</v>
      </c>
      <c r="D1688" s="4">
        <v>3</v>
      </c>
      <c r="E1688" s="4">
        <v>15</v>
      </c>
      <c r="F1688" s="4">
        <v>3</v>
      </c>
      <c r="G1688" s="6" t="str">
        <f t="shared" si="57"/>
        <v>153</v>
      </c>
      <c r="H1688" s="5">
        <v>0</v>
      </c>
      <c r="I1688" s="5">
        <v>228.46892088369009</v>
      </c>
      <c r="J1688" s="5">
        <v>14339.289820720851</v>
      </c>
      <c r="K1688" s="5">
        <v>0</v>
      </c>
      <c r="L1688" s="5">
        <v>216.27961458499922</v>
      </c>
      <c r="M1688" s="5">
        <v>13574.257994709613</v>
      </c>
      <c r="N1688" s="5" t="s">
        <v>97</v>
      </c>
      <c r="O1688" s="5">
        <v>12.189306298690866</v>
      </c>
      <c r="P1688" s="5">
        <v>765.03182601123808</v>
      </c>
      <c r="Q1688" s="5">
        <v>5.6359016184118431</v>
      </c>
    </row>
    <row r="1689" spans="1:17" x14ac:dyDescent="0.2">
      <c r="A1689" s="4" t="s">
        <v>90</v>
      </c>
      <c r="B1689" s="4">
        <v>2015</v>
      </c>
      <c r="C1689" s="4" t="s">
        <v>88</v>
      </c>
      <c r="D1689" s="4">
        <v>4</v>
      </c>
      <c r="E1689" s="4">
        <v>15</v>
      </c>
      <c r="F1689" s="4">
        <v>3</v>
      </c>
      <c r="G1689" s="6" t="str">
        <f t="shared" si="57"/>
        <v>153</v>
      </c>
      <c r="H1689" s="5">
        <v>0</v>
      </c>
      <c r="I1689" s="5">
        <v>222.95104886797196</v>
      </c>
      <c r="J1689" s="5">
        <v>13992.974156774124</v>
      </c>
      <c r="K1689" s="5">
        <v>0</v>
      </c>
      <c r="L1689" s="5">
        <v>211.28973503004275</v>
      </c>
      <c r="M1689" s="5">
        <v>13261.080478782025</v>
      </c>
      <c r="N1689" s="5" t="s">
        <v>97</v>
      </c>
      <c r="O1689" s="5">
        <v>11.661313837929214</v>
      </c>
      <c r="P1689" s="5">
        <v>731.89367799209867</v>
      </c>
      <c r="Q1689" s="5">
        <v>5.5191104462652358</v>
      </c>
    </row>
    <row r="1690" spans="1:17" x14ac:dyDescent="0.2">
      <c r="A1690" s="4" t="s">
        <v>90</v>
      </c>
      <c r="B1690" s="4">
        <v>2015</v>
      </c>
      <c r="C1690" s="4" t="s">
        <v>88</v>
      </c>
      <c r="D1690" s="4">
        <v>1</v>
      </c>
      <c r="E1690" s="4">
        <v>17</v>
      </c>
      <c r="F1690" s="4">
        <v>3</v>
      </c>
      <c r="G1690" s="6" t="str">
        <f t="shared" si="57"/>
        <v>173</v>
      </c>
      <c r="H1690" s="5">
        <v>0</v>
      </c>
      <c r="I1690" s="5">
        <v>215.14137808137809</v>
      </c>
      <c r="J1690" s="5">
        <v>13502.819380447254</v>
      </c>
      <c r="K1690" s="5">
        <v>0</v>
      </c>
      <c r="L1690" s="5">
        <v>220.60421667313977</v>
      </c>
      <c r="M1690" s="5">
        <v>13845.681006913146</v>
      </c>
      <c r="N1690" s="5" t="s">
        <v>97</v>
      </c>
      <c r="O1690" s="5">
        <v>-5.4628385917616811</v>
      </c>
      <c r="P1690" s="5">
        <v>-342.86162646589219</v>
      </c>
      <c r="Q1690" s="5">
        <v>-2.4763074224713209</v>
      </c>
    </row>
    <row r="1691" spans="1:17" x14ac:dyDescent="0.2">
      <c r="A1691" s="4" t="s">
        <v>90</v>
      </c>
      <c r="B1691" s="4">
        <v>2015</v>
      </c>
      <c r="C1691" s="4" t="s">
        <v>88</v>
      </c>
      <c r="D1691" s="4">
        <v>2</v>
      </c>
      <c r="E1691" s="4">
        <v>17</v>
      </c>
      <c r="F1691" s="4">
        <v>3</v>
      </c>
      <c r="G1691" s="6" t="str">
        <f t="shared" si="57"/>
        <v>173</v>
      </c>
      <c r="H1691" s="5">
        <v>0</v>
      </c>
      <c r="I1691" s="5">
        <v>222.61726567818877</v>
      </c>
      <c r="J1691" s="5">
        <v>13972.025075922893</v>
      </c>
      <c r="K1691" s="5">
        <v>0</v>
      </c>
      <c r="L1691" s="5">
        <v>210.10975074821235</v>
      </c>
      <c r="M1691" s="5">
        <v>13187.021667913501</v>
      </c>
      <c r="N1691" s="5" t="s">
        <v>97</v>
      </c>
      <c r="O1691" s="5">
        <v>12.507514929976423</v>
      </c>
      <c r="P1691" s="5">
        <v>785.00340800939193</v>
      </c>
      <c r="Q1691" s="5">
        <v>5.9528483972954449</v>
      </c>
    </row>
    <row r="1692" spans="1:17" x14ac:dyDescent="0.2">
      <c r="A1692" s="4" t="s">
        <v>90</v>
      </c>
      <c r="B1692" s="4">
        <v>2015</v>
      </c>
      <c r="C1692" s="4" t="s">
        <v>88</v>
      </c>
      <c r="D1692" s="4">
        <v>3</v>
      </c>
      <c r="E1692" s="4">
        <v>17</v>
      </c>
      <c r="F1692" s="4">
        <v>3</v>
      </c>
      <c r="G1692" s="6" t="str">
        <f t="shared" si="57"/>
        <v>173</v>
      </c>
      <c r="H1692" s="5">
        <v>0</v>
      </c>
      <c r="I1692" s="5">
        <v>202.38606346667888</v>
      </c>
      <c r="J1692" s="5">
        <v>12702.263434775496</v>
      </c>
      <c r="K1692" s="5">
        <v>0</v>
      </c>
      <c r="L1692" s="5">
        <v>216.27961458499922</v>
      </c>
      <c r="M1692" s="5">
        <v>13574.257994709613</v>
      </c>
      <c r="N1692" s="5" t="s">
        <v>97</v>
      </c>
      <c r="O1692" s="5">
        <v>-13.893551118320346</v>
      </c>
      <c r="P1692" s="5">
        <v>-871.99455993411721</v>
      </c>
      <c r="Q1692" s="5">
        <v>-6.4238837973608982</v>
      </c>
    </row>
    <row r="1693" spans="1:17" x14ac:dyDescent="0.2">
      <c r="A1693" s="4" t="s">
        <v>90</v>
      </c>
      <c r="B1693" s="4">
        <v>2015</v>
      </c>
      <c r="C1693" s="4" t="s">
        <v>88</v>
      </c>
      <c r="D1693" s="4">
        <v>4</v>
      </c>
      <c r="E1693" s="4">
        <v>17</v>
      </c>
      <c r="F1693" s="4">
        <v>3</v>
      </c>
      <c r="G1693" s="6" t="str">
        <f t="shared" si="57"/>
        <v>173</v>
      </c>
      <c r="H1693" s="5">
        <v>0</v>
      </c>
      <c r="I1693" s="5">
        <v>213.42369833908299</v>
      </c>
      <c r="J1693" s="5">
        <v>13395.013436651119</v>
      </c>
      <c r="K1693" s="5">
        <v>0</v>
      </c>
      <c r="L1693" s="5">
        <v>211.28973503004275</v>
      </c>
      <c r="M1693" s="5">
        <v>13261.080478782025</v>
      </c>
      <c r="N1693" s="5" t="s">
        <v>97</v>
      </c>
      <c r="O1693" s="5">
        <v>2.1339633090402401</v>
      </c>
      <c r="P1693" s="5">
        <v>133.93295786909403</v>
      </c>
      <c r="Q1693" s="5">
        <v>1.0099701761360187</v>
      </c>
    </row>
    <row r="1694" spans="1:17" x14ac:dyDescent="0.2">
      <c r="A1694" s="4" t="s">
        <v>90</v>
      </c>
      <c r="B1694" s="4">
        <v>2015</v>
      </c>
      <c r="C1694" s="4" t="s">
        <v>88</v>
      </c>
      <c r="D1694" s="4">
        <v>1</v>
      </c>
      <c r="E1694" s="4">
        <v>19</v>
      </c>
      <c r="F1694" s="4">
        <v>3</v>
      </c>
      <c r="G1694" s="6" t="str">
        <f t="shared" si="57"/>
        <v>193</v>
      </c>
      <c r="H1694" s="5">
        <v>0</v>
      </c>
      <c r="I1694" s="5">
        <v>219.27291535491537</v>
      </c>
      <c r="J1694" s="5">
        <v>13762.125154472078</v>
      </c>
      <c r="K1694" s="5">
        <v>0</v>
      </c>
      <c r="L1694" s="5">
        <v>220.60421667313977</v>
      </c>
      <c r="M1694" s="5">
        <v>13845.681006913146</v>
      </c>
      <c r="N1694" s="5" t="s">
        <v>97</v>
      </c>
      <c r="O1694" s="5">
        <v>-1.3313013182244049</v>
      </c>
      <c r="P1694" s="5">
        <v>-83.555852441068055</v>
      </c>
      <c r="Q1694" s="5">
        <v>-0.60347954282168303</v>
      </c>
    </row>
    <row r="1695" spans="1:17" x14ac:dyDescent="0.2">
      <c r="A1695" s="4" t="s">
        <v>90</v>
      </c>
      <c r="B1695" s="4">
        <v>2015</v>
      </c>
      <c r="C1695" s="4" t="s">
        <v>88</v>
      </c>
      <c r="D1695" s="4">
        <v>2</v>
      </c>
      <c r="E1695" s="4">
        <v>19</v>
      </c>
      <c r="F1695" s="4">
        <v>3</v>
      </c>
      <c r="G1695" s="6" t="str">
        <f t="shared" si="57"/>
        <v>193</v>
      </c>
      <c r="H1695" s="5">
        <v>0</v>
      </c>
      <c r="I1695" s="5">
        <v>223.62304379612075</v>
      </c>
      <c r="J1695" s="5">
        <v>14035.150265434808</v>
      </c>
      <c r="K1695" s="5">
        <v>0</v>
      </c>
      <c r="L1695" s="5">
        <v>210.10975074821235</v>
      </c>
      <c r="M1695" s="5">
        <v>13187.021667913501</v>
      </c>
      <c r="N1695" s="5" t="s">
        <v>97</v>
      </c>
      <c r="O1695" s="5">
        <v>13.513293047908405</v>
      </c>
      <c r="P1695" s="5">
        <v>848.1285975213068</v>
      </c>
      <c r="Q1695" s="5">
        <v>6.4315401830647083</v>
      </c>
    </row>
    <row r="1696" spans="1:17" x14ac:dyDescent="0.2">
      <c r="A1696" s="4" t="s">
        <v>90</v>
      </c>
      <c r="B1696" s="4">
        <v>2015</v>
      </c>
      <c r="C1696" s="4" t="s">
        <v>88</v>
      </c>
      <c r="D1696" s="4">
        <v>3</v>
      </c>
      <c r="E1696" s="4">
        <v>19</v>
      </c>
      <c r="F1696" s="4">
        <v>3</v>
      </c>
      <c r="G1696" s="6" t="str">
        <f t="shared" si="57"/>
        <v>193</v>
      </c>
      <c r="H1696" s="5">
        <v>0</v>
      </c>
      <c r="I1696" s="5">
        <v>230.97677311461928</v>
      </c>
      <c r="J1696" s="5">
        <v>14496.688997062836</v>
      </c>
      <c r="K1696" s="5">
        <v>0</v>
      </c>
      <c r="L1696" s="5">
        <v>216.27961458499922</v>
      </c>
      <c r="M1696" s="5">
        <v>13574.257994709613</v>
      </c>
      <c r="N1696" s="5" t="s">
        <v>97</v>
      </c>
      <c r="O1696" s="5">
        <v>14.697158529620054</v>
      </c>
      <c r="P1696" s="5">
        <v>922.43100235322345</v>
      </c>
      <c r="Q1696" s="5">
        <v>6.7954432773616711</v>
      </c>
    </row>
    <row r="1697" spans="1:17" s="7" customFormat="1" x14ac:dyDescent="0.2">
      <c r="A1697" s="4" t="s">
        <v>90</v>
      </c>
      <c r="B1697" s="7">
        <v>2015</v>
      </c>
      <c r="C1697" s="7" t="s">
        <v>88</v>
      </c>
      <c r="D1697" s="7">
        <v>4</v>
      </c>
      <c r="E1697" s="7">
        <v>19</v>
      </c>
      <c r="F1697" s="7">
        <v>3</v>
      </c>
      <c r="G1697" s="6" t="str">
        <f t="shared" si="57"/>
        <v>193</v>
      </c>
      <c r="H1697" s="9">
        <v>0</v>
      </c>
      <c r="I1697" s="9">
        <v>214.95154760000918</v>
      </c>
      <c r="J1697" s="9">
        <v>13490.905137238036</v>
      </c>
      <c r="K1697" s="9">
        <v>0</v>
      </c>
      <c r="L1697" s="9">
        <v>211.28973503004275</v>
      </c>
      <c r="M1697" s="9">
        <v>13261.080478782025</v>
      </c>
      <c r="N1697" s="9" t="s">
        <v>97</v>
      </c>
      <c r="O1697" s="9">
        <v>3.661812569966429</v>
      </c>
      <c r="P1697" s="9">
        <v>229.82465845601109</v>
      </c>
      <c r="Q1697" s="9">
        <v>1.7330764172929558</v>
      </c>
    </row>
    <row r="1698" spans="1:17" x14ac:dyDescent="0.2">
      <c r="A1698" s="4" t="s">
        <v>61</v>
      </c>
      <c r="B1698" s="4">
        <v>2015</v>
      </c>
      <c r="C1698" s="4" t="s">
        <v>60</v>
      </c>
      <c r="D1698" s="4">
        <v>1</v>
      </c>
      <c r="E1698" s="4">
        <v>1</v>
      </c>
      <c r="F1698" s="11">
        <v>0</v>
      </c>
      <c r="G1698" s="6" t="str">
        <f t="shared" si="57"/>
        <v>10</v>
      </c>
      <c r="H1698" s="5">
        <v>4</v>
      </c>
      <c r="I1698" s="5">
        <v>280.37324994382442</v>
      </c>
      <c r="J1698" s="5">
        <v>17596.937357482431</v>
      </c>
      <c r="K1698" s="5">
        <v>4</v>
      </c>
      <c r="L1698" s="5">
        <v>280.37324994382442</v>
      </c>
      <c r="M1698" s="5">
        <v>17596.937357482431</v>
      </c>
      <c r="N1698" s="5">
        <v>0</v>
      </c>
      <c r="O1698" s="5">
        <v>0</v>
      </c>
      <c r="P1698" s="5">
        <v>0</v>
      </c>
      <c r="Q1698" s="5">
        <v>0</v>
      </c>
    </row>
    <row r="1699" spans="1:17" x14ac:dyDescent="0.2">
      <c r="A1699" s="4" t="s">
        <v>61</v>
      </c>
      <c r="B1699" s="4">
        <v>2015</v>
      </c>
      <c r="C1699" s="4" t="s">
        <v>60</v>
      </c>
      <c r="D1699" s="4">
        <v>2</v>
      </c>
      <c r="E1699" s="4">
        <v>1</v>
      </c>
      <c r="F1699" s="11">
        <v>0</v>
      </c>
      <c r="G1699" s="6" t="str">
        <f t="shared" si="57"/>
        <v>10</v>
      </c>
      <c r="H1699" s="5">
        <v>35</v>
      </c>
      <c r="I1699" s="5">
        <v>260.91200338123417</v>
      </c>
      <c r="J1699" s="5">
        <v>16375.500088666538</v>
      </c>
      <c r="K1699" s="5">
        <v>35</v>
      </c>
      <c r="L1699" s="5">
        <v>260.91200338123417</v>
      </c>
      <c r="M1699" s="5">
        <v>16375.500088666538</v>
      </c>
      <c r="N1699" s="5">
        <v>0</v>
      </c>
      <c r="O1699" s="5">
        <v>0</v>
      </c>
      <c r="P1699" s="5">
        <v>0</v>
      </c>
      <c r="Q1699" s="5">
        <v>0</v>
      </c>
    </row>
    <row r="1700" spans="1:17" x14ac:dyDescent="0.2">
      <c r="A1700" s="4" t="s">
        <v>61</v>
      </c>
      <c r="B1700" s="4">
        <v>2015</v>
      </c>
      <c r="C1700" s="4" t="s">
        <v>60</v>
      </c>
      <c r="D1700" s="4">
        <v>3</v>
      </c>
      <c r="E1700" s="4">
        <v>1</v>
      </c>
      <c r="F1700" s="11">
        <v>0</v>
      </c>
      <c r="G1700" s="6" t="str">
        <f t="shared" si="57"/>
        <v>10</v>
      </c>
      <c r="H1700" s="5">
        <v>27</v>
      </c>
      <c r="I1700" s="5">
        <v>266.88110450007315</v>
      </c>
      <c r="J1700" s="5">
        <v>16750.136037316181</v>
      </c>
      <c r="K1700" s="5">
        <v>27</v>
      </c>
      <c r="L1700" s="5">
        <v>266.88110450007315</v>
      </c>
      <c r="M1700" s="5">
        <v>16750.136037316181</v>
      </c>
      <c r="N1700" s="5">
        <v>0</v>
      </c>
      <c r="O1700" s="5">
        <v>0</v>
      </c>
      <c r="P1700" s="5">
        <v>0</v>
      </c>
      <c r="Q1700" s="5">
        <v>0</v>
      </c>
    </row>
    <row r="1701" spans="1:17" x14ac:dyDescent="0.2">
      <c r="A1701" s="4" t="s">
        <v>61</v>
      </c>
      <c r="B1701" s="4">
        <v>2015</v>
      </c>
      <c r="C1701" s="4" t="s">
        <v>60</v>
      </c>
      <c r="D1701" s="4">
        <v>4</v>
      </c>
      <c r="E1701" s="4">
        <v>1</v>
      </c>
      <c r="F1701" s="11">
        <v>0</v>
      </c>
      <c r="G1701" s="6" t="str">
        <f t="shared" si="57"/>
        <v>10</v>
      </c>
      <c r="H1701" s="5">
        <v>25</v>
      </c>
      <c r="I1701" s="5">
        <v>251.01198896046168</v>
      </c>
      <c r="J1701" s="5">
        <v>15754.150036065546</v>
      </c>
      <c r="K1701" s="5">
        <v>25</v>
      </c>
      <c r="L1701" s="5">
        <v>251.01198896046168</v>
      </c>
      <c r="M1701" s="5">
        <v>15754.150036065546</v>
      </c>
      <c r="N1701" s="5">
        <v>0</v>
      </c>
      <c r="O1701" s="5">
        <v>0</v>
      </c>
      <c r="P1701" s="5">
        <v>0</v>
      </c>
      <c r="Q1701" s="5">
        <v>0</v>
      </c>
    </row>
    <row r="1702" spans="1:17" x14ac:dyDescent="0.2">
      <c r="A1702" s="4" t="s">
        <v>61</v>
      </c>
      <c r="B1702" s="4">
        <v>2015</v>
      </c>
      <c r="C1702" s="4" t="s">
        <v>60</v>
      </c>
      <c r="D1702" s="4">
        <v>5</v>
      </c>
      <c r="E1702" s="4">
        <v>1</v>
      </c>
      <c r="F1702" s="11">
        <v>0</v>
      </c>
      <c r="G1702" s="6" t="str">
        <f t="shared" si="57"/>
        <v>10</v>
      </c>
      <c r="H1702" s="5">
        <v>27</v>
      </c>
      <c r="I1702" s="5">
        <v>242.51418835806126</v>
      </c>
      <c r="J1702" s="5">
        <v>15220.806484543504</v>
      </c>
      <c r="K1702" s="5">
        <v>27</v>
      </c>
      <c r="L1702" s="5">
        <v>242.51418835806126</v>
      </c>
      <c r="M1702" s="5">
        <v>15220.806484543504</v>
      </c>
      <c r="N1702" s="5">
        <v>0</v>
      </c>
      <c r="O1702" s="5">
        <v>0</v>
      </c>
      <c r="P1702" s="5">
        <v>0</v>
      </c>
      <c r="Q1702" s="5">
        <v>0</v>
      </c>
    </row>
    <row r="1703" spans="1:17" x14ac:dyDescent="0.2">
      <c r="A1703" s="4" t="s">
        <v>61</v>
      </c>
      <c r="B1703" s="4">
        <v>2015</v>
      </c>
      <c r="C1703" s="4" t="s">
        <v>60</v>
      </c>
      <c r="D1703" s="4">
        <v>6</v>
      </c>
      <c r="E1703" s="4">
        <v>1</v>
      </c>
      <c r="F1703" s="11">
        <v>0</v>
      </c>
      <c r="G1703" s="6" t="str">
        <f t="shared" si="57"/>
        <v>10</v>
      </c>
      <c r="H1703" s="5">
        <v>35</v>
      </c>
      <c r="I1703" s="5">
        <v>280.16839579536241</v>
      </c>
      <c r="J1703" s="5">
        <v>17584.080190764034</v>
      </c>
      <c r="K1703" s="5">
        <v>35</v>
      </c>
      <c r="L1703" s="5">
        <v>280.16839579536241</v>
      </c>
      <c r="M1703" s="5">
        <v>17584.080190764034</v>
      </c>
      <c r="N1703" s="5">
        <v>0</v>
      </c>
      <c r="O1703" s="5">
        <v>0</v>
      </c>
      <c r="P1703" s="5">
        <v>0</v>
      </c>
      <c r="Q1703" s="5">
        <v>0</v>
      </c>
    </row>
    <row r="1704" spans="1:17" x14ac:dyDescent="0.2">
      <c r="A1704" s="4" t="s">
        <v>61</v>
      </c>
      <c r="B1704" s="4">
        <v>2015</v>
      </c>
      <c r="C1704" s="4" t="s">
        <v>60</v>
      </c>
      <c r="D1704" s="4">
        <v>1</v>
      </c>
      <c r="E1704" s="4">
        <v>2</v>
      </c>
      <c r="F1704" s="4">
        <v>1</v>
      </c>
      <c r="G1704" s="6" t="str">
        <f t="shared" si="57"/>
        <v>21</v>
      </c>
      <c r="H1704" s="5">
        <v>22</v>
      </c>
      <c r="I1704" s="5">
        <v>251.28167323091856</v>
      </c>
      <c r="J1704" s="5">
        <v>15771.076105918783</v>
      </c>
      <c r="K1704" s="5">
        <v>4</v>
      </c>
      <c r="L1704" s="5">
        <v>280.37324994382442</v>
      </c>
      <c r="M1704" s="5">
        <v>17596.937357482431</v>
      </c>
      <c r="N1704" s="5">
        <v>-450</v>
      </c>
      <c r="O1704" s="5">
        <v>-29.091576712905862</v>
      </c>
      <c r="P1704" s="5">
        <v>-1825.8612515636487</v>
      </c>
      <c r="Q1704" s="5">
        <v>-10.376017226584434</v>
      </c>
    </row>
    <row r="1705" spans="1:17" x14ac:dyDescent="0.2">
      <c r="A1705" s="4" t="s">
        <v>61</v>
      </c>
      <c r="B1705" s="4">
        <v>2015</v>
      </c>
      <c r="C1705" s="4" t="s">
        <v>60</v>
      </c>
      <c r="D1705" s="4">
        <v>2</v>
      </c>
      <c r="E1705" s="4">
        <v>2</v>
      </c>
      <c r="F1705" s="4">
        <v>1</v>
      </c>
      <c r="G1705" s="6" t="str">
        <f t="shared" si="57"/>
        <v>21</v>
      </c>
      <c r="H1705" s="5">
        <v>20</v>
      </c>
      <c r="I1705" s="5">
        <v>261.6060355029586</v>
      </c>
      <c r="J1705" s="5">
        <v>16419.05930757388</v>
      </c>
      <c r="K1705" s="5">
        <v>35</v>
      </c>
      <c r="L1705" s="5">
        <v>260.91200338123417</v>
      </c>
      <c r="M1705" s="5">
        <v>16375.500088666538</v>
      </c>
      <c r="N1705" s="5">
        <v>42.857142857142854</v>
      </c>
      <c r="O1705" s="5">
        <v>0.69403212172443318</v>
      </c>
      <c r="P1705" s="5">
        <v>43.559218907341346</v>
      </c>
      <c r="Q1705" s="5">
        <v>0.26600237349385514</v>
      </c>
    </row>
    <row r="1706" spans="1:17" x14ac:dyDescent="0.2">
      <c r="A1706" s="4" t="s">
        <v>61</v>
      </c>
      <c r="B1706" s="4">
        <v>2015</v>
      </c>
      <c r="C1706" s="4" t="s">
        <v>60</v>
      </c>
      <c r="D1706" s="4">
        <v>3</v>
      </c>
      <c r="E1706" s="4">
        <v>2</v>
      </c>
      <c r="F1706" s="4">
        <v>1</v>
      </c>
      <c r="G1706" s="6" t="str">
        <f t="shared" si="57"/>
        <v>21</v>
      </c>
      <c r="H1706" s="5">
        <v>30</v>
      </c>
      <c r="I1706" s="5">
        <v>249.36127477574101</v>
      </c>
      <c r="J1706" s="5">
        <v>15650.547020765558</v>
      </c>
      <c r="K1706" s="5">
        <v>27</v>
      </c>
      <c r="L1706" s="5">
        <v>266.88110450007315</v>
      </c>
      <c r="M1706" s="5">
        <v>16750.136037316181</v>
      </c>
      <c r="N1706" s="5">
        <v>-11.111111111111111</v>
      </c>
      <c r="O1706" s="5">
        <v>-17.519829724332141</v>
      </c>
      <c r="P1706" s="5">
        <v>-1099.5890165506225</v>
      </c>
      <c r="Q1706" s="5">
        <v>-6.5646572308484128</v>
      </c>
    </row>
    <row r="1707" spans="1:17" x14ac:dyDescent="0.2">
      <c r="A1707" s="4" t="s">
        <v>61</v>
      </c>
      <c r="B1707" s="4">
        <v>2015</v>
      </c>
      <c r="C1707" s="4" t="s">
        <v>60</v>
      </c>
      <c r="D1707" s="4">
        <v>4</v>
      </c>
      <c r="E1707" s="4">
        <v>2</v>
      </c>
      <c r="F1707" s="4">
        <v>1</v>
      </c>
      <c r="G1707" s="6" t="str">
        <f t="shared" si="57"/>
        <v>21</v>
      </c>
      <c r="H1707" s="5">
        <v>20</v>
      </c>
      <c r="I1707" s="5">
        <v>250.20392966707323</v>
      </c>
      <c r="J1707" s="5">
        <v>15703.434182218087</v>
      </c>
      <c r="K1707" s="5">
        <v>25</v>
      </c>
      <c r="L1707" s="5">
        <v>251.01198896046168</v>
      </c>
      <c r="M1707" s="5">
        <v>15754.150036065546</v>
      </c>
      <c r="N1707" s="5">
        <v>20</v>
      </c>
      <c r="O1707" s="5">
        <v>-0.80805929338845317</v>
      </c>
      <c r="P1707" s="5">
        <v>-50.715853847459584</v>
      </c>
      <c r="Q1707" s="5">
        <v>-0.3219205969941708</v>
      </c>
    </row>
    <row r="1708" spans="1:17" x14ac:dyDescent="0.2">
      <c r="A1708" s="4" t="s">
        <v>61</v>
      </c>
      <c r="B1708" s="4">
        <v>2015</v>
      </c>
      <c r="C1708" s="4" t="s">
        <v>60</v>
      </c>
      <c r="D1708" s="4">
        <v>5</v>
      </c>
      <c r="E1708" s="4">
        <v>2</v>
      </c>
      <c r="F1708" s="4">
        <v>1</v>
      </c>
      <c r="G1708" s="6" t="str">
        <f t="shared" si="57"/>
        <v>21</v>
      </c>
      <c r="H1708" s="5">
        <v>18</v>
      </c>
      <c r="I1708" s="5">
        <v>244.53367580812574</v>
      </c>
      <c r="J1708" s="5">
        <v>15347.554646717059</v>
      </c>
      <c r="K1708" s="5">
        <v>27</v>
      </c>
      <c r="L1708" s="5">
        <v>242.51418835806126</v>
      </c>
      <c r="M1708" s="5">
        <v>15220.806484543504</v>
      </c>
      <c r="N1708" s="5">
        <v>33.333333333333329</v>
      </c>
      <c r="O1708" s="5">
        <v>2.0194874500644744</v>
      </c>
      <c r="P1708" s="5">
        <v>126.7481621735551</v>
      </c>
      <c r="Q1708" s="5">
        <v>0.83272960800247953</v>
      </c>
    </row>
    <row r="1709" spans="1:17" s="7" customFormat="1" x14ac:dyDescent="0.2">
      <c r="A1709" s="4" t="s">
        <v>61</v>
      </c>
      <c r="B1709" s="7">
        <v>2015</v>
      </c>
      <c r="C1709" s="7" t="s">
        <v>60</v>
      </c>
      <c r="D1709" s="7">
        <v>6</v>
      </c>
      <c r="E1709" s="7">
        <v>2</v>
      </c>
      <c r="F1709" s="7">
        <v>1</v>
      </c>
      <c r="G1709" s="6" t="str">
        <f t="shared" si="57"/>
        <v>21</v>
      </c>
      <c r="H1709" s="9">
        <v>24</v>
      </c>
      <c r="I1709" s="9">
        <v>262.71685057493306</v>
      </c>
      <c r="J1709" s="9">
        <v>16488.776883131453</v>
      </c>
      <c r="K1709" s="9">
        <v>35</v>
      </c>
      <c r="L1709" s="9">
        <v>280.16839579536241</v>
      </c>
      <c r="M1709" s="9">
        <v>17584.080190764034</v>
      </c>
      <c r="N1709" s="9">
        <v>31.428571428571427</v>
      </c>
      <c r="O1709" s="9">
        <v>-17.451545220429352</v>
      </c>
      <c r="P1709" s="9">
        <v>-1095.303307632581</v>
      </c>
      <c r="Q1709" s="9">
        <v>-6.2289485474928883</v>
      </c>
    </row>
    <row r="1710" spans="1:17" x14ac:dyDescent="0.2">
      <c r="A1710" s="4" t="s">
        <v>61</v>
      </c>
      <c r="B1710" s="4">
        <v>2015</v>
      </c>
      <c r="C1710" s="4" t="s">
        <v>60</v>
      </c>
      <c r="D1710" s="4">
        <v>1</v>
      </c>
      <c r="E1710" s="4">
        <v>3</v>
      </c>
      <c r="F1710" s="4">
        <v>1</v>
      </c>
      <c r="G1710" s="6" t="str">
        <f t="shared" si="57"/>
        <v>31</v>
      </c>
      <c r="H1710" s="5">
        <v>24</v>
      </c>
      <c r="I1710" s="5">
        <v>298.68191264396222</v>
      </c>
      <c r="J1710" s="5">
        <v>18746.035535351224</v>
      </c>
      <c r="K1710" s="5">
        <v>4</v>
      </c>
      <c r="L1710" s="5">
        <v>280.37324994382442</v>
      </c>
      <c r="M1710" s="5">
        <v>17596.937357482431</v>
      </c>
      <c r="N1710" s="5">
        <v>-500</v>
      </c>
      <c r="O1710" s="5">
        <v>18.308662700137802</v>
      </c>
      <c r="P1710" s="5">
        <v>1149.0981778687928</v>
      </c>
      <c r="Q1710" s="5">
        <v>6.5301032476550951</v>
      </c>
    </row>
    <row r="1711" spans="1:17" x14ac:dyDescent="0.2">
      <c r="A1711" s="4" t="s">
        <v>61</v>
      </c>
      <c r="B1711" s="4">
        <v>2015</v>
      </c>
      <c r="C1711" s="4" t="s">
        <v>60</v>
      </c>
      <c r="D1711" s="4">
        <v>2</v>
      </c>
      <c r="E1711" s="4">
        <v>3</v>
      </c>
      <c r="F1711" s="4">
        <v>1</v>
      </c>
      <c r="G1711" s="6" t="str">
        <f t="shared" si="57"/>
        <v>31</v>
      </c>
      <c r="H1711" s="5">
        <v>33</v>
      </c>
      <c r="I1711" s="5">
        <v>269.96398985629753</v>
      </c>
      <c r="J1711" s="5">
        <v>16943.625753273926</v>
      </c>
      <c r="K1711" s="5">
        <v>35</v>
      </c>
      <c r="L1711" s="5">
        <v>260.91200338123417</v>
      </c>
      <c r="M1711" s="5">
        <v>16375.500088666538</v>
      </c>
      <c r="N1711" s="5">
        <v>5.7142857142857144</v>
      </c>
      <c r="O1711" s="5">
        <v>9.0519864750633587</v>
      </c>
      <c r="P1711" s="5">
        <v>568.12566460738708</v>
      </c>
      <c r="Q1711" s="5">
        <v>3.4693637539691755</v>
      </c>
    </row>
    <row r="1712" spans="1:17" x14ac:dyDescent="0.2">
      <c r="A1712" s="4" t="s">
        <v>61</v>
      </c>
      <c r="B1712" s="4">
        <v>2015</v>
      </c>
      <c r="C1712" s="4" t="s">
        <v>60</v>
      </c>
      <c r="D1712" s="4">
        <v>3</v>
      </c>
      <c r="E1712" s="4">
        <v>3</v>
      </c>
      <c r="F1712" s="4">
        <v>1</v>
      </c>
      <c r="G1712" s="6" t="str">
        <f t="shared" si="57"/>
        <v>31</v>
      </c>
      <c r="H1712" s="5">
        <v>27</v>
      </c>
      <c r="I1712" s="5">
        <v>265.15483701437574</v>
      </c>
      <c r="J1712" s="5">
        <v>16641.791104929933</v>
      </c>
      <c r="K1712" s="5">
        <v>27</v>
      </c>
      <c r="L1712" s="5">
        <v>266.88110450007315</v>
      </c>
      <c r="M1712" s="5">
        <v>16750.136037316181</v>
      </c>
      <c r="N1712" s="5">
        <v>0</v>
      </c>
      <c r="O1712" s="5">
        <v>-1.7262674856974058</v>
      </c>
      <c r="P1712" s="5">
        <v>-108.34493238624782</v>
      </c>
      <c r="Q1712" s="5">
        <v>-0.64683016391553783</v>
      </c>
    </row>
    <row r="1713" spans="1:17" x14ac:dyDescent="0.2">
      <c r="A1713" s="4" t="s">
        <v>61</v>
      </c>
      <c r="B1713" s="4">
        <v>2015</v>
      </c>
      <c r="C1713" s="4" t="s">
        <v>60</v>
      </c>
      <c r="D1713" s="4">
        <v>4</v>
      </c>
      <c r="E1713" s="4">
        <v>3</v>
      </c>
      <c r="F1713" s="4">
        <v>1</v>
      </c>
      <c r="G1713" s="6" t="str">
        <f t="shared" si="57"/>
        <v>31</v>
      </c>
      <c r="H1713" s="5">
        <v>22</v>
      </c>
      <c r="I1713" s="5">
        <v>261.60563674201381</v>
      </c>
      <c r="J1713" s="5">
        <v>16419.034280324067</v>
      </c>
      <c r="K1713" s="5">
        <v>25</v>
      </c>
      <c r="L1713" s="5">
        <v>251.01198896046168</v>
      </c>
      <c r="M1713" s="5">
        <v>15754.150036065546</v>
      </c>
      <c r="N1713" s="5">
        <v>12</v>
      </c>
      <c r="O1713" s="5">
        <v>10.593647781552136</v>
      </c>
      <c r="P1713" s="5">
        <v>664.88424425852099</v>
      </c>
      <c r="Q1713" s="5">
        <v>4.220375220093878</v>
      </c>
    </row>
    <row r="1714" spans="1:17" x14ac:dyDescent="0.2">
      <c r="A1714" s="4" t="s">
        <v>61</v>
      </c>
      <c r="B1714" s="4">
        <v>2015</v>
      </c>
      <c r="C1714" s="4" t="s">
        <v>60</v>
      </c>
      <c r="D1714" s="4">
        <v>5</v>
      </c>
      <c r="E1714" s="4">
        <v>3</v>
      </c>
      <c r="F1714" s="4">
        <v>1</v>
      </c>
      <c r="G1714" s="6" t="str">
        <f t="shared" si="57"/>
        <v>31</v>
      </c>
      <c r="H1714" s="5">
        <v>35</v>
      </c>
      <c r="I1714" s="5">
        <v>241.82789422025286</v>
      </c>
      <c r="J1714" s="5">
        <v>15177.732921162398</v>
      </c>
      <c r="K1714" s="5">
        <v>27</v>
      </c>
      <c r="L1714" s="5">
        <v>242.51418835806126</v>
      </c>
      <c r="M1714" s="5">
        <v>15220.806484543504</v>
      </c>
      <c r="N1714" s="5">
        <v>-29.629629629629626</v>
      </c>
      <c r="O1714" s="5">
        <v>-0.68629413780840309</v>
      </c>
      <c r="P1714" s="5">
        <v>-43.073563381105487</v>
      </c>
      <c r="Q1714" s="5">
        <v>-0.28299133442663521</v>
      </c>
    </row>
    <row r="1715" spans="1:17" x14ac:dyDescent="0.2">
      <c r="A1715" s="4" t="s">
        <v>61</v>
      </c>
      <c r="B1715" s="4">
        <v>2015</v>
      </c>
      <c r="C1715" s="4" t="s">
        <v>60</v>
      </c>
      <c r="D1715" s="4">
        <v>6</v>
      </c>
      <c r="E1715" s="4">
        <v>3</v>
      </c>
      <c r="F1715" s="4">
        <v>1</v>
      </c>
      <c r="G1715" s="6" t="str">
        <f t="shared" si="57"/>
        <v>31</v>
      </c>
      <c r="H1715" s="5">
        <v>24</v>
      </c>
      <c r="I1715" s="5">
        <v>233.74675400151531</v>
      </c>
      <c r="J1715" s="5">
        <v>14670.540033700245</v>
      </c>
      <c r="K1715" s="5">
        <v>35</v>
      </c>
      <c r="L1715" s="5">
        <v>280.16839579536241</v>
      </c>
      <c r="M1715" s="5">
        <v>17584.080190764034</v>
      </c>
      <c r="N1715" s="5">
        <v>31.428571428571427</v>
      </c>
      <c r="O1715" s="5">
        <v>-46.421641793847101</v>
      </c>
      <c r="P1715" s="5">
        <v>-2913.5401570637896</v>
      </c>
      <c r="Q1715" s="5">
        <v>-16.569192846345835</v>
      </c>
    </row>
    <row r="1716" spans="1:17" x14ac:dyDescent="0.2">
      <c r="A1716" s="4" t="s">
        <v>61</v>
      </c>
      <c r="B1716" s="4">
        <v>2015</v>
      </c>
      <c r="C1716" s="4" t="s">
        <v>60</v>
      </c>
      <c r="D1716" s="4">
        <v>1</v>
      </c>
      <c r="E1716" s="4">
        <v>4</v>
      </c>
      <c r="F1716" s="4">
        <v>1</v>
      </c>
      <c r="G1716" s="6" t="str">
        <f t="shared" si="57"/>
        <v>41</v>
      </c>
      <c r="H1716" s="5">
        <v>30</v>
      </c>
      <c r="I1716" s="5">
        <v>240.9</v>
      </c>
      <c r="J1716" s="5">
        <v>15119.495922905857</v>
      </c>
      <c r="K1716" s="5">
        <v>4</v>
      </c>
      <c r="L1716" s="5">
        <v>280.37324994382442</v>
      </c>
      <c r="M1716" s="5">
        <v>17596.937357482431</v>
      </c>
      <c r="N1716" s="5">
        <v>-650</v>
      </c>
      <c r="O1716" s="5">
        <v>-39.473249943824413</v>
      </c>
      <c r="P1716" s="5">
        <v>-2477.4414345765745</v>
      </c>
      <c r="Q1716" s="5">
        <v>-14.078821696339883</v>
      </c>
    </row>
    <row r="1717" spans="1:17" x14ac:dyDescent="0.2">
      <c r="A1717" s="4" t="s">
        <v>61</v>
      </c>
      <c r="B1717" s="4">
        <v>2015</v>
      </c>
      <c r="C1717" s="4" t="s">
        <v>60</v>
      </c>
      <c r="D1717" s="4">
        <v>2</v>
      </c>
      <c r="E1717" s="4">
        <v>4</v>
      </c>
      <c r="F1717" s="4">
        <v>1</v>
      </c>
      <c r="G1717" s="6" t="str">
        <f t="shared" si="57"/>
        <v>41</v>
      </c>
      <c r="H1717" s="5">
        <v>30</v>
      </c>
      <c r="I1717" s="5">
        <v>257.77817351536811</v>
      </c>
      <c r="J1717" s="5">
        <v>16178.812965876821</v>
      </c>
      <c r="K1717" s="5">
        <v>35</v>
      </c>
      <c r="L1717" s="5">
        <v>260.91200338123417</v>
      </c>
      <c r="M1717" s="5">
        <v>16375.500088666538</v>
      </c>
      <c r="N1717" s="5">
        <v>14.285714285714285</v>
      </c>
      <c r="O1717" s="5">
        <v>-3.1338298658660619</v>
      </c>
      <c r="P1717" s="5">
        <v>-196.68712278971725</v>
      </c>
      <c r="Q1717" s="5">
        <v>-1.201106053096016</v>
      </c>
    </row>
    <row r="1718" spans="1:17" x14ac:dyDescent="0.2">
      <c r="A1718" s="4" t="s">
        <v>61</v>
      </c>
      <c r="B1718" s="4">
        <v>2015</v>
      </c>
      <c r="C1718" s="4" t="s">
        <v>60</v>
      </c>
      <c r="D1718" s="4">
        <v>3</v>
      </c>
      <c r="E1718" s="4">
        <v>4</v>
      </c>
      <c r="F1718" s="4">
        <v>1</v>
      </c>
      <c r="G1718" s="6" t="str">
        <f t="shared" si="57"/>
        <v>41</v>
      </c>
      <c r="H1718" s="5">
        <v>30</v>
      </c>
      <c r="I1718" s="5">
        <v>257.65458023757623</v>
      </c>
      <c r="J1718" s="5">
        <v>16171.055937816744</v>
      </c>
      <c r="K1718" s="5">
        <v>27</v>
      </c>
      <c r="L1718" s="5">
        <v>266.88110450007315</v>
      </c>
      <c r="M1718" s="5">
        <v>16750.136037316181</v>
      </c>
      <c r="N1718" s="5">
        <v>-11.111111111111111</v>
      </c>
      <c r="O1718" s="5">
        <v>-9.2265242624969233</v>
      </c>
      <c r="P1718" s="5">
        <v>-579.08009949943698</v>
      </c>
      <c r="Q1718" s="5">
        <v>-3.457166546046877</v>
      </c>
    </row>
    <row r="1719" spans="1:17" x14ac:dyDescent="0.2">
      <c r="A1719" s="4" t="s">
        <v>61</v>
      </c>
      <c r="B1719" s="4">
        <v>2015</v>
      </c>
      <c r="C1719" s="4" t="s">
        <v>60</v>
      </c>
      <c r="D1719" s="4">
        <v>4</v>
      </c>
      <c r="E1719" s="4">
        <v>4</v>
      </c>
      <c r="F1719" s="4">
        <v>1</v>
      </c>
      <c r="G1719" s="6" t="str">
        <f t="shared" si="57"/>
        <v>41</v>
      </c>
      <c r="H1719" s="5">
        <v>24</v>
      </c>
      <c r="I1719" s="5">
        <v>237.99208923159392</v>
      </c>
      <c r="J1719" s="5">
        <v>14936.988056541848</v>
      </c>
      <c r="K1719" s="5">
        <v>25</v>
      </c>
      <c r="L1719" s="5">
        <v>251.01198896046168</v>
      </c>
      <c r="M1719" s="5">
        <v>15754.150036065546</v>
      </c>
      <c r="N1719" s="5">
        <v>4</v>
      </c>
      <c r="O1719" s="5">
        <v>-13.019899728867756</v>
      </c>
      <c r="P1719" s="5">
        <v>-817.16197952369839</v>
      </c>
      <c r="Q1719" s="5">
        <v>-5.1869632931830134</v>
      </c>
    </row>
    <row r="1720" spans="1:17" x14ac:dyDescent="0.2">
      <c r="A1720" s="4" t="s">
        <v>61</v>
      </c>
      <c r="B1720" s="4">
        <v>2015</v>
      </c>
      <c r="C1720" s="4" t="s">
        <v>60</v>
      </c>
      <c r="D1720" s="4">
        <v>5</v>
      </c>
      <c r="E1720" s="4">
        <v>4</v>
      </c>
      <c r="F1720" s="4">
        <v>1</v>
      </c>
      <c r="G1720" s="6" t="str">
        <f t="shared" si="57"/>
        <v>41</v>
      </c>
      <c r="H1720" s="5">
        <v>13</v>
      </c>
      <c r="I1720" s="5">
        <v>247.35422925405496</v>
      </c>
      <c r="J1720" s="5">
        <v>15524.579745621437</v>
      </c>
      <c r="K1720" s="5">
        <v>27</v>
      </c>
      <c r="L1720" s="5">
        <v>242.51418835806126</v>
      </c>
      <c r="M1720" s="5">
        <v>15220.806484543504</v>
      </c>
      <c r="N1720" s="5">
        <v>51.851851851851848</v>
      </c>
      <c r="O1720" s="5">
        <v>4.8400408959936954</v>
      </c>
      <c r="P1720" s="5">
        <v>303.77326107793306</v>
      </c>
      <c r="Q1720" s="5">
        <v>1.9957763827193398</v>
      </c>
    </row>
    <row r="1721" spans="1:17" s="7" customFormat="1" x14ac:dyDescent="0.2">
      <c r="A1721" s="4" t="s">
        <v>61</v>
      </c>
      <c r="B1721" s="7">
        <v>2015</v>
      </c>
      <c r="C1721" s="7" t="s">
        <v>60</v>
      </c>
      <c r="D1721" s="7">
        <v>6</v>
      </c>
      <c r="E1721" s="7">
        <v>4</v>
      </c>
      <c r="F1721" s="7">
        <v>1</v>
      </c>
      <c r="G1721" s="6" t="str">
        <f t="shared" si="57"/>
        <v>41</v>
      </c>
      <c r="H1721" s="9">
        <v>27</v>
      </c>
      <c r="I1721" s="9">
        <v>242.19634274009996</v>
      </c>
      <c r="J1721" s="9">
        <v>15200.85768618369</v>
      </c>
      <c r="K1721" s="9">
        <v>35</v>
      </c>
      <c r="L1721" s="9">
        <v>280.16839579536241</v>
      </c>
      <c r="M1721" s="9">
        <v>17584.080190764034</v>
      </c>
      <c r="N1721" s="9">
        <v>22.857142857142858</v>
      </c>
      <c r="O1721" s="9">
        <v>-37.97205305526245</v>
      </c>
      <c r="P1721" s="9">
        <v>-2383.2225045803443</v>
      </c>
      <c r="Q1721" s="9">
        <v>-13.553296383578381</v>
      </c>
    </row>
    <row r="1722" spans="1:17" x14ac:dyDescent="0.2">
      <c r="A1722" s="4" t="s">
        <v>61</v>
      </c>
      <c r="B1722" s="4">
        <v>2015</v>
      </c>
      <c r="C1722" s="4" t="s">
        <v>60</v>
      </c>
      <c r="D1722" s="4">
        <v>1</v>
      </c>
      <c r="E1722" s="4">
        <v>5</v>
      </c>
      <c r="F1722" s="4">
        <v>1</v>
      </c>
      <c r="G1722" s="6" t="str">
        <f t="shared" si="57"/>
        <v>51</v>
      </c>
      <c r="H1722" s="5">
        <v>24</v>
      </c>
      <c r="I1722" s="5">
        <v>273.63489952171199</v>
      </c>
      <c r="J1722" s="5">
        <v>17174.02136854827</v>
      </c>
      <c r="K1722" s="5">
        <v>4</v>
      </c>
      <c r="L1722" s="5">
        <v>280.37324994382442</v>
      </c>
      <c r="M1722" s="5">
        <v>17596.937357482431</v>
      </c>
      <c r="N1722" s="5">
        <v>-500</v>
      </c>
      <c r="O1722" s="5">
        <v>-6.7383504221124326</v>
      </c>
      <c r="P1722" s="5">
        <v>-422.91598893416085</v>
      </c>
      <c r="Q1722" s="5">
        <v>-2.4033499713194799</v>
      </c>
    </row>
    <row r="1723" spans="1:17" x14ac:dyDescent="0.2">
      <c r="A1723" s="4" t="s">
        <v>61</v>
      </c>
      <c r="B1723" s="4">
        <v>2015</v>
      </c>
      <c r="C1723" s="4" t="s">
        <v>60</v>
      </c>
      <c r="D1723" s="4">
        <v>2</v>
      </c>
      <c r="E1723" s="4">
        <v>5</v>
      </c>
      <c r="F1723" s="4">
        <v>1</v>
      </c>
      <c r="G1723" s="6" t="str">
        <f t="shared" si="57"/>
        <v>51</v>
      </c>
      <c r="H1723" s="5">
        <v>33</v>
      </c>
      <c r="I1723" s="5">
        <v>254.86854111405836</v>
      </c>
      <c r="J1723" s="5">
        <v>15996.197045458568</v>
      </c>
      <c r="K1723" s="5">
        <v>35</v>
      </c>
      <c r="L1723" s="5">
        <v>260.91200338123417</v>
      </c>
      <c r="M1723" s="5">
        <v>16375.500088666538</v>
      </c>
      <c r="N1723" s="5">
        <v>5.7142857142857144</v>
      </c>
      <c r="O1723" s="5">
        <v>-6.043462267175812</v>
      </c>
      <c r="P1723" s="5">
        <v>-379.3030432079704</v>
      </c>
      <c r="Q1723" s="5">
        <v>-2.3162837235760851</v>
      </c>
    </row>
    <row r="1724" spans="1:17" x14ac:dyDescent="0.2">
      <c r="A1724" s="4" t="s">
        <v>61</v>
      </c>
      <c r="B1724" s="4">
        <v>2015</v>
      </c>
      <c r="C1724" s="4" t="s">
        <v>60</v>
      </c>
      <c r="D1724" s="4">
        <v>3</v>
      </c>
      <c r="E1724" s="4">
        <v>5</v>
      </c>
      <c r="F1724" s="4">
        <v>1</v>
      </c>
      <c r="G1724" s="6" t="str">
        <f t="shared" si="57"/>
        <v>51</v>
      </c>
      <c r="H1724" s="5">
        <v>6</v>
      </c>
      <c r="I1724" s="5">
        <v>255.62794194920892</v>
      </c>
      <c r="J1724" s="5">
        <v>16043.858970867077</v>
      </c>
      <c r="K1724" s="5">
        <v>27</v>
      </c>
      <c r="L1724" s="5">
        <v>266.88110450007315</v>
      </c>
      <c r="M1724" s="5">
        <v>16750.136037316181</v>
      </c>
      <c r="N1724" s="5">
        <v>77.777777777777786</v>
      </c>
      <c r="O1724" s="5">
        <v>-11.253162550864232</v>
      </c>
      <c r="P1724" s="5">
        <v>-706.27706644910359</v>
      </c>
      <c r="Q1724" s="5">
        <v>-4.2165452559647871</v>
      </c>
    </row>
    <row r="1725" spans="1:17" x14ac:dyDescent="0.2">
      <c r="A1725" s="4" t="s">
        <v>61</v>
      </c>
      <c r="B1725" s="4">
        <v>2015</v>
      </c>
      <c r="C1725" s="4" t="s">
        <v>60</v>
      </c>
      <c r="D1725" s="4">
        <v>4</v>
      </c>
      <c r="E1725" s="4">
        <v>5</v>
      </c>
      <c r="F1725" s="4">
        <v>1</v>
      </c>
      <c r="G1725" s="6" t="str">
        <f t="shared" si="57"/>
        <v>51</v>
      </c>
      <c r="H1725" s="5">
        <v>37</v>
      </c>
      <c r="I1725" s="5">
        <v>266.88901250587782</v>
      </c>
      <c r="J1725" s="5">
        <v>16750.632363848028</v>
      </c>
      <c r="K1725" s="5">
        <v>25</v>
      </c>
      <c r="L1725" s="5">
        <v>251.01198896046168</v>
      </c>
      <c r="M1725" s="5">
        <v>15754.150036065546</v>
      </c>
      <c r="N1725" s="5">
        <v>-48</v>
      </c>
      <c r="O1725" s="5">
        <v>15.877023545416137</v>
      </c>
      <c r="P1725" s="5">
        <v>996.48232778248166</v>
      </c>
      <c r="Q1725" s="5">
        <v>6.3252052665568241</v>
      </c>
    </row>
    <row r="1726" spans="1:17" x14ac:dyDescent="0.2">
      <c r="A1726" s="4" t="s">
        <v>61</v>
      </c>
      <c r="B1726" s="4">
        <v>2015</v>
      </c>
      <c r="C1726" s="4" t="s">
        <v>60</v>
      </c>
      <c r="D1726" s="4">
        <v>5</v>
      </c>
      <c r="E1726" s="4">
        <v>5</v>
      </c>
      <c r="F1726" s="4">
        <v>1</v>
      </c>
      <c r="G1726" s="6" t="str">
        <f t="shared" si="57"/>
        <v>51</v>
      </c>
      <c r="H1726" s="5">
        <v>30</v>
      </c>
      <c r="I1726" s="5">
        <v>245.79106724869416</v>
      </c>
      <c r="J1726" s="5">
        <v>15426.471727494025</v>
      </c>
      <c r="K1726" s="5">
        <v>27</v>
      </c>
      <c r="L1726" s="5">
        <v>242.51418835806126</v>
      </c>
      <c r="M1726" s="5">
        <v>15220.806484543504</v>
      </c>
      <c r="N1726" s="5">
        <v>-11.111111111111111</v>
      </c>
      <c r="O1726" s="5">
        <v>3.2768788906329007</v>
      </c>
      <c r="P1726" s="5">
        <v>205.66524295052113</v>
      </c>
      <c r="Q1726" s="5">
        <v>1.3512112065768067</v>
      </c>
    </row>
    <row r="1727" spans="1:17" x14ac:dyDescent="0.2">
      <c r="A1727" s="4" t="s">
        <v>61</v>
      </c>
      <c r="B1727" s="4">
        <v>2015</v>
      </c>
      <c r="C1727" s="4" t="s">
        <v>60</v>
      </c>
      <c r="D1727" s="4">
        <v>6</v>
      </c>
      <c r="E1727" s="4">
        <v>5</v>
      </c>
      <c r="F1727" s="4">
        <v>1</v>
      </c>
      <c r="G1727" s="6" t="str">
        <f t="shared" si="57"/>
        <v>51</v>
      </c>
      <c r="H1727" s="5">
        <v>32</v>
      </c>
      <c r="I1727" s="5">
        <v>263.56636463723891</v>
      </c>
      <c r="J1727" s="5">
        <v>16542.094543577634</v>
      </c>
      <c r="K1727" s="5">
        <v>35</v>
      </c>
      <c r="L1727" s="5">
        <v>280.16839579536241</v>
      </c>
      <c r="M1727" s="5">
        <v>17584.080190764034</v>
      </c>
      <c r="N1727" s="5">
        <v>8.5714285714285712</v>
      </c>
      <c r="O1727" s="5">
        <v>-16.602031158123509</v>
      </c>
      <c r="P1727" s="5">
        <v>-1041.9856471864005</v>
      </c>
      <c r="Q1727" s="5">
        <v>-5.9257330260225904</v>
      </c>
    </row>
    <row r="1728" spans="1:17" x14ac:dyDescent="0.2">
      <c r="A1728" s="4" t="s">
        <v>61</v>
      </c>
      <c r="B1728" s="4">
        <v>2015</v>
      </c>
      <c r="C1728" s="4" t="s">
        <v>60</v>
      </c>
      <c r="D1728" s="4">
        <v>1</v>
      </c>
      <c r="E1728" s="4">
        <v>6</v>
      </c>
      <c r="F1728" s="4">
        <v>1</v>
      </c>
      <c r="G1728" s="6" t="str">
        <f t="shared" si="57"/>
        <v>61</v>
      </c>
      <c r="H1728" s="5">
        <v>17</v>
      </c>
      <c r="I1728" s="5">
        <v>258.90375268992113</v>
      </c>
      <c r="J1728" s="5">
        <v>16249.457174015311</v>
      </c>
      <c r="K1728" s="5">
        <v>4</v>
      </c>
      <c r="L1728" s="5">
        <v>280.37324994382442</v>
      </c>
      <c r="M1728" s="5">
        <v>17596.937357482431</v>
      </c>
      <c r="N1728" s="5">
        <v>-325</v>
      </c>
      <c r="O1728" s="5">
        <v>-21.469497253903285</v>
      </c>
      <c r="P1728" s="5">
        <v>-1347.4801834671198</v>
      </c>
      <c r="Q1728" s="5">
        <v>-7.657469911343151</v>
      </c>
    </row>
    <row r="1729" spans="1:17" x14ac:dyDescent="0.2">
      <c r="A1729" s="4" t="s">
        <v>61</v>
      </c>
      <c r="B1729" s="4">
        <v>2015</v>
      </c>
      <c r="C1729" s="4" t="s">
        <v>60</v>
      </c>
      <c r="D1729" s="4">
        <v>2</v>
      </c>
      <c r="E1729" s="4">
        <v>6</v>
      </c>
      <c r="F1729" s="4">
        <v>1</v>
      </c>
      <c r="G1729" s="6" t="str">
        <f t="shared" si="57"/>
        <v>61</v>
      </c>
      <c r="H1729" s="5">
        <v>27</v>
      </c>
      <c r="I1729" s="5">
        <v>309.37435796449694</v>
      </c>
      <c r="J1729" s="5">
        <v>19417.12056411718</v>
      </c>
      <c r="K1729" s="5">
        <v>35</v>
      </c>
      <c r="L1729" s="5">
        <v>260.91200338123417</v>
      </c>
      <c r="M1729" s="5">
        <v>16375.500088666538</v>
      </c>
      <c r="N1729" s="5">
        <v>22.857142857142858</v>
      </c>
      <c r="O1729" s="5">
        <v>48.462354583262766</v>
      </c>
      <c r="P1729" s="5">
        <v>3041.6204754506416</v>
      </c>
      <c r="Q1729" s="5">
        <v>18.574214277313843</v>
      </c>
    </row>
    <row r="1730" spans="1:17" x14ac:dyDescent="0.2">
      <c r="A1730" s="4" t="s">
        <v>61</v>
      </c>
      <c r="B1730" s="4">
        <v>2015</v>
      </c>
      <c r="C1730" s="4" t="s">
        <v>60</v>
      </c>
      <c r="D1730" s="4">
        <v>3</v>
      </c>
      <c r="E1730" s="4">
        <v>6</v>
      </c>
      <c r="F1730" s="4">
        <v>1</v>
      </c>
      <c r="G1730" s="6" t="str">
        <f t="shared" ref="G1730:G1793" si="58">E1730&amp;F1730</f>
        <v>61</v>
      </c>
      <c r="H1730" s="5">
        <v>35</v>
      </c>
      <c r="I1730" s="5">
        <v>266.32719108945366</v>
      </c>
      <c r="J1730" s="5">
        <v>16715.371024640779</v>
      </c>
      <c r="K1730" s="5">
        <v>27</v>
      </c>
      <c r="L1730" s="5">
        <v>266.88110450007315</v>
      </c>
      <c r="M1730" s="5">
        <v>16750.136037316181</v>
      </c>
      <c r="N1730" s="5">
        <v>-29.629629629629626</v>
      </c>
      <c r="O1730" s="5">
        <v>-0.55391341061948651</v>
      </c>
      <c r="P1730" s="5">
        <v>-34.765012675401522</v>
      </c>
      <c r="Q1730" s="5">
        <v>-0.20755062883042594</v>
      </c>
    </row>
    <row r="1731" spans="1:17" x14ac:dyDescent="0.2">
      <c r="A1731" s="4" t="s">
        <v>61</v>
      </c>
      <c r="B1731" s="4">
        <v>2015</v>
      </c>
      <c r="C1731" s="4" t="s">
        <v>60</v>
      </c>
      <c r="D1731" s="4">
        <v>4</v>
      </c>
      <c r="E1731" s="4">
        <v>6</v>
      </c>
      <c r="F1731" s="4">
        <v>1</v>
      </c>
      <c r="G1731" s="6" t="str">
        <f t="shared" si="58"/>
        <v>61</v>
      </c>
      <c r="H1731" s="5">
        <v>22</v>
      </c>
      <c r="I1731" s="5">
        <v>248.99713440405745</v>
      </c>
      <c r="J1731" s="5">
        <v>15627.692646066367</v>
      </c>
      <c r="K1731" s="5">
        <v>25</v>
      </c>
      <c r="L1731" s="5">
        <v>251.01198896046168</v>
      </c>
      <c r="M1731" s="5">
        <v>15754.150036065546</v>
      </c>
      <c r="N1731" s="5">
        <v>12</v>
      </c>
      <c r="O1731" s="5">
        <v>-2.0148545564042308</v>
      </c>
      <c r="P1731" s="5">
        <v>-126.45738999917921</v>
      </c>
      <c r="Q1731" s="5">
        <v>-0.80269255853018895</v>
      </c>
    </row>
    <row r="1732" spans="1:17" x14ac:dyDescent="0.2">
      <c r="A1732" s="4" t="s">
        <v>61</v>
      </c>
      <c r="B1732" s="4">
        <v>2015</v>
      </c>
      <c r="C1732" s="4" t="s">
        <v>60</v>
      </c>
      <c r="D1732" s="4">
        <v>5</v>
      </c>
      <c r="E1732" s="4">
        <v>6</v>
      </c>
      <c r="F1732" s="4">
        <v>1</v>
      </c>
      <c r="G1732" s="6" t="str">
        <f t="shared" si="58"/>
        <v>61</v>
      </c>
      <c r="H1732" s="5">
        <v>30</v>
      </c>
      <c r="I1732" s="5">
        <v>271.61389745900772</v>
      </c>
      <c r="J1732" s="5">
        <v>17047.178145438091</v>
      </c>
      <c r="K1732" s="5">
        <v>27</v>
      </c>
      <c r="L1732" s="5">
        <v>242.51418835806126</v>
      </c>
      <c r="M1732" s="5">
        <v>15220.806484543504</v>
      </c>
      <c r="N1732" s="5">
        <v>-11.111111111111111</v>
      </c>
      <c r="O1732" s="5">
        <v>29.099709100946455</v>
      </c>
      <c r="P1732" s="5">
        <v>1826.371660894587</v>
      </c>
      <c r="Q1732" s="5">
        <v>11.999177985405961</v>
      </c>
    </row>
    <row r="1733" spans="1:17" x14ac:dyDescent="0.2">
      <c r="A1733" s="4" t="s">
        <v>61</v>
      </c>
      <c r="B1733" s="4">
        <v>2015</v>
      </c>
      <c r="C1733" s="4" t="s">
        <v>60</v>
      </c>
      <c r="D1733" s="4">
        <v>6</v>
      </c>
      <c r="E1733" s="4">
        <v>6</v>
      </c>
      <c r="F1733" s="4">
        <v>1</v>
      </c>
      <c r="G1733" s="6" t="str">
        <f t="shared" si="58"/>
        <v>61</v>
      </c>
      <c r="H1733" s="5">
        <v>23</v>
      </c>
      <c r="I1733" s="5">
        <v>274.45334195216554</v>
      </c>
      <c r="J1733" s="5">
        <v>17225.388894452692</v>
      </c>
      <c r="K1733" s="5">
        <v>35</v>
      </c>
      <c r="L1733" s="5">
        <v>280.16839579536241</v>
      </c>
      <c r="M1733" s="5">
        <v>17584.080190764034</v>
      </c>
      <c r="N1733" s="5">
        <v>34.285714285714285</v>
      </c>
      <c r="O1733" s="5">
        <v>-5.7150538431968698</v>
      </c>
      <c r="P1733" s="5">
        <v>-358.69129631134274</v>
      </c>
      <c r="Q1733" s="5">
        <v>-2.0398638565112086</v>
      </c>
    </row>
    <row r="1734" spans="1:17" x14ac:dyDescent="0.2">
      <c r="A1734" s="4" t="s">
        <v>61</v>
      </c>
      <c r="B1734" s="4">
        <v>2015</v>
      </c>
      <c r="C1734" s="4" t="s">
        <v>60</v>
      </c>
      <c r="D1734" s="4">
        <v>1</v>
      </c>
      <c r="E1734" s="4">
        <v>7</v>
      </c>
      <c r="F1734" s="4">
        <v>2</v>
      </c>
      <c r="G1734" s="6" t="str">
        <f t="shared" si="58"/>
        <v>72</v>
      </c>
      <c r="H1734" s="5">
        <v>7</v>
      </c>
      <c r="I1734" s="5">
        <v>287.09317599541197</v>
      </c>
      <c r="J1734" s="5">
        <v>18018.696986121729</v>
      </c>
      <c r="K1734" s="5">
        <v>4</v>
      </c>
      <c r="L1734" s="5">
        <v>280.37324994382442</v>
      </c>
      <c r="M1734" s="5">
        <v>17596.937357482431</v>
      </c>
      <c r="N1734" s="5">
        <v>-75</v>
      </c>
      <c r="O1734" s="5">
        <v>6.7199260515875494</v>
      </c>
      <c r="P1734" s="5">
        <v>421.75962863929817</v>
      </c>
      <c r="Q1734" s="5">
        <v>2.3967785988620394</v>
      </c>
    </row>
    <row r="1735" spans="1:17" x14ac:dyDescent="0.2">
      <c r="A1735" s="4" t="s">
        <v>61</v>
      </c>
      <c r="B1735" s="4">
        <v>2015</v>
      </c>
      <c r="C1735" s="4" t="s">
        <v>60</v>
      </c>
      <c r="D1735" s="4">
        <v>2</v>
      </c>
      <c r="E1735" s="4">
        <v>7</v>
      </c>
      <c r="F1735" s="4">
        <v>2</v>
      </c>
      <c r="G1735" s="6" t="str">
        <f t="shared" si="58"/>
        <v>72</v>
      </c>
      <c r="H1735" s="5">
        <v>7</v>
      </c>
      <c r="I1735" s="5">
        <v>255.55486783926133</v>
      </c>
      <c r="J1735" s="5">
        <v>16039.272654107333</v>
      </c>
      <c r="K1735" s="5">
        <v>35</v>
      </c>
      <c r="L1735" s="5">
        <v>260.91200338123417</v>
      </c>
      <c r="M1735" s="5">
        <v>16375.500088666538</v>
      </c>
      <c r="N1735" s="5">
        <v>80</v>
      </c>
      <c r="O1735" s="5">
        <v>-5.3571355419728377</v>
      </c>
      <c r="P1735" s="5">
        <v>-336.22743455920499</v>
      </c>
      <c r="Q1735" s="5">
        <v>-2.053234604981057</v>
      </c>
    </row>
    <row r="1736" spans="1:17" x14ac:dyDescent="0.2">
      <c r="A1736" s="4" t="s">
        <v>61</v>
      </c>
      <c r="B1736" s="4">
        <v>2015</v>
      </c>
      <c r="C1736" s="4" t="s">
        <v>60</v>
      </c>
      <c r="D1736" s="4">
        <v>3</v>
      </c>
      <c r="E1736" s="4">
        <v>7</v>
      </c>
      <c r="F1736" s="4">
        <v>2</v>
      </c>
      <c r="G1736" s="6" t="str">
        <f t="shared" si="58"/>
        <v>72</v>
      </c>
      <c r="H1736" s="5">
        <v>20</v>
      </c>
      <c r="I1736" s="5">
        <v>273.88380581731127</v>
      </c>
      <c r="J1736" s="5">
        <v>17189.643359920203</v>
      </c>
      <c r="K1736" s="5">
        <v>27</v>
      </c>
      <c r="L1736" s="5">
        <v>266.88110450007315</v>
      </c>
      <c r="M1736" s="5">
        <v>16750.136037316181</v>
      </c>
      <c r="N1736" s="5">
        <v>25.925925925925924</v>
      </c>
      <c r="O1736" s="5">
        <v>7.0027013172381203</v>
      </c>
      <c r="P1736" s="5">
        <v>439.50732260402219</v>
      </c>
      <c r="Q1736" s="5">
        <v>2.623903003682369</v>
      </c>
    </row>
    <row r="1737" spans="1:17" x14ac:dyDescent="0.2">
      <c r="A1737" s="4" t="s">
        <v>61</v>
      </c>
      <c r="B1737" s="4">
        <v>2015</v>
      </c>
      <c r="C1737" s="4" t="s">
        <v>60</v>
      </c>
      <c r="D1737" s="4">
        <v>4</v>
      </c>
      <c r="E1737" s="4">
        <v>7</v>
      </c>
      <c r="F1737" s="4">
        <v>2</v>
      </c>
      <c r="G1737" s="6" t="str">
        <f t="shared" si="58"/>
        <v>72</v>
      </c>
      <c r="H1737" s="5">
        <v>5</v>
      </c>
      <c r="I1737" s="5">
        <v>268.49010470483069</v>
      </c>
      <c r="J1737" s="5">
        <v>16851.120977273782</v>
      </c>
      <c r="K1737" s="5">
        <v>25</v>
      </c>
      <c r="L1737" s="5">
        <v>251.01198896046168</v>
      </c>
      <c r="M1737" s="5">
        <v>15754.150036065546</v>
      </c>
      <c r="N1737" s="5">
        <v>80</v>
      </c>
      <c r="O1737" s="5">
        <v>17.478115744369006</v>
      </c>
      <c r="P1737" s="5">
        <v>1096.9709412082357</v>
      </c>
      <c r="Q1737" s="5">
        <v>6.9630601377857264</v>
      </c>
    </row>
    <row r="1738" spans="1:17" x14ac:dyDescent="0.2">
      <c r="A1738" s="4" t="s">
        <v>61</v>
      </c>
      <c r="B1738" s="4">
        <v>2015</v>
      </c>
      <c r="C1738" s="4" t="s">
        <v>60</v>
      </c>
      <c r="D1738" s="4">
        <v>5</v>
      </c>
      <c r="E1738" s="4">
        <v>7</v>
      </c>
      <c r="F1738" s="4">
        <v>2</v>
      </c>
      <c r="G1738" s="6" t="str">
        <f t="shared" si="58"/>
        <v>72</v>
      </c>
      <c r="H1738" s="5">
        <v>8</v>
      </c>
      <c r="I1738" s="5">
        <v>261.16176600285741</v>
      </c>
      <c r="J1738" s="5">
        <v>16391.175825234935</v>
      </c>
      <c r="K1738" s="5">
        <v>27</v>
      </c>
      <c r="L1738" s="5">
        <v>242.51418835806126</v>
      </c>
      <c r="M1738" s="5">
        <v>15220.806484543504</v>
      </c>
      <c r="N1738" s="5">
        <v>70.370370370370367</v>
      </c>
      <c r="O1738" s="5">
        <v>18.647577644796144</v>
      </c>
      <c r="P1738" s="5">
        <v>1170.3693406914317</v>
      </c>
      <c r="Q1738" s="5">
        <v>7.6892728508172272</v>
      </c>
    </row>
    <row r="1739" spans="1:17" x14ac:dyDescent="0.2">
      <c r="A1739" s="4" t="s">
        <v>61</v>
      </c>
      <c r="B1739" s="4">
        <v>2015</v>
      </c>
      <c r="C1739" s="4" t="s">
        <v>60</v>
      </c>
      <c r="D1739" s="4">
        <v>6</v>
      </c>
      <c r="E1739" s="4">
        <v>7</v>
      </c>
      <c r="F1739" s="4">
        <v>2</v>
      </c>
      <c r="G1739" s="6" t="str">
        <f t="shared" si="58"/>
        <v>72</v>
      </c>
      <c r="H1739" s="5">
        <v>4</v>
      </c>
      <c r="I1739" s="5">
        <v>235.28969168483343</v>
      </c>
      <c r="J1739" s="5">
        <v>14767.378722003383</v>
      </c>
      <c r="K1739" s="5">
        <v>35</v>
      </c>
      <c r="L1739" s="5">
        <v>280.16839579536241</v>
      </c>
      <c r="M1739" s="5">
        <v>17584.080190764034</v>
      </c>
      <c r="N1739" s="5">
        <v>88.571428571428569</v>
      </c>
      <c r="O1739" s="5">
        <v>-44.878704110528986</v>
      </c>
      <c r="P1739" s="5">
        <v>-2816.7014687606516</v>
      </c>
      <c r="Q1739" s="5">
        <v>-16.018474882980303</v>
      </c>
    </row>
    <row r="1740" spans="1:17" x14ac:dyDescent="0.2">
      <c r="A1740" s="4" t="s">
        <v>61</v>
      </c>
      <c r="B1740" s="4">
        <v>2015</v>
      </c>
      <c r="C1740" s="4" t="s">
        <v>60</v>
      </c>
      <c r="D1740" s="4">
        <v>1</v>
      </c>
      <c r="E1740" s="4">
        <v>8</v>
      </c>
      <c r="F1740" s="4">
        <v>2</v>
      </c>
      <c r="G1740" s="6" t="str">
        <f t="shared" si="58"/>
        <v>82</v>
      </c>
      <c r="H1740" s="5">
        <v>13</v>
      </c>
      <c r="I1740" s="5">
        <v>255.43254877594137</v>
      </c>
      <c r="J1740" s="5">
        <v>16031.595598984213</v>
      </c>
      <c r="K1740" s="5">
        <v>4</v>
      </c>
      <c r="L1740" s="5">
        <v>280.37324994382442</v>
      </c>
      <c r="M1740" s="5">
        <v>17596.937357482431</v>
      </c>
      <c r="N1740" s="5">
        <v>-225</v>
      </c>
      <c r="O1740" s="5">
        <v>-24.940701167883049</v>
      </c>
      <c r="P1740" s="5">
        <v>-1565.341758498218</v>
      </c>
      <c r="Q1740" s="5">
        <v>-8.8955352098961455</v>
      </c>
    </row>
    <row r="1741" spans="1:17" x14ac:dyDescent="0.2">
      <c r="A1741" s="4" t="s">
        <v>61</v>
      </c>
      <c r="B1741" s="4">
        <v>2015</v>
      </c>
      <c r="C1741" s="4" t="s">
        <v>60</v>
      </c>
      <c r="D1741" s="4">
        <v>2</v>
      </c>
      <c r="E1741" s="4">
        <v>8</v>
      </c>
      <c r="F1741" s="4">
        <v>2</v>
      </c>
      <c r="G1741" s="6" t="str">
        <f t="shared" si="58"/>
        <v>82</v>
      </c>
      <c r="H1741" s="5">
        <v>13</v>
      </c>
      <c r="I1741" s="5">
        <v>252.31999609446052</v>
      </c>
      <c r="J1741" s="5">
        <v>15836.243886333821</v>
      </c>
      <c r="K1741" s="5">
        <v>35</v>
      </c>
      <c r="L1741" s="5">
        <v>260.91200338123417</v>
      </c>
      <c r="M1741" s="5">
        <v>16375.500088666538</v>
      </c>
      <c r="N1741" s="5">
        <v>62.857142857142854</v>
      </c>
      <c r="O1741" s="5">
        <v>-8.5920072867736508</v>
      </c>
      <c r="P1741" s="5">
        <v>-539.25620233271729</v>
      </c>
      <c r="Q1741" s="5">
        <v>-3.2930670783357376</v>
      </c>
    </row>
    <row r="1742" spans="1:17" x14ac:dyDescent="0.2">
      <c r="A1742" s="4" t="s">
        <v>61</v>
      </c>
      <c r="B1742" s="4">
        <v>2015</v>
      </c>
      <c r="C1742" s="4" t="s">
        <v>60</v>
      </c>
      <c r="D1742" s="4">
        <v>3</v>
      </c>
      <c r="E1742" s="4">
        <v>8</v>
      </c>
      <c r="F1742" s="4">
        <v>2</v>
      </c>
      <c r="G1742" s="6" t="str">
        <f t="shared" si="58"/>
        <v>82</v>
      </c>
      <c r="H1742" s="5">
        <v>10</v>
      </c>
      <c r="I1742" s="5">
        <v>255.32214914541368</v>
      </c>
      <c r="J1742" s="5">
        <v>16024.66663774032</v>
      </c>
      <c r="K1742" s="5">
        <v>27</v>
      </c>
      <c r="L1742" s="5">
        <v>266.88110450007315</v>
      </c>
      <c r="M1742" s="5">
        <v>16750.136037316181</v>
      </c>
      <c r="N1742" s="5">
        <v>62.962962962962962</v>
      </c>
      <c r="O1742" s="5">
        <v>-11.558955354659474</v>
      </c>
      <c r="P1742" s="5">
        <v>-725.46939957586073</v>
      </c>
      <c r="Q1742" s="5">
        <v>-4.3311254186810793</v>
      </c>
    </row>
    <row r="1743" spans="1:17" x14ac:dyDescent="0.2">
      <c r="A1743" s="4" t="s">
        <v>61</v>
      </c>
      <c r="B1743" s="4">
        <v>2015</v>
      </c>
      <c r="C1743" s="4" t="s">
        <v>60</v>
      </c>
      <c r="D1743" s="4">
        <v>4</v>
      </c>
      <c r="E1743" s="4">
        <v>8</v>
      </c>
      <c r="F1743" s="4">
        <v>2</v>
      </c>
      <c r="G1743" s="6" t="str">
        <f t="shared" si="58"/>
        <v>82</v>
      </c>
      <c r="H1743" s="5">
        <v>22</v>
      </c>
      <c r="I1743" s="5">
        <v>265.38486997165739</v>
      </c>
      <c r="J1743" s="5">
        <v>16656.228557647883</v>
      </c>
      <c r="K1743" s="5">
        <v>25</v>
      </c>
      <c r="L1743" s="5">
        <v>251.01198896046168</v>
      </c>
      <c r="M1743" s="5">
        <v>15754.150036065546</v>
      </c>
      <c r="N1743" s="5">
        <v>12</v>
      </c>
      <c r="O1743" s="5">
        <v>14.372881011195716</v>
      </c>
      <c r="P1743" s="5">
        <v>902.07852158233618</v>
      </c>
      <c r="Q1743" s="5">
        <v>5.7259739149191313</v>
      </c>
    </row>
    <row r="1744" spans="1:17" x14ac:dyDescent="0.2">
      <c r="A1744" s="4" t="s">
        <v>61</v>
      </c>
      <c r="B1744" s="4">
        <v>2015</v>
      </c>
      <c r="C1744" s="4" t="s">
        <v>60</v>
      </c>
      <c r="D1744" s="4">
        <v>5</v>
      </c>
      <c r="E1744" s="4">
        <v>8</v>
      </c>
      <c r="F1744" s="4">
        <v>2</v>
      </c>
      <c r="G1744" s="6" t="str">
        <f t="shared" si="58"/>
        <v>82</v>
      </c>
      <c r="H1744" s="5">
        <v>10</v>
      </c>
      <c r="I1744" s="5">
        <v>265.39074218089604</v>
      </c>
      <c r="J1744" s="5">
        <v>16656.59711241601</v>
      </c>
      <c r="K1744" s="5">
        <v>27</v>
      </c>
      <c r="L1744" s="5">
        <v>242.51418835806126</v>
      </c>
      <c r="M1744" s="5">
        <v>15220.806484543504</v>
      </c>
      <c r="N1744" s="5">
        <v>62.962962962962962</v>
      </c>
      <c r="O1744" s="5">
        <v>22.876553822834779</v>
      </c>
      <c r="P1744" s="5">
        <v>1435.7906278725059</v>
      </c>
      <c r="Q1744" s="5">
        <v>9.4330785253102682</v>
      </c>
    </row>
    <row r="1745" spans="1:17" x14ac:dyDescent="0.2">
      <c r="A1745" s="4" t="s">
        <v>61</v>
      </c>
      <c r="B1745" s="4">
        <v>2015</v>
      </c>
      <c r="C1745" s="4" t="s">
        <v>60</v>
      </c>
      <c r="D1745" s="4">
        <v>6</v>
      </c>
      <c r="E1745" s="4">
        <v>8</v>
      </c>
      <c r="F1745" s="4">
        <v>2</v>
      </c>
      <c r="G1745" s="6" t="str">
        <f t="shared" si="58"/>
        <v>82</v>
      </c>
      <c r="H1745" s="5">
        <v>13</v>
      </c>
      <c r="I1745" s="5">
        <v>253.88762957690079</v>
      </c>
      <c r="J1745" s="5">
        <v>15934.632545720979</v>
      </c>
      <c r="K1745" s="5">
        <v>35</v>
      </c>
      <c r="L1745" s="5">
        <v>280.16839579536241</v>
      </c>
      <c r="M1745" s="5">
        <v>17584.080190764034</v>
      </c>
      <c r="N1745" s="5">
        <v>62.857142857142854</v>
      </c>
      <c r="O1745" s="5">
        <v>-26.280766218461622</v>
      </c>
      <c r="P1745" s="5">
        <v>-1649.4476450430557</v>
      </c>
      <c r="Q1745" s="5">
        <v>-9.3803464676498756</v>
      </c>
    </row>
    <row r="1746" spans="1:17" x14ac:dyDescent="0.2">
      <c r="A1746" s="4" t="s">
        <v>61</v>
      </c>
      <c r="B1746" s="4">
        <v>2015</v>
      </c>
      <c r="C1746" s="4" t="s">
        <v>60</v>
      </c>
      <c r="D1746" s="4">
        <v>1</v>
      </c>
      <c r="E1746" s="4">
        <v>9</v>
      </c>
      <c r="F1746" s="4">
        <v>2</v>
      </c>
      <c r="G1746" s="6" t="str">
        <f t="shared" si="58"/>
        <v>92</v>
      </c>
      <c r="H1746" s="5">
        <v>17</v>
      </c>
      <c r="I1746" s="5">
        <v>301.36127285037236</v>
      </c>
      <c r="J1746" s="5">
        <v>18914.198987890926</v>
      </c>
      <c r="K1746" s="5">
        <v>4</v>
      </c>
      <c r="L1746" s="5">
        <v>280.37324994382442</v>
      </c>
      <c r="M1746" s="5">
        <v>17596.937357482431</v>
      </c>
      <c r="N1746" s="5">
        <v>-325</v>
      </c>
      <c r="O1746" s="5">
        <v>20.98802290654794</v>
      </c>
      <c r="P1746" s="5">
        <v>1317.261630408495</v>
      </c>
      <c r="Q1746" s="5">
        <v>7.4857437044201296</v>
      </c>
    </row>
    <row r="1747" spans="1:17" x14ac:dyDescent="0.2">
      <c r="A1747" s="4" t="s">
        <v>61</v>
      </c>
      <c r="B1747" s="4">
        <v>2015</v>
      </c>
      <c r="C1747" s="4" t="s">
        <v>60</v>
      </c>
      <c r="D1747" s="4">
        <v>2</v>
      </c>
      <c r="E1747" s="4">
        <v>9</v>
      </c>
      <c r="F1747" s="4">
        <v>2</v>
      </c>
      <c r="G1747" s="6" t="str">
        <f t="shared" si="58"/>
        <v>92</v>
      </c>
      <c r="H1747" s="5">
        <v>19</v>
      </c>
      <c r="I1747" s="5">
        <v>257.50847988259756</v>
      </c>
      <c r="J1747" s="5">
        <v>16161.886308420997</v>
      </c>
      <c r="K1747" s="5">
        <v>35</v>
      </c>
      <c r="L1747" s="5">
        <v>260.91200338123417</v>
      </c>
      <c r="M1747" s="5">
        <v>16375.500088666538</v>
      </c>
      <c r="N1747" s="5">
        <v>45.714285714285715</v>
      </c>
      <c r="O1747" s="5">
        <v>-3.4035234986366163</v>
      </c>
      <c r="P1747" s="5">
        <v>-213.61378024554142</v>
      </c>
      <c r="Q1747" s="5">
        <v>-1.3044717968239836</v>
      </c>
    </row>
    <row r="1748" spans="1:17" x14ac:dyDescent="0.2">
      <c r="A1748" s="4" t="s">
        <v>61</v>
      </c>
      <c r="B1748" s="4">
        <v>2015</v>
      </c>
      <c r="C1748" s="4" t="s">
        <v>60</v>
      </c>
      <c r="D1748" s="4">
        <v>3</v>
      </c>
      <c r="E1748" s="4">
        <v>9</v>
      </c>
      <c r="F1748" s="4">
        <v>2</v>
      </c>
      <c r="G1748" s="6" t="str">
        <f t="shared" si="58"/>
        <v>92</v>
      </c>
      <c r="H1748" s="5">
        <v>7</v>
      </c>
      <c r="I1748" s="5">
        <v>263.38308781693894</v>
      </c>
      <c r="J1748" s="5">
        <v>16530.591624784407</v>
      </c>
      <c r="K1748" s="5">
        <v>27</v>
      </c>
      <c r="L1748" s="5">
        <v>266.88110450007315</v>
      </c>
      <c r="M1748" s="5">
        <v>16750.136037316181</v>
      </c>
      <c r="N1748" s="5">
        <v>74.074074074074076</v>
      </c>
      <c r="O1748" s="5">
        <v>-3.4980166831342103</v>
      </c>
      <c r="P1748" s="5">
        <v>-219.54441253177356</v>
      </c>
      <c r="Q1748" s="5">
        <v>-1.3107022655975422</v>
      </c>
    </row>
    <row r="1749" spans="1:17" x14ac:dyDescent="0.2">
      <c r="A1749" s="4" t="s">
        <v>61</v>
      </c>
      <c r="B1749" s="4">
        <v>2015</v>
      </c>
      <c r="C1749" s="4" t="s">
        <v>60</v>
      </c>
      <c r="D1749" s="4">
        <v>4</v>
      </c>
      <c r="E1749" s="4">
        <v>9</v>
      </c>
      <c r="F1749" s="4">
        <v>2</v>
      </c>
      <c r="G1749" s="6" t="str">
        <f t="shared" si="58"/>
        <v>92</v>
      </c>
      <c r="H1749" s="5">
        <v>22</v>
      </c>
      <c r="I1749" s="5">
        <v>259.26884525856866</v>
      </c>
      <c r="J1749" s="5">
        <v>16272.371311014687</v>
      </c>
      <c r="K1749" s="5">
        <v>25</v>
      </c>
      <c r="L1749" s="5">
        <v>251.01198896046168</v>
      </c>
      <c r="M1749" s="5">
        <v>15754.150036065546</v>
      </c>
      <c r="N1749" s="5">
        <v>12</v>
      </c>
      <c r="O1749" s="5">
        <v>8.2568562981069817</v>
      </c>
      <c r="P1749" s="5">
        <v>518.22127494914093</v>
      </c>
      <c r="Q1749" s="5">
        <v>3.2894270637437821</v>
      </c>
    </row>
    <row r="1750" spans="1:17" x14ac:dyDescent="0.2">
      <c r="A1750" s="4" t="s">
        <v>61</v>
      </c>
      <c r="B1750" s="4">
        <v>2015</v>
      </c>
      <c r="C1750" s="4" t="s">
        <v>60</v>
      </c>
      <c r="D1750" s="4">
        <v>5</v>
      </c>
      <c r="E1750" s="4">
        <v>9</v>
      </c>
      <c r="F1750" s="4">
        <v>2</v>
      </c>
      <c r="G1750" s="6" t="str">
        <f t="shared" si="58"/>
        <v>92</v>
      </c>
      <c r="H1750" s="5">
        <v>10</v>
      </c>
      <c r="I1750" s="5">
        <v>260.61392063822132</v>
      </c>
      <c r="J1750" s="5">
        <v>16356.791658539218</v>
      </c>
      <c r="K1750" s="5">
        <v>27</v>
      </c>
      <c r="L1750" s="5">
        <v>242.51418835806126</v>
      </c>
      <c r="M1750" s="5">
        <v>15220.806484543504</v>
      </c>
      <c r="N1750" s="5">
        <v>62.962962962962962</v>
      </c>
      <c r="O1750" s="5">
        <v>18.099732280160055</v>
      </c>
      <c r="P1750" s="5">
        <v>1135.9851739957139</v>
      </c>
      <c r="Q1750" s="5">
        <v>7.4633704537883023</v>
      </c>
    </row>
    <row r="1751" spans="1:17" x14ac:dyDescent="0.2">
      <c r="A1751" s="4" t="s">
        <v>61</v>
      </c>
      <c r="B1751" s="4">
        <v>2015</v>
      </c>
      <c r="C1751" s="4" t="s">
        <v>60</v>
      </c>
      <c r="D1751" s="4">
        <v>6</v>
      </c>
      <c r="E1751" s="4">
        <v>9</v>
      </c>
      <c r="F1751" s="4">
        <v>2</v>
      </c>
      <c r="G1751" s="6" t="str">
        <f t="shared" si="58"/>
        <v>92</v>
      </c>
      <c r="H1751" s="5">
        <v>16</v>
      </c>
      <c r="I1751" s="5">
        <v>247.92417940365834</v>
      </c>
      <c r="J1751" s="5">
        <v>15560.351264771243</v>
      </c>
      <c r="K1751" s="5">
        <v>35</v>
      </c>
      <c r="L1751" s="5">
        <v>280.16839579536241</v>
      </c>
      <c r="M1751" s="5">
        <v>17584.080190764034</v>
      </c>
      <c r="N1751" s="5">
        <v>54.285714285714285</v>
      </c>
      <c r="O1751" s="5">
        <v>-32.244216391704072</v>
      </c>
      <c r="P1751" s="5">
        <v>-2023.7289259927911</v>
      </c>
      <c r="Q1751" s="5">
        <v>-11.508869978059737</v>
      </c>
    </row>
    <row r="1752" spans="1:17" x14ac:dyDescent="0.2">
      <c r="A1752" s="4" t="s">
        <v>61</v>
      </c>
      <c r="B1752" s="4">
        <v>2015</v>
      </c>
      <c r="C1752" s="4" t="s">
        <v>60</v>
      </c>
      <c r="D1752" s="4">
        <v>1</v>
      </c>
      <c r="E1752" s="4">
        <v>10</v>
      </c>
      <c r="F1752" s="4">
        <v>2</v>
      </c>
      <c r="G1752" s="6" t="str">
        <f t="shared" si="58"/>
        <v>102</v>
      </c>
      <c r="H1752" s="5">
        <v>27</v>
      </c>
      <c r="I1752" s="5">
        <v>258.44509075588951</v>
      </c>
      <c r="J1752" s="5">
        <v>16220.670385963907</v>
      </c>
      <c r="K1752" s="5">
        <v>4</v>
      </c>
      <c r="L1752" s="5">
        <v>280.37324994382442</v>
      </c>
      <c r="M1752" s="5">
        <v>17596.937357482431</v>
      </c>
      <c r="N1752" s="5">
        <v>-575</v>
      </c>
      <c r="O1752" s="5">
        <v>-21.928159187934909</v>
      </c>
      <c r="P1752" s="5">
        <v>-1376.2669715185239</v>
      </c>
      <c r="Q1752" s="5">
        <v>-7.8210596739626315</v>
      </c>
    </row>
    <row r="1753" spans="1:17" x14ac:dyDescent="0.2">
      <c r="A1753" s="4" t="s">
        <v>61</v>
      </c>
      <c r="B1753" s="4">
        <v>2015</v>
      </c>
      <c r="C1753" s="4" t="s">
        <v>60</v>
      </c>
      <c r="D1753" s="4">
        <v>2</v>
      </c>
      <c r="E1753" s="4">
        <v>10</v>
      </c>
      <c r="F1753" s="4">
        <v>2</v>
      </c>
      <c r="G1753" s="6" t="str">
        <f t="shared" si="58"/>
        <v>102</v>
      </c>
      <c r="H1753" s="5">
        <v>30</v>
      </c>
      <c r="I1753" s="5">
        <v>251.49940628854125</v>
      </c>
      <c r="J1753" s="5">
        <v>15784.741585690506</v>
      </c>
      <c r="K1753" s="5">
        <v>35</v>
      </c>
      <c r="L1753" s="5">
        <v>260.91200338123417</v>
      </c>
      <c r="M1753" s="5">
        <v>16375.500088666538</v>
      </c>
      <c r="N1753" s="5">
        <v>14.285714285714285</v>
      </c>
      <c r="O1753" s="5">
        <v>-9.4125970926929199</v>
      </c>
      <c r="P1753" s="5">
        <v>-590.7585029760321</v>
      </c>
      <c r="Q1753" s="5">
        <v>-3.6075753398511186</v>
      </c>
    </row>
    <row r="1754" spans="1:17" x14ac:dyDescent="0.2">
      <c r="A1754" s="4" t="s">
        <v>61</v>
      </c>
      <c r="B1754" s="4">
        <v>2015</v>
      </c>
      <c r="C1754" s="4" t="s">
        <v>60</v>
      </c>
      <c r="D1754" s="4">
        <v>3</v>
      </c>
      <c r="E1754" s="4">
        <v>10</v>
      </c>
      <c r="F1754" s="4">
        <v>2</v>
      </c>
      <c r="G1754" s="6" t="str">
        <f t="shared" si="58"/>
        <v>102</v>
      </c>
      <c r="H1754" s="5">
        <v>16</v>
      </c>
      <c r="I1754" s="5">
        <v>257.97121167762822</v>
      </c>
      <c r="J1754" s="5">
        <v>16190.928531286772</v>
      </c>
      <c r="K1754" s="5">
        <v>27</v>
      </c>
      <c r="L1754" s="5">
        <v>266.88110450007315</v>
      </c>
      <c r="M1754" s="5">
        <v>16750.136037316181</v>
      </c>
      <c r="N1754" s="5">
        <v>40.74074074074074</v>
      </c>
      <c r="O1754" s="5">
        <v>-8.909892822444931</v>
      </c>
      <c r="P1754" s="5">
        <v>-559.20750602940825</v>
      </c>
      <c r="Q1754" s="5">
        <v>-3.338525160533611</v>
      </c>
    </row>
    <row r="1755" spans="1:17" x14ac:dyDescent="0.2">
      <c r="A1755" s="4" t="s">
        <v>61</v>
      </c>
      <c r="B1755" s="4">
        <v>2015</v>
      </c>
      <c r="C1755" s="4" t="s">
        <v>60</v>
      </c>
      <c r="D1755" s="4">
        <v>4</v>
      </c>
      <c r="E1755" s="4">
        <v>10</v>
      </c>
      <c r="F1755" s="4">
        <v>2</v>
      </c>
      <c r="G1755" s="6" t="str">
        <f t="shared" si="58"/>
        <v>102</v>
      </c>
      <c r="H1755" s="5">
        <v>15</v>
      </c>
      <c r="I1755" s="5">
        <v>241.91915604395606</v>
      </c>
      <c r="J1755" s="5">
        <v>15183.460745037024</v>
      </c>
      <c r="K1755" s="5">
        <v>25</v>
      </c>
      <c r="L1755" s="5">
        <v>251.01198896046168</v>
      </c>
      <c r="M1755" s="5">
        <v>15754.150036065546</v>
      </c>
      <c r="N1755" s="5">
        <v>40</v>
      </c>
      <c r="O1755" s="5">
        <v>-9.0928329165056141</v>
      </c>
      <c r="P1755" s="5">
        <v>-570.68929102852235</v>
      </c>
      <c r="Q1755" s="5">
        <v>-3.6224695697454887</v>
      </c>
    </row>
    <row r="1756" spans="1:17" x14ac:dyDescent="0.2">
      <c r="A1756" s="4" t="s">
        <v>61</v>
      </c>
      <c r="B1756" s="4">
        <v>2015</v>
      </c>
      <c r="C1756" s="4" t="s">
        <v>60</v>
      </c>
      <c r="D1756" s="4">
        <v>5</v>
      </c>
      <c r="E1756" s="4">
        <v>10</v>
      </c>
      <c r="F1756" s="4">
        <v>2</v>
      </c>
      <c r="G1756" s="6" t="str">
        <f t="shared" si="58"/>
        <v>102</v>
      </c>
      <c r="H1756" s="5">
        <v>20</v>
      </c>
      <c r="I1756" s="5">
        <v>255.58999149408285</v>
      </c>
      <c r="J1756" s="5">
        <v>16041.477103903397</v>
      </c>
      <c r="K1756" s="5">
        <v>27</v>
      </c>
      <c r="L1756" s="5">
        <v>242.51418835806126</v>
      </c>
      <c r="M1756" s="5">
        <v>15220.806484543504</v>
      </c>
      <c r="N1756" s="5">
        <v>25.925925925925924</v>
      </c>
      <c r="O1756" s="5">
        <v>13.075803136021591</v>
      </c>
      <c r="P1756" s="5">
        <v>820.67061935989295</v>
      </c>
      <c r="Q1756" s="5">
        <v>5.3917683021150777</v>
      </c>
    </row>
    <row r="1757" spans="1:17" x14ac:dyDescent="0.2">
      <c r="A1757" s="4" t="s">
        <v>61</v>
      </c>
      <c r="B1757" s="4">
        <v>2015</v>
      </c>
      <c r="C1757" s="4" t="s">
        <v>60</v>
      </c>
      <c r="D1757" s="4">
        <v>6</v>
      </c>
      <c r="E1757" s="4">
        <v>10</v>
      </c>
      <c r="F1757" s="4">
        <v>2</v>
      </c>
      <c r="G1757" s="6" t="str">
        <f t="shared" si="58"/>
        <v>102</v>
      </c>
      <c r="H1757" s="5">
        <v>25</v>
      </c>
      <c r="I1757" s="5">
        <v>241.6996559351191</v>
      </c>
      <c r="J1757" s="5">
        <v>15169.684360642514</v>
      </c>
      <c r="K1757" s="5">
        <v>35</v>
      </c>
      <c r="L1757" s="5">
        <v>280.16839579536241</v>
      </c>
      <c r="M1757" s="5">
        <v>17584.080190764034</v>
      </c>
      <c r="N1757" s="5">
        <v>28.571428571428569</v>
      </c>
      <c r="O1757" s="5">
        <v>-38.468739860243318</v>
      </c>
      <c r="P1757" s="5">
        <v>-2414.3958301215207</v>
      </c>
      <c r="Q1757" s="5">
        <v>-13.730577908702168</v>
      </c>
    </row>
    <row r="1758" spans="1:17" x14ac:dyDescent="0.2">
      <c r="A1758" s="4" t="s">
        <v>61</v>
      </c>
      <c r="B1758" s="4">
        <v>2015</v>
      </c>
      <c r="C1758" s="4" t="s">
        <v>60</v>
      </c>
      <c r="D1758" s="4">
        <v>1</v>
      </c>
      <c r="E1758" s="4">
        <v>11</v>
      </c>
      <c r="F1758" s="4">
        <v>2</v>
      </c>
      <c r="G1758" s="6" t="str">
        <f t="shared" si="58"/>
        <v>112</v>
      </c>
      <c r="H1758" s="5">
        <v>17</v>
      </c>
      <c r="I1758" s="5">
        <v>270.98032699008309</v>
      </c>
      <c r="J1758" s="5">
        <v>17007.413653442327</v>
      </c>
      <c r="K1758" s="5">
        <v>4</v>
      </c>
      <c r="L1758" s="5">
        <v>280.37324994382442</v>
      </c>
      <c r="M1758" s="5">
        <v>17596.937357482431</v>
      </c>
      <c r="N1758" s="5">
        <v>-325</v>
      </c>
      <c r="O1758" s="5">
        <v>-9.3929229537413335</v>
      </c>
      <c r="P1758" s="5">
        <v>-589.52370404010435</v>
      </c>
      <c r="Q1758" s="5">
        <v>-3.3501494723991372</v>
      </c>
    </row>
    <row r="1759" spans="1:17" x14ac:dyDescent="0.2">
      <c r="A1759" s="4" t="s">
        <v>61</v>
      </c>
      <c r="B1759" s="4">
        <v>2015</v>
      </c>
      <c r="C1759" s="4" t="s">
        <v>60</v>
      </c>
      <c r="D1759" s="4">
        <v>2</v>
      </c>
      <c r="E1759" s="4">
        <v>11</v>
      </c>
      <c r="F1759" s="4">
        <v>2</v>
      </c>
      <c r="G1759" s="6" t="str">
        <f t="shared" si="58"/>
        <v>112</v>
      </c>
      <c r="H1759" s="5">
        <v>14</v>
      </c>
      <c r="I1759" s="5">
        <v>263.25363383939134</v>
      </c>
      <c r="J1759" s="5">
        <v>16522.466764320583</v>
      </c>
      <c r="K1759" s="5">
        <v>35</v>
      </c>
      <c r="L1759" s="5">
        <v>260.91200338123417</v>
      </c>
      <c r="M1759" s="5">
        <v>16375.500088666538</v>
      </c>
      <c r="N1759" s="5">
        <v>60</v>
      </c>
      <c r="O1759" s="5">
        <v>2.3416304581571694</v>
      </c>
      <c r="P1759" s="5">
        <v>146.96667565404459</v>
      </c>
      <c r="Q1759" s="5">
        <v>0.89747900740912345</v>
      </c>
    </row>
    <row r="1760" spans="1:17" x14ac:dyDescent="0.2">
      <c r="A1760" s="4" t="s">
        <v>61</v>
      </c>
      <c r="B1760" s="4">
        <v>2015</v>
      </c>
      <c r="C1760" s="4" t="s">
        <v>60</v>
      </c>
      <c r="D1760" s="4">
        <v>3</v>
      </c>
      <c r="E1760" s="4">
        <v>11</v>
      </c>
      <c r="F1760" s="4">
        <v>2</v>
      </c>
      <c r="G1760" s="6" t="str">
        <f t="shared" si="58"/>
        <v>112</v>
      </c>
      <c r="H1760" s="5">
        <v>13</v>
      </c>
      <c r="I1760" s="5">
        <v>277.06779795792659</v>
      </c>
      <c r="J1760" s="5">
        <v>17389.478794493043</v>
      </c>
      <c r="K1760" s="5">
        <v>27</v>
      </c>
      <c r="L1760" s="5">
        <v>266.88110450007315</v>
      </c>
      <c r="M1760" s="5">
        <v>16750.136037316181</v>
      </c>
      <c r="N1760" s="5">
        <v>51.851851851851848</v>
      </c>
      <c r="O1760" s="5">
        <v>10.186693457853437</v>
      </c>
      <c r="P1760" s="5">
        <v>639.34275717686251</v>
      </c>
      <c r="Q1760" s="5">
        <v>3.8169406848548935</v>
      </c>
    </row>
    <row r="1761" spans="1:17" x14ac:dyDescent="0.2">
      <c r="A1761" s="4" t="s">
        <v>61</v>
      </c>
      <c r="B1761" s="4">
        <v>2015</v>
      </c>
      <c r="C1761" s="4" t="s">
        <v>60</v>
      </c>
      <c r="D1761" s="4">
        <v>4</v>
      </c>
      <c r="E1761" s="4">
        <v>11</v>
      </c>
      <c r="F1761" s="4">
        <v>2</v>
      </c>
      <c r="G1761" s="6" t="str">
        <f t="shared" si="58"/>
        <v>112</v>
      </c>
      <c r="H1761" s="5">
        <v>16</v>
      </c>
      <c r="I1761" s="5">
        <v>233.97782504840072</v>
      </c>
      <c r="J1761" s="5">
        <v>14685.042639558631</v>
      </c>
      <c r="K1761" s="5">
        <v>25</v>
      </c>
      <c r="L1761" s="5">
        <v>251.01198896046168</v>
      </c>
      <c r="M1761" s="5">
        <v>15754.150036065546</v>
      </c>
      <c r="N1761" s="5">
        <v>36</v>
      </c>
      <c r="O1761" s="5">
        <v>-17.034163912060961</v>
      </c>
      <c r="P1761" s="5">
        <v>-1069.1073965069154</v>
      </c>
      <c r="Q1761" s="5">
        <v>-6.7861953457307251</v>
      </c>
    </row>
    <row r="1762" spans="1:17" x14ac:dyDescent="0.2">
      <c r="A1762" s="4" t="s">
        <v>61</v>
      </c>
      <c r="B1762" s="4">
        <v>2015</v>
      </c>
      <c r="C1762" s="4" t="s">
        <v>60</v>
      </c>
      <c r="D1762" s="4">
        <v>5</v>
      </c>
      <c r="E1762" s="4">
        <v>11</v>
      </c>
      <c r="F1762" s="4">
        <v>2</v>
      </c>
      <c r="G1762" s="6" t="str">
        <f t="shared" si="58"/>
        <v>112</v>
      </c>
      <c r="H1762" s="5">
        <v>17</v>
      </c>
      <c r="I1762" s="5">
        <v>273.75558934365881</v>
      </c>
      <c r="J1762" s="5">
        <v>17181.596168344287</v>
      </c>
      <c r="K1762" s="5">
        <v>27</v>
      </c>
      <c r="L1762" s="5">
        <v>242.51418835806126</v>
      </c>
      <c r="M1762" s="5">
        <v>15220.806484543504</v>
      </c>
      <c r="N1762" s="5">
        <v>37.037037037037038</v>
      </c>
      <c r="O1762" s="5">
        <v>31.241400985597551</v>
      </c>
      <c r="P1762" s="5">
        <v>1960.7896838007837</v>
      </c>
      <c r="Q1762" s="5">
        <v>12.882298226391194</v>
      </c>
    </row>
    <row r="1763" spans="1:17" x14ac:dyDescent="0.2">
      <c r="A1763" s="4" t="s">
        <v>61</v>
      </c>
      <c r="B1763" s="4">
        <v>2015</v>
      </c>
      <c r="C1763" s="4" t="s">
        <v>60</v>
      </c>
      <c r="D1763" s="4">
        <v>6</v>
      </c>
      <c r="E1763" s="4">
        <v>11</v>
      </c>
      <c r="F1763" s="4">
        <v>2</v>
      </c>
      <c r="G1763" s="6" t="str">
        <f t="shared" si="58"/>
        <v>112</v>
      </c>
      <c r="H1763" s="5">
        <v>9</v>
      </c>
      <c r="I1763" s="5">
        <v>244.41463426227241</v>
      </c>
      <c r="J1763" s="5">
        <v>15340.08329691554</v>
      </c>
      <c r="K1763" s="5">
        <v>35</v>
      </c>
      <c r="L1763" s="5">
        <v>280.16839579536241</v>
      </c>
      <c r="M1763" s="5">
        <v>17584.080190764034</v>
      </c>
      <c r="N1763" s="5">
        <v>74.285714285714292</v>
      </c>
      <c r="O1763" s="5">
        <v>-35.75376153309</v>
      </c>
      <c r="P1763" s="5">
        <v>-2243.9968938484944</v>
      </c>
      <c r="Q1763" s="5">
        <v>-12.761525593059709</v>
      </c>
    </row>
    <row r="1764" spans="1:17" x14ac:dyDescent="0.2">
      <c r="A1764" s="4" t="s">
        <v>61</v>
      </c>
      <c r="B1764" s="4">
        <v>2015</v>
      </c>
      <c r="C1764" s="4" t="s">
        <v>60</v>
      </c>
      <c r="D1764" s="4">
        <v>1</v>
      </c>
      <c r="E1764" s="4">
        <v>15</v>
      </c>
      <c r="F1764" s="4">
        <v>3</v>
      </c>
      <c r="G1764" s="6" t="str">
        <f t="shared" si="58"/>
        <v>153</v>
      </c>
      <c r="H1764" s="5">
        <v>6</v>
      </c>
      <c r="I1764" s="5">
        <v>258.07269185921672</v>
      </c>
      <c r="J1764" s="5">
        <v>16197.297685258474</v>
      </c>
      <c r="K1764" s="5">
        <v>4</v>
      </c>
      <c r="L1764" s="5">
        <v>280.37324994382442</v>
      </c>
      <c r="M1764" s="5">
        <v>17596.937357482431</v>
      </c>
      <c r="N1764" s="5">
        <v>-50</v>
      </c>
      <c r="O1764" s="5">
        <v>-22.300558084607701</v>
      </c>
      <c r="P1764" s="5">
        <v>-1399.6396722239569</v>
      </c>
      <c r="Q1764" s="5">
        <v>-7.9538822227426582</v>
      </c>
    </row>
    <row r="1765" spans="1:17" x14ac:dyDescent="0.2">
      <c r="A1765" s="4" t="s">
        <v>61</v>
      </c>
      <c r="B1765" s="4">
        <v>2015</v>
      </c>
      <c r="C1765" s="4" t="s">
        <v>60</v>
      </c>
      <c r="D1765" s="4">
        <v>2</v>
      </c>
      <c r="E1765" s="4">
        <v>15</v>
      </c>
      <c r="F1765" s="4">
        <v>3</v>
      </c>
      <c r="G1765" s="6" t="str">
        <f t="shared" si="58"/>
        <v>153</v>
      </c>
      <c r="H1765" s="5">
        <v>8</v>
      </c>
      <c r="I1765" s="5">
        <v>256.88939918994606</v>
      </c>
      <c r="J1765" s="5">
        <v>16123.031231590388</v>
      </c>
      <c r="K1765" s="5">
        <v>35</v>
      </c>
      <c r="L1765" s="5">
        <v>260.91200338123417</v>
      </c>
      <c r="M1765" s="5">
        <v>16375.500088666538</v>
      </c>
      <c r="N1765" s="5">
        <v>77.142857142857153</v>
      </c>
      <c r="O1765" s="5">
        <v>-4.0226041912881101</v>
      </c>
      <c r="P1765" s="5">
        <v>-252.46885707615002</v>
      </c>
      <c r="Q1765" s="5">
        <v>-1.5417474624233514</v>
      </c>
    </row>
    <row r="1766" spans="1:17" x14ac:dyDescent="0.2">
      <c r="A1766" s="4" t="s">
        <v>61</v>
      </c>
      <c r="B1766" s="4">
        <v>2015</v>
      </c>
      <c r="C1766" s="4" t="s">
        <v>60</v>
      </c>
      <c r="D1766" s="4">
        <v>3</v>
      </c>
      <c r="E1766" s="4">
        <v>15</v>
      </c>
      <c r="F1766" s="4">
        <v>3</v>
      </c>
      <c r="G1766" s="6" t="str">
        <f t="shared" si="58"/>
        <v>153</v>
      </c>
      <c r="H1766" s="5">
        <v>10</v>
      </c>
      <c r="I1766" s="5">
        <v>276.55997295012679</v>
      </c>
      <c r="J1766" s="5">
        <v>17357.606407050211</v>
      </c>
      <c r="K1766" s="5">
        <v>27</v>
      </c>
      <c r="L1766" s="5">
        <v>266.88110450007315</v>
      </c>
      <c r="M1766" s="5">
        <v>16750.136037316181</v>
      </c>
      <c r="N1766" s="5">
        <v>62.962962962962962</v>
      </c>
      <c r="O1766" s="5">
        <v>9.6788684500536419</v>
      </c>
      <c r="P1766" s="5">
        <v>607.4703697340301</v>
      </c>
      <c r="Q1766" s="5">
        <v>3.6266593201434265</v>
      </c>
    </row>
    <row r="1767" spans="1:17" x14ac:dyDescent="0.2">
      <c r="A1767" s="4" t="s">
        <v>61</v>
      </c>
      <c r="B1767" s="4">
        <v>2015</v>
      </c>
      <c r="C1767" s="4" t="s">
        <v>60</v>
      </c>
      <c r="D1767" s="4">
        <v>4</v>
      </c>
      <c r="E1767" s="4">
        <v>15</v>
      </c>
      <c r="F1767" s="4">
        <v>3</v>
      </c>
      <c r="G1767" s="6" t="str">
        <f t="shared" si="58"/>
        <v>153</v>
      </c>
      <c r="H1767" s="5">
        <v>7</v>
      </c>
      <c r="I1767" s="5">
        <v>261.79951061084671</v>
      </c>
      <c r="J1767" s="5">
        <v>16431.202296801352</v>
      </c>
      <c r="K1767" s="5">
        <v>25</v>
      </c>
      <c r="L1767" s="5">
        <v>251.01198896046168</v>
      </c>
      <c r="M1767" s="5">
        <v>15754.150036065546</v>
      </c>
      <c r="N1767" s="5">
        <v>72</v>
      </c>
      <c r="O1767" s="5">
        <v>10.787521650385031</v>
      </c>
      <c r="P1767" s="5">
        <v>677.05226073580525</v>
      </c>
      <c r="Q1767" s="5">
        <v>4.2976121160827336</v>
      </c>
    </row>
    <row r="1768" spans="1:17" x14ac:dyDescent="0.2">
      <c r="A1768" s="4" t="s">
        <v>61</v>
      </c>
      <c r="B1768" s="4">
        <v>2015</v>
      </c>
      <c r="C1768" s="4" t="s">
        <v>60</v>
      </c>
      <c r="D1768" s="4">
        <v>5</v>
      </c>
      <c r="E1768" s="4">
        <v>15</v>
      </c>
      <c r="F1768" s="4">
        <v>3</v>
      </c>
      <c r="G1768" s="6" t="str">
        <f t="shared" si="58"/>
        <v>153</v>
      </c>
      <c r="H1768" s="5">
        <v>5</v>
      </c>
      <c r="I1768" s="5">
        <v>236.51667895809823</v>
      </c>
      <c r="J1768" s="5">
        <v>14844.387560009131</v>
      </c>
      <c r="K1768" s="5">
        <v>27</v>
      </c>
      <c r="L1768" s="5">
        <v>242.51418835806126</v>
      </c>
      <c r="M1768" s="5">
        <v>15220.806484543504</v>
      </c>
      <c r="N1768" s="5">
        <v>81.481481481481481</v>
      </c>
      <c r="O1768" s="5">
        <v>-5.997509399963036</v>
      </c>
      <c r="P1768" s="5">
        <v>-376.41892453437322</v>
      </c>
      <c r="Q1768" s="5">
        <v>-2.4730550573428607</v>
      </c>
    </row>
    <row r="1769" spans="1:17" x14ac:dyDescent="0.2">
      <c r="A1769" s="4" t="s">
        <v>61</v>
      </c>
      <c r="B1769" s="4">
        <v>2015</v>
      </c>
      <c r="C1769" s="4" t="s">
        <v>60</v>
      </c>
      <c r="D1769" s="4">
        <v>6</v>
      </c>
      <c r="E1769" s="4">
        <v>15</v>
      </c>
      <c r="F1769" s="4">
        <v>3</v>
      </c>
      <c r="G1769" s="6" t="str">
        <f t="shared" si="58"/>
        <v>153</v>
      </c>
      <c r="H1769" s="5">
        <v>8</v>
      </c>
      <c r="I1769" s="5">
        <v>241.11077924316155</v>
      </c>
      <c r="J1769" s="5">
        <v>15132.724963618244</v>
      </c>
      <c r="K1769" s="5">
        <v>35</v>
      </c>
      <c r="L1769" s="5">
        <v>280.16839579536241</v>
      </c>
      <c r="M1769" s="5">
        <v>17584.080190764034</v>
      </c>
      <c r="N1769" s="5">
        <v>77.142857142857153</v>
      </c>
      <c r="O1769" s="5">
        <v>-39.057616552200869</v>
      </c>
      <c r="P1769" s="5">
        <v>-2451.3552271457902</v>
      </c>
      <c r="Q1769" s="5">
        <v>-13.940764603845214</v>
      </c>
    </row>
    <row r="1770" spans="1:17" x14ac:dyDescent="0.2">
      <c r="A1770" s="4" t="s">
        <v>61</v>
      </c>
      <c r="B1770" s="4">
        <v>2015</v>
      </c>
      <c r="C1770" s="4" t="s">
        <v>60</v>
      </c>
      <c r="D1770" s="4">
        <v>1</v>
      </c>
      <c r="E1770" s="4">
        <v>17</v>
      </c>
      <c r="F1770" s="4">
        <v>3</v>
      </c>
      <c r="G1770" s="6" t="str">
        <f t="shared" si="58"/>
        <v>173</v>
      </c>
      <c r="H1770" s="5">
        <v>18</v>
      </c>
      <c r="I1770" s="5">
        <v>253.22122594358595</v>
      </c>
      <c r="J1770" s="5">
        <v>15892.807360926818</v>
      </c>
      <c r="K1770" s="5">
        <v>4</v>
      </c>
      <c r="L1770" s="5">
        <v>280.37324994382442</v>
      </c>
      <c r="M1770" s="5">
        <v>17596.937357482431</v>
      </c>
      <c r="N1770" s="5">
        <v>-350</v>
      </c>
      <c r="O1770" s="5">
        <v>-27.15202400023847</v>
      </c>
      <c r="P1770" s="5">
        <v>-1704.1299965556136</v>
      </c>
      <c r="Q1770" s="5">
        <v>-9.6842419901608441</v>
      </c>
    </row>
    <row r="1771" spans="1:17" x14ac:dyDescent="0.2">
      <c r="A1771" s="4" t="s">
        <v>61</v>
      </c>
      <c r="B1771" s="4">
        <v>2015</v>
      </c>
      <c r="C1771" s="4" t="s">
        <v>60</v>
      </c>
      <c r="D1771" s="4">
        <v>2</v>
      </c>
      <c r="E1771" s="4">
        <v>17</v>
      </c>
      <c r="F1771" s="4">
        <v>3</v>
      </c>
      <c r="G1771" s="6" t="str">
        <f t="shared" si="58"/>
        <v>173</v>
      </c>
      <c r="H1771" s="5">
        <v>15</v>
      </c>
      <c r="I1771" s="5">
        <v>270.82142458412409</v>
      </c>
      <c r="J1771" s="5">
        <v>16997.440534807887</v>
      </c>
      <c r="K1771" s="5">
        <v>35</v>
      </c>
      <c r="L1771" s="5">
        <v>260.91200338123417</v>
      </c>
      <c r="M1771" s="5">
        <v>16375.500088666538</v>
      </c>
      <c r="N1771" s="5">
        <v>57.142857142857139</v>
      </c>
      <c r="O1771" s="5">
        <v>9.9094212028899165</v>
      </c>
      <c r="P1771" s="5">
        <v>621.94044614134873</v>
      </c>
      <c r="Q1771" s="5">
        <v>3.7979936049207614</v>
      </c>
    </row>
    <row r="1772" spans="1:17" x14ac:dyDescent="0.2">
      <c r="A1772" s="4" t="s">
        <v>61</v>
      </c>
      <c r="B1772" s="4">
        <v>2015</v>
      </c>
      <c r="C1772" s="4" t="s">
        <v>60</v>
      </c>
      <c r="D1772" s="4">
        <v>3</v>
      </c>
      <c r="E1772" s="4">
        <v>17</v>
      </c>
      <c r="F1772" s="4">
        <v>3</v>
      </c>
      <c r="G1772" s="6" t="str">
        <f t="shared" si="58"/>
        <v>173</v>
      </c>
      <c r="H1772" s="5">
        <v>10</v>
      </c>
      <c r="I1772" s="5">
        <v>286.51829666252627</v>
      </c>
      <c r="J1772" s="5">
        <v>17982.616098908245</v>
      </c>
      <c r="K1772" s="5">
        <v>27</v>
      </c>
      <c r="L1772" s="5">
        <v>266.88110450007315</v>
      </c>
      <c r="M1772" s="5">
        <v>16750.136037316181</v>
      </c>
      <c r="N1772" s="5">
        <v>62.962962962962962</v>
      </c>
      <c r="O1772" s="5">
        <v>19.637192162453118</v>
      </c>
      <c r="P1772" s="5">
        <v>1232.4800615920649</v>
      </c>
      <c r="Q1772" s="5">
        <v>7.3580301607481218</v>
      </c>
    </row>
    <row r="1773" spans="1:17" x14ac:dyDescent="0.2">
      <c r="A1773" s="4" t="s">
        <v>61</v>
      </c>
      <c r="B1773" s="4">
        <v>2015</v>
      </c>
      <c r="C1773" s="4" t="s">
        <v>60</v>
      </c>
      <c r="D1773" s="4">
        <v>4</v>
      </c>
      <c r="E1773" s="4">
        <v>17</v>
      </c>
      <c r="F1773" s="4">
        <v>3</v>
      </c>
      <c r="G1773" s="6" t="str">
        <f t="shared" si="58"/>
        <v>173</v>
      </c>
      <c r="H1773" s="5">
        <v>10</v>
      </c>
      <c r="I1773" s="5">
        <v>285.77770401196443</v>
      </c>
      <c r="J1773" s="5">
        <v>17936.134622940193</v>
      </c>
      <c r="K1773" s="5">
        <v>25</v>
      </c>
      <c r="L1773" s="5">
        <v>251.01198896046168</v>
      </c>
      <c r="M1773" s="5">
        <v>15754.150036065546</v>
      </c>
      <c r="N1773" s="5">
        <v>60</v>
      </c>
      <c r="O1773" s="5">
        <v>34.765715051502752</v>
      </c>
      <c r="P1773" s="5">
        <v>2181.984586874647</v>
      </c>
      <c r="Q1773" s="5">
        <v>13.850220937844879</v>
      </c>
    </row>
    <row r="1774" spans="1:17" x14ac:dyDescent="0.2">
      <c r="A1774" s="4" t="s">
        <v>61</v>
      </c>
      <c r="B1774" s="4">
        <v>2015</v>
      </c>
      <c r="C1774" s="4" t="s">
        <v>60</v>
      </c>
      <c r="D1774" s="4">
        <v>5</v>
      </c>
      <c r="E1774" s="4">
        <v>17</v>
      </c>
      <c r="F1774" s="4">
        <v>3</v>
      </c>
      <c r="G1774" s="6" t="str">
        <f t="shared" si="58"/>
        <v>173</v>
      </c>
      <c r="H1774" s="5">
        <v>10</v>
      </c>
      <c r="I1774" s="5">
        <v>248.06561203327962</v>
      </c>
      <c r="J1774" s="5">
        <v>15569.22793586682</v>
      </c>
      <c r="K1774" s="5">
        <v>27</v>
      </c>
      <c r="L1774" s="5">
        <v>242.51418835806126</v>
      </c>
      <c r="M1774" s="5">
        <v>15220.806484543504</v>
      </c>
      <c r="N1774" s="5">
        <v>62.962962962962962</v>
      </c>
      <c r="O1774" s="5">
        <v>5.5514236752183592</v>
      </c>
      <c r="P1774" s="5">
        <v>348.42145132331643</v>
      </c>
      <c r="Q1774" s="5">
        <v>2.2891129433721735</v>
      </c>
    </row>
    <row r="1775" spans="1:17" x14ac:dyDescent="0.2">
      <c r="A1775" s="4" t="s">
        <v>61</v>
      </c>
      <c r="B1775" s="4">
        <v>2015</v>
      </c>
      <c r="C1775" s="4" t="s">
        <v>60</v>
      </c>
      <c r="D1775" s="4">
        <v>6</v>
      </c>
      <c r="E1775" s="4">
        <v>17</v>
      </c>
      <c r="F1775" s="4">
        <v>3</v>
      </c>
      <c r="G1775" s="6" t="str">
        <f t="shared" si="58"/>
        <v>173</v>
      </c>
      <c r="H1775" s="5">
        <v>13</v>
      </c>
      <c r="I1775" s="5">
        <v>254.26797819503332</v>
      </c>
      <c r="J1775" s="5">
        <v>15958.504191138736</v>
      </c>
      <c r="K1775" s="5">
        <v>35</v>
      </c>
      <c r="L1775" s="5">
        <v>280.16839579536241</v>
      </c>
      <c r="M1775" s="5">
        <v>17584.080190764034</v>
      </c>
      <c r="N1775" s="5">
        <v>62.857142857142854</v>
      </c>
      <c r="O1775" s="5">
        <v>-25.900417600329092</v>
      </c>
      <c r="P1775" s="5">
        <v>-1625.5759996252982</v>
      </c>
      <c r="Q1775" s="5">
        <v>-9.2445893216474602</v>
      </c>
    </row>
    <row r="1776" spans="1:17" x14ac:dyDescent="0.2">
      <c r="A1776" s="4" t="s">
        <v>61</v>
      </c>
      <c r="B1776" s="4">
        <v>2015</v>
      </c>
      <c r="C1776" s="4" t="s">
        <v>60</v>
      </c>
      <c r="D1776" s="4">
        <v>1</v>
      </c>
      <c r="E1776" s="4">
        <v>19</v>
      </c>
      <c r="F1776" s="4">
        <v>3</v>
      </c>
      <c r="G1776" s="6" t="str">
        <f t="shared" si="58"/>
        <v>193</v>
      </c>
      <c r="H1776" s="5">
        <v>9</v>
      </c>
      <c r="I1776" s="5">
        <v>252.2620443707236</v>
      </c>
      <c r="J1776" s="5">
        <v>15832.606688945834</v>
      </c>
      <c r="K1776" s="5">
        <v>4</v>
      </c>
      <c r="L1776" s="5">
        <v>280.37324994382442</v>
      </c>
      <c r="M1776" s="5">
        <v>17596.937357482431</v>
      </c>
      <c r="N1776" s="5">
        <v>-125</v>
      </c>
      <c r="O1776" s="5">
        <v>-28.111205573100818</v>
      </c>
      <c r="P1776" s="5">
        <v>-1764.3306685365969</v>
      </c>
      <c r="Q1776" s="5">
        <v>-10.026350794426065</v>
      </c>
    </row>
    <row r="1777" spans="1:17" s="7" customFormat="1" x14ac:dyDescent="0.2">
      <c r="A1777" s="4" t="s">
        <v>61</v>
      </c>
      <c r="B1777" s="7">
        <v>2015</v>
      </c>
      <c r="C1777" s="7" t="s">
        <v>60</v>
      </c>
      <c r="D1777" s="7">
        <v>2</v>
      </c>
      <c r="E1777" s="7">
        <v>19</v>
      </c>
      <c r="F1777" s="7">
        <v>3</v>
      </c>
      <c r="G1777" s="6" t="str">
        <f t="shared" si="58"/>
        <v>193</v>
      </c>
      <c r="H1777" s="9">
        <v>13</v>
      </c>
      <c r="I1777" s="9">
        <v>271.37738652414583</v>
      </c>
      <c r="J1777" s="9">
        <v>17032.334118392151</v>
      </c>
      <c r="K1777" s="9">
        <v>35</v>
      </c>
      <c r="L1777" s="9">
        <v>260.91200338123417</v>
      </c>
      <c r="M1777" s="9">
        <v>16375.500088666538</v>
      </c>
      <c r="N1777" s="9">
        <v>62.857142857142854</v>
      </c>
      <c r="O1777" s="9">
        <v>10.465383142911662</v>
      </c>
      <c r="P1777" s="9">
        <v>656.83402972561271</v>
      </c>
      <c r="Q1777" s="9">
        <v>4.0110776841569971</v>
      </c>
    </row>
    <row r="1778" spans="1:17" x14ac:dyDescent="0.2">
      <c r="A1778" s="4" t="s">
        <v>61</v>
      </c>
      <c r="B1778" s="4">
        <v>2015</v>
      </c>
      <c r="C1778" s="4" t="s">
        <v>60</v>
      </c>
      <c r="D1778" s="4">
        <v>3</v>
      </c>
      <c r="E1778" s="4">
        <v>19</v>
      </c>
      <c r="F1778" s="4">
        <v>3</v>
      </c>
      <c r="G1778" s="6" t="str">
        <f t="shared" si="58"/>
        <v>193</v>
      </c>
      <c r="H1778" s="5">
        <v>12</v>
      </c>
      <c r="I1778" s="5">
        <v>237.32375401521557</v>
      </c>
      <c r="J1778" s="5">
        <v>14895.041640688103</v>
      </c>
      <c r="K1778" s="5">
        <v>27</v>
      </c>
      <c r="L1778" s="5">
        <v>266.88110450007315</v>
      </c>
      <c r="M1778" s="5">
        <v>16750.136037316181</v>
      </c>
      <c r="N1778" s="5">
        <v>55.555555555555557</v>
      </c>
      <c r="O1778" s="5">
        <v>-29.557350484857579</v>
      </c>
      <c r="P1778" s="5">
        <v>-1855.0943966280774</v>
      </c>
      <c r="Q1778" s="5">
        <v>-11.075100479752958</v>
      </c>
    </row>
    <row r="1779" spans="1:17" x14ac:dyDescent="0.2">
      <c r="A1779" s="4" t="s">
        <v>61</v>
      </c>
      <c r="B1779" s="4">
        <v>2015</v>
      </c>
      <c r="C1779" s="4" t="s">
        <v>60</v>
      </c>
      <c r="D1779" s="4">
        <v>4</v>
      </c>
      <c r="E1779" s="4">
        <v>19</v>
      </c>
      <c r="F1779" s="4">
        <v>3</v>
      </c>
      <c r="G1779" s="6" t="str">
        <f t="shared" si="58"/>
        <v>193</v>
      </c>
      <c r="H1779" s="5">
        <v>9</v>
      </c>
      <c r="I1779" s="5">
        <v>279.55376607198474</v>
      </c>
      <c r="J1779" s="5">
        <v>17545.504468071194</v>
      </c>
      <c r="K1779" s="5">
        <v>25</v>
      </c>
      <c r="L1779" s="5">
        <v>251.01198896046168</v>
      </c>
      <c r="M1779" s="5">
        <v>15754.150036065546</v>
      </c>
      <c r="N1779" s="5">
        <v>64</v>
      </c>
      <c r="O1779" s="5">
        <v>28.541777111523061</v>
      </c>
      <c r="P1779" s="5">
        <v>1791.3544320056481</v>
      </c>
      <c r="Q1779" s="5">
        <v>11.370682822651485</v>
      </c>
    </row>
    <row r="1780" spans="1:17" x14ac:dyDescent="0.2">
      <c r="A1780" s="4" t="s">
        <v>61</v>
      </c>
      <c r="B1780" s="4">
        <v>2015</v>
      </c>
      <c r="C1780" s="4" t="s">
        <v>60</v>
      </c>
      <c r="D1780" s="4">
        <v>5</v>
      </c>
      <c r="E1780" s="4">
        <v>19</v>
      </c>
      <c r="F1780" s="4">
        <v>3</v>
      </c>
      <c r="G1780" s="6" t="str">
        <f t="shared" si="58"/>
        <v>193</v>
      </c>
      <c r="H1780" s="5">
        <v>22</v>
      </c>
      <c r="I1780" s="5">
        <v>259.626867160551</v>
      </c>
      <c r="J1780" s="5">
        <v>16294.841675013578</v>
      </c>
      <c r="K1780" s="5">
        <v>27</v>
      </c>
      <c r="L1780" s="5">
        <v>242.51418835806126</v>
      </c>
      <c r="M1780" s="5">
        <v>15220.806484543504</v>
      </c>
      <c r="N1780" s="5">
        <v>18.518518518518519</v>
      </c>
      <c r="O1780" s="5">
        <v>17.112678802489739</v>
      </c>
      <c r="P1780" s="5">
        <v>1074.0351904700747</v>
      </c>
      <c r="Q1780" s="5">
        <v>7.0563619054006166</v>
      </c>
    </row>
    <row r="1781" spans="1:17" x14ac:dyDescent="0.2">
      <c r="A1781" s="4" t="s">
        <v>61</v>
      </c>
      <c r="B1781" s="4">
        <v>2015</v>
      </c>
      <c r="C1781" s="4" t="s">
        <v>60</v>
      </c>
      <c r="D1781" s="4">
        <v>6</v>
      </c>
      <c r="E1781" s="4">
        <v>19</v>
      </c>
      <c r="F1781" s="4">
        <v>3</v>
      </c>
      <c r="G1781" s="6" t="str">
        <f t="shared" si="58"/>
        <v>193</v>
      </c>
      <c r="H1781" s="5">
        <v>17</v>
      </c>
      <c r="I1781" s="5">
        <v>241.72686683139358</v>
      </c>
      <c r="J1781" s="5">
        <v>15171.392185612545</v>
      </c>
      <c r="K1781" s="5">
        <v>35</v>
      </c>
      <c r="L1781" s="5">
        <v>280.16839579536241</v>
      </c>
      <c r="M1781" s="5">
        <v>17584.080190764034</v>
      </c>
      <c r="N1781" s="5">
        <v>51.428571428571423</v>
      </c>
      <c r="O1781" s="5">
        <v>-38.441528963968835</v>
      </c>
      <c r="P1781" s="5">
        <v>-2412.6880051514891</v>
      </c>
      <c r="Q1781" s="5">
        <v>-13.720865572591871</v>
      </c>
    </row>
    <row r="1782" spans="1:17" x14ac:dyDescent="0.2">
      <c r="A1782" s="4" t="s">
        <v>82</v>
      </c>
      <c r="B1782" s="4">
        <v>2015</v>
      </c>
      <c r="C1782" s="4" t="s">
        <v>98</v>
      </c>
      <c r="D1782" s="4">
        <v>1</v>
      </c>
      <c r="E1782" s="4">
        <v>1</v>
      </c>
      <c r="F1782" s="4">
        <v>0</v>
      </c>
      <c r="G1782" s="6" t="str">
        <f t="shared" si="58"/>
        <v>10</v>
      </c>
      <c r="H1782" s="5">
        <v>30.1</v>
      </c>
      <c r="I1782" s="5">
        <v>240.41580175980002</v>
      </c>
      <c r="J1782" s="5">
        <v>15089.106411413195</v>
      </c>
      <c r="K1782" s="5">
        <v>30.1</v>
      </c>
      <c r="L1782" s="5">
        <v>240.41580175980002</v>
      </c>
      <c r="M1782" s="5">
        <v>15089.106411413195</v>
      </c>
      <c r="N1782" s="5">
        <v>0</v>
      </c>
      <c r="O1782" s="5">
        <v>0</v>
      </c>
      <c r="P1782" s="5">
        <v>0</v>
      </c>
      <c r="Q1782" s="5">
        <v>0</v>
      </c>
    </row>
    <row r="1783" spans="1:17" x14ac:dyDescent="0.2">
      <c r="A1783" s="4" t="s">
        <v>82</v>
      </c>
      <c r="B1783" s="4">
        <v>2015</v>
      </c>
      <c r="C1783" s="4" t="s">
        <v>98</v>
      </c>
      <c r="D1783" s="4">
        <v>2</v>
      </c>
      <c r="E1783" s="4">
        <v>1</v>
      </c>
      <c r="F1783" s="4">
        <v>0</v>
      </c>
      <c r="G1783" s="6" t="str">
        <f t="shared" si="58"/>
        <v>10</v>
      </c>
      <c r="H1783" s="5">
        <v>15</v>
      </c>
      <c r="I1783" s="5">
        <v>242.6373834945</v>
      </c>
      <c r="J1783" s="5">
        <v>15228.538524240919</v>
      </c>
      <c r="K1783" s="5">
        <v>15</v>
      </c>
      <c r="L1783" s="5">
        <v>242.6373834945</v>
      </c>
      <c r="M1783" s="5">
        <v>15228.538524240919</v>
      </c>
      <c r="N1783" s="5">
        <v>0</v>
      </c>
      <c r="O1783" s="5">
        <v>0</v>
      </c>
      <c r="P1783" s="5">
        <v>0</v>
      </c>
      <c r="Q1783" s="5">
        <v>0</v>
      </c>
    </row>
    <row r="1784" spans="1:17" x14ac:dyDescent="0.2">
      <c r="A1784" s="4" t="s">
        <v>82</v>
      </c>
      <c r="B1784" s="4">
        <v>2015</v>
      </c>
      <c r="C1784" s="4" t="s">
        <v>98</v>
      </c>
      <c r="D1784" s="4">
        <v>3</v>
      </c>
      <c r="E1784" s="4">
        <v>1</v>
      </c>
      <c r="F1784" s="4">
        <v>0</v>
      </c>
      <c r="G1784" s="6" t="str">
        <f t="shared" si="58"/>
        <v>10</v>
      </c>
      <c r="H1784" s="5">
        <v>16</v>
      </c>
      <c r="I1784" s="5">
        <v>247.85543912610001</v>
      </c>
      <c r="J1784" s="5">
        <v>15556.036950340846</v>
      </c>
      <c r="K1784" s="5">
        <v>16</v>
      </c>
      <c r="L1784" s="5">
        <v>247.85543912610001</v>
      </c>
      <c r="M1784" s="5">
        <v>15556.036950340846</v>
      </c>
      <c r="N1784" s="5">
        <v>0</v>
      </c>
      <c r="O1784" s="5">
        <v>0</v>
      </c>
      <c r="P1784" s="5">
        <v>0</v>
      </c>
      <c r="Q1784" s="5">
        <v>0</v>
      </c>
    </row>
    <row r="1785" spans="1:17" x14ac:dyDescent="0.2">
      <c r="A1785" s="4" t="s">
        <v>82</v>
      </c>
      <c r="B1785" s="4">
        <v>2015</v>
      </c>
      <c r="C1785" s="4" t="s">
        <v>98</v>
      </c>
      <c r="D1785" s="4">
        <v>4</v>
      </c>
      <c r="E1785" s="4">
        <v>1</v>
      </c>
      <c r="F1785" s="4">
        <v>0</v>
      </c>
      <c r="G1785" s="6" t="str">
        <f t="shared" si="58"/>
        <v>10</v>
      </c>
      <c r="H1785" s="5">
        <v>8.5</v>
      </c>
      <c r="I1785" s="5">
        <v>244.89677050380001</v>
      </c>
      <c r="J1785" s="5">
        <v>15370.343392133729</v>
      </c>
      <c r="K1785" s="5">
        <v>8.5</v>
      </c>
      <c r="L1785" s="5">
        <v>244.89677050380001</v>
      </c>
      <c r="M1785" s="5">
        <v>15370.343392133729</v>
      </c>
      <c r="N1785" s="5">
        <v>0</v>
      </c>
      <c r="O1785" s="5">
        <v>0</v>
      </c>
      <c r="P1785" s="5">
        <v>0</v>
      </c>
      <c r="Q1785" s="5">
        <v>0</v>
      </c>
    </row>
    <row r="1786" spans="1:17" x14ac:dyDescent="0.2">
      <c r="A1786" s="4" t="s">
        <v>82</v>
      </c>
      <c r="B1786" s="4">
        <v>2015</v>
      </c>
      <c r="C1786" s="4" t="s">
        <v>98</v>
      </c>
      <c r="D1786" s="4">
        <v>1</v>
      </c>
      <c r="E1786" s="4">
        <v>2</v>
      </c>
      <c r="F1786" s="4">
        <v>1</v>
      </c>
      <c r="G1786" s="6" t="str">
        <f t="shared" si="58"/>
        <v>21</v>
      </c>
      <c r="H1786" s="5">
        <v>9.1</v>
      </c>
      <c r="I1786" s="5">
        <v>240.45685411320002</v>
      </c>
      <c r="J1786" s="5">
        <v>15091.682961391847</v>
      </c>
      <c r="K1786" s="5">
        <v>30.1</v>
      </c>
      <c r="L1786" s="5">
        <v>240.41580175980002</v>
      </c>
      <c r="M1786" s="5">
        <v>15089.106411413195</v>
      </c>
      <c r="N1786" s="5">
        <v>69.767441860465112</v>
      </c>
      <c r="O1786" s="5">
        <v>4.1052353400004904E-2</v>
      </c>
      <c r="P1786" s="5">
        <v>2.5765499786521104</v>
      </c>
      <c r="Q1786" s="5">
        <v>1.707556371067304E-2</v>
      </c>
    </row>
    <row r="1787" spans="1:17" x14ac:dyDescent="0.2">
      <c r="A1787" s="4" t="s">
        <v>82</v>
      </c>
      <c r="B1787" s="4">
        <v>2015</v>
      </c>
      <c r="C1787" s="4" t="s">
        <v>98</v>
      </c>
      <c r="D1787" s="4">
        <v>2</v>
      </c>
      <c r="E1787" s="4">
        <v>2</v>
      </c>
      <c r="F1787" s="4">
        <v>1</v>
      </c>
      <c r="G1787" s="6" t="str">
        <f t="shared" si="58"/>
        <v>21</v>
      </c>
      <c r="H1787" s="5">
        <v>0</v>
      </c>
      <c r="I1787" s="5" t="s">
        <v>97</v>
      </c>
      <c r="J1787" s="5" t="s">
        <v>97</v>
      </c>
      <c r="K1787" s="5">
        <v>15</v>
      </c>
      <c r="L1787" s="5">
        <v>242.6373834945</v>
      </c>
      <c r="M1787" s="5">
        <v>15228.538524240919</v>
      </c>
      <c r="N1787" s="5">
        <v>100</v>
      </c>
      <c r="O1787" s="5" t="s">
        <v>97</v>
      </c>
      <c r="P1787" s="5" t="s">
        <v>97</v>
      </c>
      <c r="Q1787" s="5" t="s">
        <v>97</v>
      </c>
    </row>
    <row r="1788" spans="1:17" x14ac:dyDescent="0.2">
      <c r="A1788" s="4" t="s">
        <v>82</v>
      </c>
      <c r="B1788" s="4">
        <v>2015</v>
      </c>
      <c r="C1788" s="4" t="s">
        <v>98</v>
      </c>
      <c r="D1788" s="4">
        <v>3</v>
      </c>
      <c r="E1788" s="4">
        <v>2</v>
      </c>
      <c r="F1788" s="4">
        <v>1</v>
      </c>
      <c r="G1788" s="6" t="str">
        <f t="shared" si="58"/>
        <v>21</v>
      </c>
      <c r="H1788" s="5">
        <v>0.7</v>
      </c>
      <c r="I1788" s="5">
        <v>236.56175115840003</v>
      </c>
      <c r="J1788" s="5">
        <v>14847.216405790365</v>
      </c>
      <c r="K1788" s="5">
        <v>16</v>
      </c>
      <c r="L1788" s="5">
        <v>247.85543912610001</v>
      </c>
      <c r="M1788" s="5">
        <v>15556.036950340846</v>
      </c>
      <c r="N1788" s="5">
        <v>95.625</v>
      </c>
      <c r="O1788" s="5">
        <v>-11.293687967699981</v>
      </c>
      <c r="P1788" s="5">
        <v>-708.82054455048092</v>
      </c>
      <c r="Q1788" s="5">
        <v>-4.5565624896188623</v>
      </c>
    </row>
    <row r="1789" spans="1:17" x14ac:dyDescent="0.2">
      <c r="A1789" s="4" t="s">
        <v>82</v>
      </c>
      <c r="B1789" s="4">
        <v>2015</v>
      </c>
      <c r="C1789" s="4" t="s">
        <v>98</v>
      </c>
      <c r="D1789" s="4">
        <v>4</v>
      </c>
      <c r="E1789" s="4">
        <v>2</v>
      </c>
      <c r="F1789" s="4">
        <v>1</v>
      </c>
      <c r="G1789" s="6" t="str">
        <f t="shared" si="58"/>
        <v>21</v>
      </c>
      <c r="H1789" s="5">
        <v>1</v>
      </c>
      <c r="I1789" s="5">
        <v>240.81032183400004</v>
      </c>
      <c r="J1789" s="5">
        <v>15113.867493411419</v>
      </c>
      <c r="K1789" s="5">
        <v>8.5</v>
      </c>
      <c r="L1789" s="5">
        <v>244.89677050380001</v>
      </c>
      <c r="M1789" s="5">
        <v>15370.343392133729</v>
      </c>
      <c r="N1789" s="5">
        <v>88.235294117647058</v>
      </c>
      <c r="O1789" s="5">
        <v>-4.086448669799978</v>
      </c>
      <c r="P1789" s="5">
        <v>-256.47589872231038</v>
      </c>
      <c r="Q1789" s="5">
        <v>-1.6686413060463583</v>
      </c>
    </row>
    <row r="1790" spans="1:17" x14ac:dyDescent="0.2">
      <c r="A1790" s="4" t="s">
        <v>82</v>
      </c>
      <c r="B1790" s="4">
        <v>2015</v>
      </c>
      <c r="C1790" s="4" t="s">
        <v>98</v>
      </c>
      <c r="D1790" s="4">
        <v>1</v>
      </c>
      <c r="E1790" s="4">
        <v>3</v>
      </c>
      <c r="F1790" s="4">
        <v>1</v>
      </c>
      <c r="G1790" s="6" t="str">
        <f t="shared" si="58"/>
        <v>31</v>
      </c>
      <c r="H1790" s="5">
        <v>1.1000000000000001</v>
      </c>
      <c r="I1790" s="5">
        <v>246.57017575679996</v>
      </c>
      <c r="J1790" s="5">
        <v>15475.370556517713</v>
      </c>
      <c r="K1790" s="5">
        <v>30.1</v>
      </c>
      <c r="L1790" s="5">
        <v>240.41580175980002</v>
      </c>
      <c r="M1790" s="5">
        <v>15089.106411413195</v>
      </c>
      <c r="N1790" s="5">
        <v>96.345514950166105</v>
      </c>
      <c r="O1790" s="5">
        <v>6.1543739969999365</v>
      </c>
      <c r="P1790" s="5">
        <v>386.26414510451832</v>
      </c>
      <c r="Q1790" s="5">
        <v>2.5598874749292864</v>
      </c>
    </row>
    <row r="1791" spans="1:17" x14ac:dyDescent="0.2">
      <c r="A1791" s="4" t="s">
        <v>82</v>
      </c>
      <c r="B1791" s="4">
        <v>2015</v>
      </c>
      <c r="C1791" s="4" t="s">
        <v>98</v>
      </c>
      <c r="D1791" s="4">
        <v>2</v>
      </c>
      <c r="E1791" s="4">
        <v>3</v>
      </c>
      <c r="F1791" s="4">
        <v>1</v>
      </c>
      <c r="G1791" s="6" t="str">
        <f t="shared" si="58"/>
        <v>31</v>
      </c>
      <c r="H1791" s="5">
        <v>5</v>
      </c>
      <c r="I1791" s="5">
        <v>219.49974366959998</v>
      </c>
      <c r="J1791" s="5">
        <v>13776.361475680354</v>
      </c>
      <c r="K1791" s="5">
        <v>15</v>
      </c>
      <c r="L1791" s="5">
        <v>242.6373834945</v>
      </c>
      <c r="M1791" s="5">
        <v>15228.538524240919</v>
      </c>
      <c r="N1791" s="5">
        <v>66.666666666666657</v>
      </c>
      <c r="O1791" s="5">
        <v>-23.13763982490002</v>
      </c>
      <c r="P1791" s="5">
        <v>-1452.1770485605648</v>
      </c>
      <c r="Q1791" s="5">
        <v>-9.5358924052296743</v>
      </c>
    </row>
    <row r="1792" spans="1:17" x14ac:dyDescent="0.2">
      <c r="A1792" s="4" t="s">
        <v>82</v>
      </c>
      <c r="B1792" s="4">
        <v>2015</v>
      </c>
      <c r="C1792" s="4" t="s">
        <v>98</v>
      </c>
      <c r="D1792" s="4">
        <v>3</v>
      </c>
      <c r="E1792" s="4">
        <v>3</v>
      </c>
      <c r="F1792" s="4">
        <v>1</v>
      </c>
      <c r="G1792" s="6" t="str">
        <f t="shared" si="58"/>
        <v>31</v>
      </c>
      <c r="H1792" s="5">
        <v>1</v>
      </c>
      <c r="I1792" s="5">
        <v>245.35437668039998</v>
      </c>
      <c r="J1792" s="5">
        <v>15399.063918166938</v>
      </c>
      <c r="K1792" s="5">
        <v>16</v>
      </c>
      <c r="L1792" s="5">
        <v>247.85543912610001</v>
      </c>
      <c r="M1792" s="5">
        <v>15556.036950340846</v>
      </c>
      <c r="N1792" s="5">
        <v>93.75</v>
      </c>
      <c r="O1792" s="5">
        <v>-2.501062445700029</v>
      </c>
      <c r="P1792" s="5">
        <v>-156.973032173908</v>
      </c>
      <c r="Q1792" s="5">
        <v>-1.0090811218500517</v>
      </c>
    </row>
    <row r="1793" spans="1:17" x14ac:dyDescent="0.2">
      <c r="A1793" s="4" t="s">
        <v>82</v>
      </c>
      <c r="B1793" s="4">
        <v>2015</v>
      </c>
      <c r="C1793" s="4" t="s">
        <v>98</v>
      </c>
      <c r="D1793" s="4">
        <v>4</v>
      </c>
      <c r="E1793" s="4">
        <v>3</v>
      </c>
      <c r="F1793" s="4">
        <v>1</v>
      </c>
      <c r="G1793" s="6" t="str">
        <f t="shared" si="58"/>
        <v>31</v>
      </c>
      <c r="H1793" s="5">
        <v>0.5</v>
      </c>
      <c r="I1793" s="5">
        <v>260.80444147919997</v>
      </c>
      <c r="J1793" s="5">
        <v>16368.749230471161</v>
      </c>
      <c r="K1793" s="5">
        <v>8.5</v>
      </c>
      <c r="L1793" s="5">
        <v>244.89677050380001</v>
      </c>
      <c r="M1793" s="5">
        <v>15370.343392133729</v>
      </c>
      <c r="N1793" s="5">
        <v>94.117647058823522</v>
      </c>
      <c r="O1793" s="5">
        <v>15.907670975399952</v>
      </c>
      <c r="P1793" s="5">
        <v>998.40583833743221</v>
      </c>
      <c r="Q1793" s="5">
        <v>6.4956638434532223</v>
      </c>
    </row>
    <row r="1794" spans="1:17" x14ac:dyDescent="0.2">
      <c r="A1794" s="4" t="s">
        <v>82</v>
      </c>
      <c r="B1794" s="4">
        <v>2015</v>
      </c>
      <c r="C1794" s="4" t="s">
        <v>98</v>
      </c>
      <c r="D1794" s="4">
        <v>1</v>
      </c>
      <c r="E1794" s="4">
        <v>4</v>
      </c>
      <c r="F1794" s="4">
        <v>1</v>
      </c>
      <c r="G1794" s="6" t="str">
        <f t="shared" ref="G1794:G1857" si="59">E1794&amp;F1794</f>
        <v>41</v>
      </c>
      <c r="H1794" s="5">
        <v>3</v>
      </c>
      <c r="I1794" s="5">
        <v>231.06444675</v>
      </c>
      <c r="J1794" s="5">
        <v>14502.191617123795</v>
      </c>
      <c r="K1794" s="5">
        <v>30.1</v>
      </c>
      <c r="L1794" s="5">
        <v>240.41580175980002</v>
      </c>
      <c r="M1794" s="5">
        <v>15089.106411413195</v>
      </c>
      <c r="N1794" s="5">
        <v>90.033222591362133</v>
      </c>
      <c r="O1794" s="5">
        <v>-9.3513550098000167</v>
      </c>
      <c r="P1794" s="5">
        <v>-586.91479428939965</v>
      </c>
      <c r="Q1794" s="5">
        <v>-3.8896590579112442</v>
      </c>
    </row>
    <row r="1795" spans="1:17" x14ac:dyDescent="0.2">
      <c r="A1795" s="4" t="s">
        <v>82</v>
      </c>
      <c r="B1795" s="4">
        <v>2015</v>
      </c>
      <c r="C1795" s="4" t="s">
        <v>98</v>
      </c>
      <c r="D1795" s="4">
        <v>2</v>
      </c>
      <c r="E1795" s="4">
        <v>4</v>
      </c>
      <c r="F1795" s="4">
        <v>1</v>
      </c>
      <c r="G1795" s="6" t="str">
        <f t="shared" si="59"/>
        <v>41</v>
      </c>
      <c r="H1795" s="5">
        <v>6</v>
      </c>
      <c r="I1795" s="5">
        <v>242.82397455839998</v>
      </c>
      <c r="J1795" s="5">
        <v>15240.24945338117</v>
      </c>
      <c r="K1795" s="5">
        <v>15</v>
      </c>
      <c r="L1795" s="5">
        <v>242.6373834945</v>
      </c>
      <c r="M1795" s="5">
        <v>15228.538524240919</v>
      </c>
      <c r="N1795" s="5">
        <v>60</v>
      </c>
      <c r="O1795" s="5">
        <v>0.18659106389998215</v>
      </c>
      <c r="P1795" s="5">
        <v>11.7109291402503</v>
      </c>
      <c r="Q1795" s="5">
        <v>7.6901201790367094E-2</v>
      </c>
    </row>
    <row r="1796" spans="1:17" x14ac:dyDescent="0.2">
      <c r="A1796" s="4" t="s">
        <v>82</v>
      </c>
      <c r="B1796" s="4">
        <v>2015</v>
      </c>
      <c r="C1796" s="4" t="s">
        <v>98</v>
      </c>
      <c r="D1796" s="4">
        <v>3</v>
      </c>
      <c r="E1796" s="4">
        <v>4</v>
      </c>
      <c r="F1796" s="4">
        <v>1</v>
      </c>
      <c r="G1796" s="6" t="str">
        <f t="shared" si="59"/>
        <v>41</v>
      </c>
      <c r="H1796" s="5">
        <v>1</v>
      </c>
      <c r="I1796" s="5">
        <v>262.05526261979998</v>
      </c>
      <c r="J1796" s="5">
        <v>16447.253942532541</v>
      </c>
      <c r="K1796" s="5">
        <v>16</v>
      </c>
      <c r="L1796" s="5">
        <v>247.85543912610001</v>
      </c>
      <c r="M1796" s="5">
        <v>15556.036950340846</v>
      </c>
      <c r="N1796" s="5">
        <v>93.75</v>
      </c>
      <c r="O1796" s="5">
        <v>14.199823493699967</v>
      </c>
      <c r="P1796" s="5">
        <v>891.21699219169568</v>
      </c>
      <c r="Q1796" s="5">
        <v>5.729074796085313</v>
      </c>
    </row>
    <row r="1797" spans="1:17" x14ac:dyDescent="0.2">
      <c r="A1797" s="4" t="s">
        <v>82</v>
      </c>
      <c r="B1797" s="4">
        <v>2015</v>
      </c>
      <c r="C1797" s="4" t="s">
        <v>98</v>
      </c>
      <c r="D1797" s="4">
        <v>4</v>
      </c>
      <c r="E1797" s="4">
        <v>4</v>
      </c>
      <c r="F1797" s="4">
        <v>1</v>
      </c>
      <c r="G1797" s="6" t="str">
        <f t="shared" si="59"/>
        <v>41</v>
      </c>
      <c r="H1797" s="5">
        <v>0.5</v>
      </c>
      <c r="I1797" s="5">
        <v>242.27707371479997</v>
      </c>
      <c r="J1797" s="5">
        <v>15205.924567224905</v>
      </c>
      <c r="K1797" s="5">
        <v>8.5</v>
      </c>
      <c r="L1797" s="5">
        <v>244.89677050380001</v>
      </c>
      <c r="M1797" s="5">
        <v>15370.343392133729</v>
      </c>
      <c r="N1797" s="5">
        <v>94.117647058823522</v>
      </c>
      <c r="O1797" s="5">
        <v>-2.6196967890000451</v>
      </c>
      <c r="P1797" s="5">
        <v>-164.41882490882381</v>
      </c>
      <c r="Q1797" s="5">
        <v>-1.0697147143307837</v>
      </c>
    </row>
    <row r="1798" spans="1:17" x14ac:dyDescent="0.2">
      <c r="A1798" s="4" t="s">
        <v>82</v>
      </c>
      <c r="B1798" s="4">
        <v>2015</v>
      </c>
      <c r="C1798" s="4" t="s">
        <v>98</v>
      </c>
      <c r="D1798" s="4">
        <v>1</v>
      </c>
      <c r="E1798" s="4">
        <v>6</v>
      </c>
      <c r="F1798" s="4">
        <v>1</v>
      </c>
      <c r="G1798" s="6" t="str">
        <f t="shared" si="59"/>
        <v>61</v>
      </c>
      <c r="H1798" s="5">
        <v>5.1999999999999993</v>
      </c>
      <c r="I1798" s="5">
        <v>223.80421048740001</v>
      </c>
      <c r="J1798" s="5">
        <v>14046.520747170645</v>
      </c>
      <c r="K1798" s="5">
        <v>30.1</v>
      </c>
      <c r="L1798" s="5">
        <v>240.41580175980002</v>
      </c>
      <c r="M1798" s="5">
        <v>15089.106411413195</v>
      </c>
      <c r="N1798" s="5">
        <v>82.724252491694344</v>
      </c>
      <c r="O1798" s="5">
        <v>-16.611591272400005</v>
      </c>
      <c r="P1798" s="5">
        <v>-1042.5856642425497</v>
      </c>
      <c r="Q1798" s="5">
        <v>-6.9095255598035425</v>
      </c>
    </row>
    <row r="1799" spans="1:17" x14ac:dyDescent="0.2">
      <c r="A1799" s="4" t="s">
        <v>82</v>
      </c>
      <c r="B1799" s="4">
        <v>2015</v>
      </c>
      <c r="C1799" s="4" t="s">
        <v>98</v>
      </c>
      <c r="D1799" s="4">
        <v>2</v>
      </c>
      <c r="E1799" s="4">
        <v>6</v>
      </c>
      <c r="F1799" s="4">
        <v>1</v>
      </c>
      <c r="G1799" s="6" t="str">
        <f t="shared" si="59"/>
        <v>61</v>
      </c>
      <c r="H1799" s="5">
        <v>10</v>
      </c>
      <c r="I1799" s="5">
        <v>247.13702294160001</v>
      </c>
      <c r="J1799" s="5">
        <v>15510.947325714456</v>
      </c>
      <c r="K1799" s="5">
        <v>15</v>
      </c>
      <c r="L1799" s="5">
        <v>242.6373834945</v>
      </c>
      <c r="M1799" s="5">
        <v>15228.538524240919</v>
      </c>
      <c r="N1799" s="5">
        <v>33.333333333333329</v>
      </c>
      <c r="O1799" s="5">
        <v>4.4996394471000087</v>
      </c>
      <c r="P1799" s="5">
        <v>282.4088014735371</v>
      </c>
      <c r="Q1799" s="5">
        <v>1.8544708083707202</v>
      </c>
    </row>
    <row r="1800" spans="1:17" x14ac:dyDescent="0.2">
      <c r="A1800" s="4" t="s">
        <v>82</v>
      </c>
      <c r="B1800" s="4">
        <v>2015</v>
      </c>
      <c r="C1800" s="4" t="s">
        <v>98</v>
      </c>
      <c r="D1800" s="4">
        <v>3</v>
      </c>
      <c r="E1800" s="4">
        <v>6</v>
      </c>
      <c r="F1800" s="4">
        <v>1</v>
      </c>
      <c r="G1800" s="6" t="str">
        <f t="shared" si="59"/>
        <v>61</v>
      </c>
      <c r="H1800" s="5">
        <v>2</v>
      </c>
      <c r="I1800" s="5">
        <v>250.68816747779996</v>
      </c>
      <c r="J1800" s="5">
        <v>15733.826177257522</v>
      </c>
      <c r="K1800" s="5">
        <v>16</v>
      </c>
      <c r="L1800" s="5">
        <v>247.85543912610001</v>
      </c>
      <c r="M1800" s="5">
        <v>15556.036950340846</v>
      </c>
      <c r="N1800" s="5">
        <v>87.5</v>
      </c>
      <c r="O1800" s="5">
        <v>2.8327283516999557</v>
      </c>
      <c r="P1800" s="5">
        <v>177.78922691667685</v>
      </c>
      <c r="Q1800" s="5">
        <v>1.1428953755010292</v>
      </c>
    </row>
    <row r="1801" spans="1:17" x14ac:dyDescent="0.2">
      <c r="A1801" s="4" t="s">
        <v>82</v>
      </c>
      <c r="B1801" s="4">
        <v>2015</v>
      </c>
      <c r="C1801" s="4" t="s">
        <v>98</v>
      </c>
      <c r="D1801" s="4">
        <v>4</v>
      </c>
      <c r="E1801" s="4">
        <v>6</v>
      </c>
      <c r="F1801" s="4">
        <v>1</v>
      </c>
      <c r="G1801" s="6" t="str">
        <f t="shared" si="59"/>
        <v>61</v>
      </c>
      <c r="H1801" s="5">
        <v>0.5</v>
      </c>
      <c r="I1801" s="5">
        <v>254.22493209359996</v>
      </c>
      <c r="J1801" s="5">
        <v>15955.802508469085</v>
      </c>
      <c r="K1801" s="5">
        <v>8.5</v>
      </c>
      <c r="L1801" s="5">
        <v>244.89677050380001</v>
      </c>
      <c r="M1801" s="5">
        <v>15370.343392133729</v>
      </c>
      <c r="N1801" s="5">
        <v>94.117647058823522</v>
      </c>
      <c r="O1801" s="5">
        <v>9.3281615897999473</v>
      </c>
      <c r="P1801" s="5">
        <v>585.45911633535616</v>
      </c>
      <c r="Q1801" s="5">
        <v>3.8090178039547498</v>
      </c>
    </row>
    <row r="1802" spans="1:17" x14ac:dyDescent="0.2">
      <c r="A1802" s="4" t="s">
        <v>82</v>
      </c>
      <c r="B1802" s="4">
        <v>2015</v>
      </c>
      <c r="C1802" s="4" t="s">
        <v>98</v>
      </c>
      <c r="D1802" s="4">
        <v>1</v>
      </c>
      <c r="E1802" s="4">
        <v>7</v>
      </c>
      <c r="F1802" s="4">
        <v>2</v>
      </c>
      <c r="G1802" s="6" t="str">
        <f t="shared" si="59"/>
        <v>72</v>
      </c>
      <c r="H1802" s="5">
        <v>10.1</v>
      </c>
      <c r="I1802" s="5">
        <v>238.56960552780004</v>
      </c>
      <c r="J1802" s="5">
        <v>14973.23444627161</v>
      </c>
      <c r="K1802" s="5">
        <v>30.1</v>
      </c>
      <c r="L1802" s="5">
        <v>240.41580175980002</v>
      </c>
      <c r="M1802" s="5">
        <v>15089.106411413195</v>
      </c>
      <c r="N1802" s="5">
        <v>66.44518272425249</v>
      </c>
      <c r="O1802" s="5">
        <v>-1.8461962319999827</v>
      </c>
      <c r="P1802" s="5">
        <v>-115.87196514158495</v>
      </c>
      <c r="Q1802" s="5">
        <v>-0.76791800642310393</v>
      </c>
    </row>
    <row r="1803" spans="1:17" x14ac:dyDescent="0.2">
      <c r="A1803" s="4" t="s">
        <v>82</v>
      </c>
      <c r="B1803" s="4">
        <v>2015</v>
      </c>
      <c r="C1803" s="4" t="s">
        <v>98</v>
      </c>
      <c r="D1803" s="4">
        <v>2</v>
      </c>
      <c r="E1803" s="4">
        <v>7</v>
      </c>
      <c r="F1803" s="4">
        <v>2</v>
      </c>
      <c r="G1803" s="6" t="str">
        <f t="shared" si="59"/>
        <v>72</v>
      </c>
      <c r="H1803" s="5">
        <v>5</v>
      </c>
      <c r="I1803" s="5">
        <v>236.97992852099998</v>
      </c>
      <c r="J1803" s="5">
        <v>14873.462279301702</v>
      </c>
      <c r="K1803" s="5">
        <v>15</v>
      </c>
      <c r="L1803" s="5">
        <v>242.6373834945</v>
      </c>
      <c r="M1803" s="5">
        <v>15228.538524240919</v>
      </c>
      <c r="N1803" s="5">
        <v>66.666666666666657</v>
      </c>
      <c r="O1803" s="5">
        <v>-5.6574549735000232</v>
      </c>
      <c r="P1803" s="5">
        <v>-355.07624493921685</v>
      </c>
      <c r="Q1803" s="5">
        <v>-2.3316501736132027</v>
      </c>
    </row>
    <row r="1804" spans="1:17" x14ac:dyDescent="0.2">
      <c r="A1804" s="4" t="s">
        <v>82</v>
      </c>
      <c r="B1804" s="4">
        <v>2015</v>
      </c>
      <c r="C1804" s="4" t="s">
        <v>98</v>
      </c>
      <c r="D1804" s="4">
        <v>3</v>
      </c>
      <c r="E1804" s="4">
        <v>7</v>
      </c>
      <c r="F1804" s="4">
        <v>2</v>
      </c>
      <c r="G1804" s="6" t="str">
        <f t="shared" si="59"/>
        <v>72</v>
      </c>
      <c r="H1804" s="5">
        <v>26</v>
      </c>
      <c r="I1804" s="5">
        <v>249.32207503979998</v>
      </c>
      <c r="J1804" s="5">
        <v>15648.086745764565</v>
      </c>
      <c r="K1804" s="5">
        <v>16</v>
      </c>
      <c r="L1804" s="5">
        <v>247.85543912610001</v>
      </c>
      <c r="M1804" s="5">
        <v>15556.036950340846</v>
      </c>
      <c r="N1804" s="5">
        <v>-62.5</v>
      </c>
      <c r="O1804" s="5">
        <v>1.4666359136999745</v>
      </c>
      <c r="P1804" s="5">
        <v>92.049795423719843</v>
      </c>
      <c r="Q1804" s="5">
        <v>0.59173037270076012</v>
      </c>
    </row>
    <row r="1805" spans="1:17" x14ac:dyDescent="0.2">
      <c r="A1805" s="4" t="s">
        <v>82</v>
      </c>
      <c r="B1805" s="4">
        <v>2015</v>
      </c>
      <c r="C1805" s="4" t="s">
        <v>98</v>
      </c>
      <c r="D1805" s="4">
        <v>4</v>
      </c>
      <c r="E1805" s="4">
        <v>7</v>
      </c>
      <c r="F1805" s="4">
        <v>2</v>
      </c>
      <c r="G1805" s="6" t="str">
        <f t="shared" si="59"/>
        <v>72</v>
      </c>
      <c r="H1805" s="5">
        <v>5</v>
      </c>
      <c r="I1805" s="5">
        <v>253.57969114919996</v>
      </c>
      <c r="J1805" s="5">
        <v>15915.305547787691</v>
      </c>
      <c r="K1805" s="5">
        <v>8.5</v>
      </c>
      <c r="L1805" s="5">
        <v>244.89677050380001</v>
      </c>
      <c r="M1805" s="5">
        <v>15370.343392133729</v>
      </c>
      <c r="N1805" s="5">
        <v>41.17647058823529</v>
      </c>
      <c r="O1805" s="5">
        <v>8.6829206453999461</v>
      </c>
      <c r="P1805" s="5">
        <v>544.96215565396233</v>
      </c>
      <c r="Q1805" s="5">
        <v>3.5455431394777062</v>
      </c>
    </row>
    <row r="1806" spans="1:17" x14ac:dyDescent="0.2">
      <c r="A1806" s="4" t="s">
        <v>82</v>
      </c>
      <c r="B1806" s="4">
        <v>2015</v>
      </c>
      <c r="C1806" s="4" t="s">
        <v>98</v>
      </c>
      <c r="D1806" s="4">
        <v>1</v>
      </c>
      <c r="E1806" s="4">
        <v>8</v>
      </c>
      <c r="F1806" s="4">
        <v>2</v>
      </c>
      <c r="G1806" s="6" t="str">
        <f t="shared" si="59"/>
        <v>82</v>
      </c>
      <c r="H1806" s="5">
        <v>9.1</v>
      </c>
      <c r="I1806" s="5">
        <v>227.49034072799998</v>
      </c>
      <c r="J1806" s="5">
        <v>14277.871644406225</v>
      </c>
      <c r="K1806" s="5">
        <v>30.1</v>
      </c>
      <c r="L1806" s="5">
        <v>240.41580175980002</v>
      </c>
      <c r="M1806" s="5">
        <v>15089.106411413195</v>
      </c>
      <c r="N1806" s="5">
        <v>69.767441860465112</v>
      </c>
      <c r="O1806" s="5">
        <v>-12.92546103180004</v>
      </c>
      <c r="P1806" s="5">
        <v>-811.23476700697029</v>
      </c>
      <c r="Q1806" s="5">
        <v>-5.3762942939640439</v>
      </c>
    </row>
    <row r="1807" spans="1:17" x14ac:dyDescent="0.2">
      <c r="A1807" s="4" t="s">
        <v>82</v>
      </c>
      <c r="B1807" s="4">
        <v>2015</v>
      </c>
      <c r="C1807" s="4" t="s">
        <v>98</v>
      </c>
      <c r="D1807" s="4">
        <v>2</v>
      </c>
      <c r="E1807" s="4">
        <v>8</v>
      </c>
      <c r="F1807" s="4">
        <v>2</v>
      </c>
      <c r="G1807" s="6" t="str">
        <f t="shared" si="59"/>
        <v>82</v>
      </c>
      <c r="H1807" s="5">
        <v>5</v>
      </c>
      <c r="I1807" s="5">
        <v>246.07522817399999</v>
      </c>
      <c r="J1807" s="5">
        <v>15444.306388978503</v>
      </c>
      <c r="K1807" s="5">
        <v>15</v>
      </c>
      <c r="L1807" s="5">
        <v>242.6373834945</v>
      </c>
      <c r="M1807" s="5">
        <v>15228.538524240919</v>
      </c>
      <c r="N1807" s="5">
        <v>66.666666666666657</v>
      </c>
      <c r="O1807" s="5">
        <v>3.4378446794999888</v>
      </c>
      <c r="P1807" s="5">
        <v>215.7678647375833</v>
      </c>
      <c r="Q1807" s="5">
        <v>1.4168652126014729</v>
      </c>
    </row>
    <row r="1808" spans="1:17" x14ac:dyDescent="0.2">
      <c r="A1808" s="4" t="s">
        <v>82</v>
      </c>
      <c r="B1808" s="4">
        <v>2015</v>
      </c>
      <c r="C1808" s="4" t="s">
        <v>98</v>
      </c>
      <c r="D1808" s="4">
        <v>3</v>
      </c>
      <c r="E1808" s="4">
        <v>8</v>
      </c>
      <c r="F1808" s="4">
        <v>2</v>
      </c>
      <c r="G1808" s="6" t="str">
        <f t="shared" si="59"/>
        <v>82</v>
      </c>
      <c r="H1808" s="5">
        <v>15</v>
      </c>
      <c r="I1808" s="5">
        <v>249.05767005179999</v>
      </c>
      <c r="J1808" s="5">
        <v>15631.492017088509</v>
      </c>
      <c r="K1808" s="5">
        <v>16</v>
      </c>
      <c r="L1808" s="5">
        <v>247.85543912610001</v>
      </c>
      <c r="M1808" s="5">
        <v>15556.036950340846</v>
      </c>
      <c r="N1808" s="5">
        <v>6.25</v>
      </c>
      <c r="O1808" s="5">
        <v>1.202230925699979</v>
      </c>
      <c r="P1808" s="5">
        <v>75.455066747663295</v>
      </c>
      <c r="Q1808" s="5">
        <v>0.48505327538457671</v>
      </c>
    </row>
    <row r="1809" spans="1:17" x14ac:dyDescent="0.2">
      <c r="A1809" s="4" t="s">
        <v>82</v>
      </c>
      <c r="B1809" s="4">
        <v>2015</v>
      </c>
      <c r="C1809" s="4" t="s">
        <v>98</v>
      </c>
      <c r="D1809" s="4">
        <v>4</v>
      </c>
      <c r="E1809" s="4">
        <v>8</v>
      </c>
      <c r="F1809" s="4">
        <v>2</v>
      </c>
      <c r="G1809" s="6" t="str">
        <f t="shared" si="59"/>
        <v>82</v>
      </c>
      <c r="H1809" s="5">
        <v>9</v>
      </c>
      <c r="I1809" s="5">
        <v>240.5074157688</v>
      </c>
      <c r="J1809" s="5">
        <v>15094.856339331653</v>
      </c>
      <c r="K1809" s="5">
        <v>8.5</v>
      </c>
      <c r="L1809" s="5">
        <v>244.89677050380001</v>
      </c>
      <c r="M1809" s="5">
        <v>15370.343392133729</v>
      </c>
      <c r="N1809" s="5">
        <v>-5.8823529411764701</v>
      </c>
      <c r="O1809" s="5">
        <v>-4.3893547350000119</v>
      </c>
      <c r="P1809" s="5">
        <v>-275.48705280207651</v>
      </c>
      <c r="Q1809" s="5">
        <v>-1.7923285496865733</v>
      </c>
    </row>
    <row r="1810" spans="1:17" x14ac:dyDescent="0.2">
      <c r="A1810" s="4" t="s">
        <v>82</v>
      </c>
      <c r="B1810" s="4">
        <v>2015</v>
      </c>
      <c r="C1810" s="4" t="s">
        <v>98</v>
      </c>
      <c r="D1810" s="4">
        <v>1</v>
      </c>
      <c r="E1810" s="4">
        <v>9</v>
      </c>
      <c r="F1810" s="4">
        <v>2</v>
      </c>
      <c r="G1810" s="6" t="str">
        <f t="shared" si="59"/>
        <v>92</v>
      </c>
      <c r="H1810" s="5">
        <v>5.0999999999999996</v>
      </c>
      <c r="I1810" s="5">
        <v>238.4438971914</v>
      </c>
      <c r="J1810" s="5">
        <v>14965.344671760711</v>
      </c>
      <c r="K1810" s="5">
        <v>30.1</v>
      </c>
      <c r="L1810" s="5">
        <v>240.41580175980002</v>
      </c>
      <c r="M1810" s="5">
        <v>15089.106411413195</v>
      </c>
      <c r="N1810" s="5">
        <v>83.056478405315616</v>
      </c>
      <c r="O1810" s="5">
        <v>-1.9719045684000207</v>
      </c>
      <c r="P1810" s="5">
        <v>-123.76173965248381</v>
      </c>
      <c r="Q1810" s="5">
        <v>-0.82020589078006712</v>
      </c>
    </row>
    <row r="1811" spans="1:17" x14ac:dyDescent="0.2">
      <c r="A1811" s="4" t="s">
        <v>82</v>
      </c>
      <c r="B1811" s="4">
        <v>2015</v>
      </c>
      <c r="C1811" s="4" t="s">
        <v>98</v>
      </c>
      <c r="D1811" s="4">
        <v>2</v>
      </c>
      <c r="E1811" s="4">
        <v>9</v>
      </c>
      <c r="F1811" s="4">
        <v>2</v>
      </c>
      <c r="G1811" s="6" t="str">
        <f t="shared" si="59"/>
        <v>92</v>
      </c>
      <c r="H1811" s="5">
        <v>5</v>
      </c>
      <c r="I1811" s="5">
        <v>244.42617601200001</v>
      </c>
      <c r="J1811" s="5">
        <v>15340.807686446256</v>
      </c>
      <c r="K1811" s="5">
        <v>15</v>
      </c>
      <c r="L1811" s="5">
        <v>242.6373834945</v>
      </c>
      <c r="M1811" s="5">
        <v>15228.538524240919</v>
      </c>
      <c r="N1811" s="5">
        <v>66.666666666666657</v>
      </c>
      <c r="O1811" s="5">
        <v>1.7887925175000134</v>
      </c>
      <c r="P1811" s="5">
        <v>112.26916220533712</v>
      </c>
      <c r="Q1811" s="5">
        <v>0.73722873686549828</v>
      </c>
    </row>
    <row r="1812" spans="1:17" x14ac:dyDescent="0.2">
      <c r="A1812" s="4" t="s">
        <v>82</v>
      </c>
      <c r="B1812" s="4">
        <v>2015</v>
      </c>
      <c r="C1812" s="4" t="s">
        <v>98</v>
      </c>
      <c r="D1812" s="4">
        <v>3</v>
      </c>
      <c r="E1812" s="4">
        <v>9</v>
      </c>
      <c r="F1812" s="4">
        <v>2</v>
      </c>
      <c r="G1812" s="6" t="str">
        <f t="shared" si="59"/>
        <v>92</v>
      </c>
      <c r="H1812" s="5">
        <v>10</v>
      </c>
      <c r="I1812" s="5">
        <v>225.99668448</v>
      </c>
      <c r="J1812" s="5">
        <v>14184.125984166049</v>
      </c>
      <c r="K1812" s="5">
        <v>16</v>
      </c>
      <c r="L1812" s="5">
        <v>247.85543912610001</v>
      </c>
      <c r="M1812" s="5">
        <v>15556.036950340846</v>
      </c>
      <c r="N1812" s="5">
        <v>37.5</v>
      </c>
      <c r="O1812" s="5">
        <v>-21.85875464610001</v>
      </c>
      <c r="P1812" s="5">
        <v>-1371.9109661747971</v>
      </c>
      <c r="Q1812" s="5">
        <v>-8.8191547150107361</v>
      </c>
    </row>
    <row r="1813" spans="1:17" x14ac:dyDescent="0.2">
      <c r="A1813" s="4" t="s">
        <v>82</v>
      </c>
      <c r="B1813" s="4">
        <v>2015</v>
      </c>
      <c r="C1813" s="4" t="s">
        <v>98</v>
      </c>
      <c r="D1813" s="4">
        <v>4</v>
      </c>
      <c r="E1813" s="4">
        <v>9</v>
      </c>
      <c r="F1813" s="4">
        <v>2</v>
      </c>
      <c r="G1813" s="6" t="str">
        <f t="shared" si="59"/>
        <v>92</v>
      </c>
      <c r="H1813" s="5">
        <v>3</v>
      </c>
      <c r="I1813" s="5">
        <v>252.57077737920002</v>
      </c>
      <c r="J1813" s="5">
        <v>15851.983556786954</v>
      </c>
      <c r="K1813" s="5">
        <v>8.5</v>
      </c>
      <c r="L1813" s="5">
        <v>244.89677050380001</v>
      </c>
      <c r="M1813" s="5">
        <v>15370.343392133729</v>
      </c>
      <c r="N1813" s="5">
        <v>64.705882352941174</v>
      </c>
      <c r="O1813" s="5">
        <v>7.6740068754000106</v>
      </c>
      <c r="P1813" s="5">
        <v>481.64016465322493</v>
      </c>
      <c r="Q1813" s="5">
        <v>3.1335680170927076</v>
      </c>
    </row>
    <row r="1814" spans="1:17" x14ac:dyDescent="0.2">
      <c r="A1814" s="4" t="s">
        <v>82</v>
      </c>
      <c r="B1814" s="4">
        <v>2015</v>
      </c>
      <c r="C1814" s="4" t="s">
        <v>98</v>
      </c>
      <c r="D1814" s="4">
        <v>1</v>
      </c>
      <c r="E1814" s="4">
        <v>10</v>
      </c>
      <c r="F1814" s="4">
        <v>2</v>
      </c>
      <c r="G1814" s="6" t="str">
        <f t="shared" si="59"/>
        <v>102</v>
      </c>
      <c r="H1814" s="5">
        <v>20.2</v>
      </c>
      <c r="I1814" s="5">
        <v>247.1486196516</v>
      </c>
      <c r="J1814" s="5">
        <v>15511.675164691474</v>
      </c>
      <c r="K1814" s="5">
        <v>30.1</v>
      </c>
      <c r="L1814" s="5">
        <v>240.41580175980002</v>
      </c>
      <c r="M1814" s="5">
        <v>15089.106411413195</v>
      </c>
      <c r="N1814" s="5">
        <v>32.890365448504987</v>
      </c>
      <c r="O1814" s="5">
        <v>6.7328178917999821</v>
      </c>
      <c r="P1814" s="5">
        <v>422.56875327827947</v>
      </c>
      <c r="Q1814" s="5">
        <v>2.8004889206603658</v>
      </c>
    </row>
    <row r="1815" spans="1:17" x14ac:dyDescent="0.2">
      <c r="A1815" s="4" t="s">
        <v>82</v>
      </c>
      <c r="B1815" s="4">
        <v>2015</v>
      </c>
      <c r="C1815" s="4" t="s">
        <v>98</v>
      </c>
      <c r="D1815" s="4">
        <v>2</v>
      </c>
      <c r="E1815" s="4">
        <v>10</v>
      </c>
      <c r="F1815" s="4">
        <v>2</v>
      </c>
      <c r="G1815" s="6" t="str">
        <f t="shared" si="59"/>
        <v>102</v>
      </c>
      <c r="H1815" s="5">
        <v>25.5</v>
      </c>
      <c r="I1815" s="5">
        <v>248.1176407392</v>
      </c>
      <c r="J1815" s="5">
        <v>15572.493389611267</v>
      </c>
      <c r="K1815" s="5">
        <v>15</v>
      </c>
      <c r="L1815" s="5">
        <v>242.6373834945</v>
      </c>
      <c r="M1815" s="5">
        <v>15228.538524240919</v>
      </c>
      <c r="N1815" s="5">
        <v>-70</v>
      </c>
      <c r="O1815" s="5">
        <v>5.4802572446999989</v>
      </c>
      <c r="P1815" s="5">
        <v>343.95486537034776</v>
      </c>
      <c r="Q1815" s="5">
        <v>2.2586203188364884</v>
      </c>
    </row>
    <row r="1816" spans="1:17" x14ac:dyDescent="0.2">
      <c r="A1816" s="4" t="s">
        <v>82</v>
      </c>
      <c r="B1816" s="4">
        <v>2015</v>
      </c>
      <c r="C1816" s="4" t="s">
        <v>98</v>
      </c>
      <c r="D1816" s="4">
        <v>3</v>
      </c>
      <c r="E1816" s="4">
        <v>10</v>
      </c>
      <c r="F1816" s="4">
        <v>2</v>
      </c>
      <c r="G1816" s="6" t="str">
        <f t="shared" si="59"/>
        <v>102</v>
      </c>
      <c r="H1816" s="5">
        <v>2</v>
      </c>
      <c r="I1816" s="5">
        <v>252.10690897920003</v>
      </c>
      <c r="J1816" s="5">
        <v>15822.869997706155</v>
      </c>
      <c r="K1816" s="5">
        <v>16</v>
      </c>
      <c r="L1816" s="5">
        <v>247.85543912610001</v>
      </c>
      <c r="M1816" s="5">
        <v>15556.036950340846</v>
      </c>
      <c r="N1816" s="5">
        <v>87.5</v>
      </c>
      <c r="O1816" s="5">
        <v>4.2514698531000192</v>
      </c>
      <c r="P1816" s="5">
        <v>266.83304736530954</v>
      </c>
      <c r="Q1816" s="5">
        <v>1.715302221363411</v>
      </c>
    </row>
    <row r="1817" spans="1:17" x14ac:dyDescent="0.2">
      <c r="A1817" s="4" t="s">
        <v>82</v>
      </c>
      <c r="B1817" s="4">
        <v>2015</v>
      </c>
      <c r="C1817" s="4" t="s">
        <v>98</v>
      </c>
      <c r="D1817" s="4">
        <v>4</v>
      </c>
      <c r="E1817" s="4">
        <v>10</v>
      </c>
      <c r="F1817" s="4">
        <v>2</v>
      </c>
      <c r="G1817" s="6" t="str">
        <f t="shared" si="59"/>
        <v>102</v>
      </c>
      <c r="H1817" s="5">
        <v>5</v>
      </c>
      <c r="I1817" s="5">
        <v>242.76784648200001</v>
      </c>
      <c r="J1817" s="5">
        <v>15236.726712732394</v>
      </c>
      <c r="K1817" s="5">
        <v>8.5</v>
      </c>
      <c r="L1817" s="5">
        <v>244.89677050380001</v>
      </c>
      <c r="M1817" s="5">
        <v>15370.343392133729</v>
      </c>
      <c r="N1817" s="5">
        <v>41.17647058823529</v>
      </c>
      <c r="O1817" s="5">
        <v>-2.1289240218000032</v>
      </c>
      <c r="P1817" s="5">
        <v>-133.6166794013352</v>
      </c>
      <c r="Q1817" s="5">
        <v>-0.86931486169474825</v>
      </c>
    </row>
    <row r="1818" spans="1:17" x14ac:dyDescent="0.2">
      <c r="A1818" s="4" t="s">
        <v>82</v>
      </c>
      <c r="B1818" s="4">
        <v>2015</v>
      </c>
      <c r="C1818" s="4" t="s">
        <v>98</v>
      </c>
      <c r="D1818" s="4">
        <v>1</v>
      </c>
      <c r="E1818" s="4">
        <v>11</v>
      </c>
      <c r="F1818" s="4">
        <v>2</v>
      </c>
      <c r="G1818" s="6" t="str">
        <f t="shared" si="59"/>
        <v>112</v>
      </c>
      <c r="H1818" s="5">
        <v>25.1</v>
      </c>
      <c r="I1818" s="5">
        <v>267.50339697779998</v>
      </c>
      <c r="J1818" s="5">
        <v>16789.192693936544</v>
      </c>
      <c r="K1818" s="5">
        <v>30.1</v>
      </c>
      <c r="L1818" s="5">
        <v>240.41580175980002</v>
      </c>
      <c r="M1818" s="5">
        <v>15089.106411413195</v>
      </c>
      <c r="N1818" s="5">
        <v>16.611295681063122</v>
      </c>
      <c r="O1818" s="5">
        <v>27.087595217999962</v>
      </c>
      <c r="P1818" s="5">
        <v>1700.0862825233489</v>
      </c>
      <c r="Q1818" s="5">
        <v>11.266977885697901</v>
      </c>
    </row>
    <row r="1819" spans="1:17" x14ac:dyDescent="0.2">
      <c r="A1819" s="4" t="s">
        <v>82</v>
      </c>
      <c r="B1819" s="4">
        <v>2015</v>
      </c>
      <c r="C1819" s="4" t="s">
        <v>98</v>
      </c>
      <c r="D1819" s="4">
        <v>2</v>
      </c>
      <c r="E1819" s="4">
        <v>11</v>
      </c>
      <c r="F1819" s="4">
        <v>2</v>
      </c>
      <c r="G1819" s="6" t="str">
        <f t="shared" si="59"/>
        <v>112</v>
      </c>
      <c r="H1819" s="5">
        <v>10</v>
      </c>
      <c r="I1819" s="5">
        <v>238.73311913879999</v>
      </c>
      <c r="J1819" s="5">
        <v>14983.496975847591</v>
      </c>
      <c r="K1819" s="5">
        <v>15</v>
      </c>
      <c r="L1819" s="5">
        <v>242.6373834945</v>
      </c>
      <c r="M1819" s="5">
        <v>15228.538524240919</v>
      </c>
      <c r="N1819" s="5">
        <v>33.333333333333329</v>
      </c>
      <c r="O1819" s="5">
        <v>-3.9042643557000076</v>
      </c>
      <c r="P1819" s="5">
        <v>-245.04154839332841</v>
      </c>
      <c r="Q1819" s="5">
        <v>-1.6090943198736316</v>
      </c>
    </row>
    <row r="1820" spans="1:17" x14ac:dyDescent="0.2">
      <c r="A1820" s="4" t="s">
        <v>82</v>
      </c>
      <c r="B1820" s="4">
        <v>2015</v>
      </c>
      <c r="C1820" s="4" t="s">
        <v>98</v>
      </c>
      <c r="D1820" s="4">
        <v>3</v>
      </c>
      <c r="E1820" s="4">
        <v>11</v>
      </c>
      <c r="F1820" s="4">
        <v>2</v>
      </c>
      <c r="G1820" s="6" t="str">
        <f t="shared" si="59"/>
        <v>112</v>
      </c>
      <c r="H1820" s="5">
        <v>4</v>
      </c>
      <c r="I1820" s="5">
        <v>231.74494169279996</v>
      </c>
      <c r="J1820" s="5">
        <v>14544.901208295327</v>
      </c>
      <c r="K1820" s="5">
        <v>16</v>
      </c>
      <c r="L1820" s="5">
        <v>247.85543912610001</v>
      </c>
      <c r="M1820" s="5">
        <v>15556.036950340846</v>
      </c>
      <c r="N1820" s="5">
        <v>75</v>
      </c>
      <c r="O1820" s="5">
        <v>-16.110497433300054</v>
      </c>
      <c r="P1820" s="5">
        <v>-1011.1357420455188</v>
      </c>
      <c r="Q1820" s="5">
        <v>-6.4999571887964942</v>
      </c>
    </row>
    <row r="1821" spans="1:17" x14ac:dyDescent="0.2">
      <c r="A1821" s="4" t="s">
        <v>82</v>
      </c>
      <c r="B1821" s="4">
        <v>2015</v>
      </c>
      <c r="C1821" s="4" t="s">
        <v>98</v>
      </c>
      <c r="D1821" s="4">
        <v>4</v>
      </c>
      <c r="E1821" s="4">
        <v>11</v>
      </c>
      <c r="F1821" s="4">
        <v>2</v>
      </c>
      <c r="G1821" s="6" t="str">
        <f t="shared" si="59"/>
        <v>112</v>
      </c>
      <c r="H1821" s="5">
        <v>3</v>
      </c>
      <c r="I1821" s="5">
        <v>240.17203891560001</v>
      </c>
      <c r="J1821" s="5">
        <v>15073.807236116234</v>
      </c>
      <c r="K1821" s="5">
        <v>8.5</v>
      </c>
      <c r="L1821" s="5">
        <v>244.89677050380001</v>
      </c>
      <c r="M1821" s="5">
        <v>15370.343392133729</v>
      </c>
      <c r="N1821" s="5">
        <v>64.705882352941174</v>
      </c>
      <c r="O1821" s="5">
        <v>-4.7247315882000009</v>
      </c>
      <c r="P1821" s="5">
        <v>-296.53615601749516</v>
      </c>
      <c r="Q1821" s="5">
        <v>-1.9292747627828351</v>
      </c>
    </row>
    <row r="1822" spans="1:17" x14ac:dyDescent="0.2">
      <c r="A1822" s="4" t="s">
        <v>82</v>
      </c>
      <c r="B1822" s="4">
        <v>2015</v>
      </c>
      <c r="C1822" s="4" t="s">
        <v>98</v>
      </c>
      <c r="D1822" s="4">
        <v>1</v>
      </c>
      <c r="E1822" s="4">
        <v>15</v>
      </c>
      <c r="F1822" s="4">
        <v>3</v>
      </c>
      <c r="G1822" s="6" t="str">
        <f t="shared" si="59"/>
        <v>153</v>
      </c>
      <c r="H1822" s="5">
        <v>2.1</v>
      </c>
      <c r="I1822" s="5">
        <v>242.960351868</v>
      </c>
      <c r="J1822" s="5">
        <v>15248.808839750927</v>
      </c>
      <c r="K1822" s="5">
        <v>30.1</v>
      </c>
      <c r="L1822" s="5">
        <v>240.41580175980002</v>
      </c>
      <c r="M1822" s="5">
        <v>15089.106411413195</v>
      </c>
      <c r="N1822" s="5">
        <v>93.023255813953483</v>
      </c>
      <c r="O1822" s="5">
        <v>2.5445501081999851</v>
      </c>
      <c r="P1822" s="5">
        <v>159.70242833773227</v>
      </c>
      <c r="Q1822" s="5">
        <v>1.0583955337271367</v>
      </c>
    </row>
    <row r="1823" spans="1:17" x14ac:dyDescent="0.2">
      <c r="A1823" s="4" t="s">
        <v>82</v>
      </c>
      <c r="B1823" s="4">
        <v>2015</v>
      </c>
      <c r="C1823" s="4" t="s">
        <v>98</v>
      </c>
      <c r="D1823" s="4">
        <v>2</v>
      </c>
      <c r="E1823" s="4">
        <v>15</v>
      </c>
      <c r="F1823" s="4">
        <v>3</v>
      </c>
      <c r="G1823" s="6" t="str">
        <f t="shared" si="59"/>
        <v>153</v>
      </c>
      <c r="H1823" s="5">
        <v>0.3</v>
      </c>
      <c r="I1823" s="5">
        <v>246.7835552208</v>
      </c>
      <c r="J1823" s="5">
        <v>15488.762793694885</v>
      </c>
      <c r="K1823" s="5">
        <v>15</v>
      </c>
      <c r="L1823" s="5">
        <v>242.6373834945</v>
      </c>
      <c r="M1823" s="5">
        <v>15228.538524240919</v>
      </c>
      <c r="N1823" s="5">
        <v>98</v>
      </c>
      <c r="O1823" s="5">
        <v>4.1461717262999969</v>
      </c>
      <c r="P1823" s="5">
        <v>260.22426945396546</v>
      </c>
      <c r="Q1823" s="5">
        <v>1.7087934540779355</v>
      </c>
    </row>
    <row r="1824" spans="1:17" x14ac:dyDescent="0.2">
      <c r="A1824" s="4" t="s">
        <v>82</v>
      </c>
      <c r="B1824" s="4">
        <v>2015</v>
      </c>
      <c r="C1824" s="4" t="s">
        <v>98</v>
      </c>
      <c r="D1824" s="4">
        <v>3</v>
      </c>
      <c r="E1824" s="4">
        <v>15</v>
      </c>
      <c r="F1824" s="4">
        <v>3</v>
      </c>
      <c r="G1824" s="6" t="str">
        <f t="shared" si="59"/>
        <v>153</v>
      </c>
      <c r="H1824" s="5">
        <v>0.2</v>
      </c>
      <c r="I1824" s="5">
        <v>237.6458116092</v>
      </c>
      <c r="J1824" s="5">
        <v>14915.254793362194</v>
      </c>
      <c r="K1824" s="5">
        <v>16</v>
      </c>
      <c r="L1824" s="5">
        <v>247.85543912610001</v>
      </c>
      <c r="M1824" s="5">
        <v>15556.036950340846</v>
      </c>
      <c r="N1824" s="5">
        <v>98.75</v>
      </c>
      <c r="O1824" s="5">
        <v>-10.209627516900014</v>
      </c>
      <c r="P1824" s="5">
        <v>-640.78215697865198</v>
      </c>
      <c r="Q1824" s="5">
        <v>-4.119186390622529</v>
      </c>
    </row>
    <row r="1825" spans="1:17" x14ac:dyDescent="0.2">
      <c r="A1825" s="4" t="s">
        <v>82</v>
      </c>
      <c r="B1825" s="4">
        <v>2015</v>
      </c>
      <c r="C1825" s="4" t="s">
        <v>98</v>
      </c>
      <c r="D1825" s="4">
        <v>4</v>
      </c>
      <c r="E1825" s="4">
        <v>15</v>
      </c>
      <c r="F1825" s="4">
        <v>3</v>
      </c>
      <c r="G1825" s="6" t="str">
        <f t="shared" si="59"/>
        <v>153</v>
      </c>
      <c r="H1825" s="5">
        <v>0.1</v>
      </c>
      <c r="I1825" s="5">
        <v>261.92932234919999</v>
      </c>
      <c r="J1825" s="5">
        <v>16439.349611242105</v>
      </c>
      <c r="K1825" s="5">
        <v>8.5</v>
      </c>
      <c r="L1825" s="5">
        <v>244.89677050380001</v>
      </c>
      <c r="M1825" s="5">
        <v>15370.343392133729</v>
      </c>
      <c r="N1825" s="5">
        <v>98.82352941176471</v>
      </c>
      <c r="O1825" s="5">
        <v>17.032551845399979</v>
      </c>
      <c r="P1825" s="5">
        <v>1069.0062191083762</v>
      </c>
      <c r="Q1825" s="5">
        <v>6.9549924281813684</v>
      </c>
    </row>
    <row r="1826" spans="1:17" x14ac:dyDescent="0.2">
      <c r="A1826" s="4" t="s">
        <v>82</v>
      </c>
      <c r="B1826" s="4">
        <v>2015</v>
      </c>
      <c r="C1826" s="4" t="s">
        <v>98</v>
      </c>
      <c r="D1826" s="4">
        <v>1</v>
      </c>
      <c r="E1826" s="4">
        <v>16</v>
      </c>
      <c r="F1826" s="4">
        <v>3</v>
      </c>
      <c r="G1826" s="6" t="str">
        <f t="shared" si="59"/>
        <v>163</v>
      </c>
      <c r="H1826" s="5">
        <v>5.0999999999999996</v>
      </c>
      <c r="I1826" s="5">
        <v>243.78951663300001</v>
      </c>
      <c r="J1826" s="5">
        <v>15300.849326607859</v>
      </c>
      <c r="K1826" s="5">
        <v>30.1</v>
      </c>
      <c r="L1826" s="5">
        <v>240.41580175980002</v>
      </c>
      <c r="M1826" s="5">
        <v>15089.106411413195</v>
      </c>
      <c r="N1826" s="5">
        <v>83.056478405315616</v>
      </c>
      <c r="O1826" s="5">
        <v>3.3737148731999866</v>
      </c>
      <c r="P1826" s="5">
        <v>211.74291519466351</v>
      </c>
      <c r="Q1826" s="5">
        <v>1.4032833318380209</v>
      </c>
    </row>
    <row r="1827" spans="1:17" x14ac:dyDescent="0.2">
      <c r="A1827" s="4" t="s">
        <v>82</v>
      </c>
      <c r="B1827" s="4">
        <v>2015</v>
      </c>
      <c r="C1827" s="4" t="s">
        <v>98</v>
      </c>
      <c r="D1827" s="4">
        <v>2</v>
      </c>
      <c r="E1827" s="4">
        <v>16</v>
      </c>
      <c r="F1827" s="4">
        <v>3</v>
      </c>
      <c r="G1827" s="6" t="str">
        <f t="shared" si="59"/>
        <v>163</v>
      </c>
      <c r="H1827" s="5">
        <v>5</v>
      </c>
      <c r="I1827" s="5">
        <v>247.70850881039996</v>
      </c>
      <c r="J1827" s="5">
        <v>15546.815230501999</v>
      </c>
      <c r="K1827" s="5">
        <v>15</v>
      </c>
      <c r="L1827" s="5">
        <v>242.6373834945</v>
      </c>
      <c r="M1827" s="5">
        <v>15228.538524240919</v>
      </c>
      <c r="N1827" s="5">
        <v>66.666666666666657</v>
      </c>
      <c r="O1827" s="5">
        <v>5.0711253158999625</v>
      </c>
      <c r="P1827" s="5">
        <v>318.27670626108011</v>
      </c>
      <c r="Q1827" s="5">
        <v>2.0900016489070472</v>
      </c>
    </row>
    <row r="1828" spans="1:17" x14ac:dyDescent="0.2">
      <c r="A1828" s="4" t="s">
        <v>82</v>
      </c>
      <c r="B1828" s="4">
        <v>2015</v>
      </c>
      <c r="C1828" s="4" t="s">
        <v>98</v>
      </c>
      <c r="D1828" s="4">
        <v>3</v>
      </c>
      <c r="E1828" s="4">
        <v>16</v>
      </c>
      <c r="F1828" s="4">
        <v>3</v>
      </c>
      <c r="G1828" s="6" t="str">
        <f t="shared" si="59"/>
        <v>163</v>
      </c>
      <c r="H1828" s="5">
        <v>1</v>
      </c>
      <c r="I1828" s="5">
        <v>245.47915727999998</v>
      </c>
      <c r="J1828" s="5">
        <v>15406.895465559672</v>
      </c>
      <c r="K1828" s="5">
        <v>16</v>
      </c>
      <c r="L1828" s="5">
        <v>247.85543912610001</v>
      </c>
      <c r="M1828" s="5">
        <v>15556.036950340846</v>
      </c>
      <c r="N1828" s="5">
        <v>93.75</v>
      </c>
      <c r="O1828" s="5">
        <v>-2.3762818461000279</v>
      </c>
      <c r="P1828" s="5">
        <v>-149.14148478117386</v>
      </c>
      <c r="Q1828" s="5">
        <v>-0.95873701802891409</v>
      </c>
    </row>
    <row r="1829" spans="1:17" x14ac:dyDescent="0.2">
      <c r="A1829" s="4" t="s">
        <v>82</v>
      </c>
      <c r="B1829" s="4">
        <v>2015</v>
      </c>
      <c r="C1829" s="4" t="s">
        <v>98</v>
      </c>
      <c r="D1829" s="4">
        <v>4</v>
      </c>
      <c r="E1829" s="4">
        <v>16</v>
      </c>
      <c r="F1829" s="4">
        <v>3</v>
      </c>
      <c r="G1829" s="6" t="str">
        <f t="shared" si="59"/>
        <v>163</v>
      </c>
      <c r="H1829" s="5">
        <v>0.1</v>
      </c>
      <c r="I1829" s="5">
        <v>257.07122859600003</v>
      </c>
      <c r="J1829" s="5">
        <v>16134.443306988882</v>
      </c>
      <c r="K1829" s="5">
        <v>8.5</v>
      </c>
      <c r="L1829" s="5">
        <v>244.89677050380001</v>
      </c>
      <c r="M1829" s="5">
        <v>15370.343392133729</v>
      </c>
      <c r="N1829" s="5">
        <v>98.82352941176471</v>
      </c>
      <c r="O1829" s="5">
        <v>12.174458092200013</v>
      </c>
      <c r="P1829" s="5">
        <v>764.09991485515275</v>
      </c>
      <c r="Q1829" s="5">
        <v>4.971261183703974</v>
      </c>
    </row>
    <row r="1830" spans="1:17" x14ac:dyDescent="0.2">
      <c r="A1830" s="4" t="s">
        <v>82</v>
      </c>
      <c r="B1830" s="4">
        <v>2015</v>
      </c>
      <c r="C1830" s="4" t="s">
        <v>98</v>
      </c>
      <c r="D1830" s="4">
        <v>1</v>
      </c>
      <c r="E1830" s="4">
        <v>17</v>
      </c>
      <c r="F1830" s="4">
        <v>3</v>
      </c>
      <c r="G1830" s="6" t="str">
        <f t="shared" si="59"/>
        <v>173</v>
      </c>
      <c r="H1830" s="5">
        <v>2.1</v>
      </c>
      <c r="I1830" s="5">
        <v>241.05988303320001</v>
      </c>
      <c r="J1830" s="5">
        <v>15129.530588196887</v>
      </c>
      <c r="K1830" s="5">
        <v>30.1</v>
      </c>
      <c r="L1830" s="5">
        <v>240.41580175980002</v>
      </c>
      <c r="M1830" s="5">
        <v>15089.106411413195</v>
      </c>
      <c r="N1830" s="5">
        <v>93.023255813953483</v>
      </c>
      <c r="O1830" s="5">
        <v>0.64408127339999055</v>
      </c>
      <c r="P1830" s="5">
        <v>40.424176783692019</v>
      </c>
      <c r="Q1830" s="5">
        <v>0.26790305324585506</v>
      </c>
    </row>
    <row r="1831" spans="1:17" x14ac:dyDescent="0.2">
      <c r="A1831" s="4" t="s">
        <v>82</v>
      </c>
      <c r="B1831" s="4">
        <v>2015</v>
      </c>
      <c r="C1831" s="4" t="s">
        <v>98</v>
      </c>
      <c r="D1831" s="4">
        <v>2</v>
      </c>
      <c r="E1831" s="4">
        <v>17</v>
      </c>
      <c r="F1831" s="4">
        <v>3</v>
      </c>
      <c r="G1831" s="6" t="str">
        <f t="shared" si="59"/>
        <v>173</v>
      </c>
      <c r="H1831" s="5">
        <v>5</v>
      </c>
      <c r="I1831" s="5">
        <v>233.75534733839993</v>
      </c>
      <c r="J1831" s="5">
        <v>14671.079373351515</v>
      </c>
      <c r="K1831" s="5">
        <v>15</v>
      </c>
      <c r="L1831" s="5">
        <v>242.6373834945</v>
      </c>
      <c r="M1831" s="5">
        <v>15228.538524240919</v>
      </c>
      <c r="N1831" s="5">
        <v>66.666666666666657</v>
      </c>
      <c r="O1831" s="5">
        <v>-8.8820361561000709</v>
      </c>
      <c r="P1831" s="5">
        <v>-557.45915088940455</v>
      </c>
      <c r="Q1831" s="5">
        <v>-3.6606214706817486</v>
      </c>
    </row>
    <row r="1832" spans="1:17" x14ac:dyDescent="0.2">
      <c r="A1832" s="4" t="s">
        <v>82</v>
      </c>
      <c r="B1832" s="4">
        <v>2015</v>
      </c>
      <c r="C1832" s="4" t="s">
        <v>98</v>
      </c>
      <c r="D1832" s="4">
        <v>3</v>
      </c>
      <c r="E1832" s="4">
        <v>17</v>
      </c>
      <c r="F1832" s="4">
        <v>3</v>
      </c>
      <c r="G1832" s="6" t="str">
        <f t="shared" si="59"/>
        <v>173</v>
      </c>
      <c r="H1832" s="5">
        <v>0.2</v>
      </c>
      <c r="I1832" s="5">
        <v>233.03148070019998</v>
      </c>
      <c r="J1832" s="5">
        <v>14625.647664405929</v>
      </c>
      <c r="K1832" s="5">
        <v>16</v>
      </c>
      <c r="L1832" s="5">
        <v>247.85543912610001</v>
      </c>
      <c r="M1832" s="5">
        <v>15556.036950340846</v>
      </c>
      <c r="N1832" s="5">
        <v>98.75</v>
      </c>
      <c r="O1832" s="5">
        <v>-14.823958425900031</v>
      </c>
      <c r="P1832" s="5">
        <v>-930.38928593491619</v>
      </c>
      <c r="Q1832" s="5">
        <v>-5.9808888915922163</v>
      </c>
    </row>
    <row r="1833" spans="1:17" x14ac:dyDescent="0.2">
      <c r="A1833" s="4" t="s">
        <v>82</v>
      </c>
      <c r="B1833" s="4">
        <v>2015</v>
      </c>
      <c r="C1833" s="4" t="s">
        <v>98</v>
      </c>
      <c r="D1833" s="4">
        <v>4</v>
      </c>
      <c r="E1833" s="4">
        <v>17</v>
      </c>
      <c r="F1833" s="4">
        <v>3</v>
      </c>
      <c r="G1833" s="6" t="str">
        <f t="shared" si="59"/>
        <v>173</v>
      </c>
      <c r="H1833" s="5">
        <v>1</v>
      </c>
      <c r="I1833" s="5">
        <v>263.99887121579997</v>
      </c>
      <c r="J1833" s="5">
        <v>16569.239755081097</v>
      </c>
      <c r="K1833" s="5">
        <v>8.5</v>
      </c>
      <c r="L1833" s="5">
        <v>244.89677050380001</v>
      </c>
      <c r="M1833" s="5">
        <v>15370.343392133729</v>
      </c>
      <c r="N1833" s="5">
        <v>88.235294117647058</v>
      </c>
      <c r="O1833" s="5">
        <v>19.102100711999952</v>
      </c>
      <c r="P1833" s="5">
        <v>1198.8963629473674</v>
      </c>
      <c r="Q1833" s="5">
        <v>7.8000623171564367</v>
      </c>
    </row>
    <row r="1834" spans="1:17" x14ac:dyDescent="0.2">
      <c r="A1834" s="4" t="s">
        <v>82</v>
      </c>
      <c r="B1834" s="4">
        <v>2015</v>
      </c>
      <c r="C1834" s="4" t="s">
        <v>98</v>
      </c>
      <c r="D1834" s="4">
        <v>1</v>
      </c>
      <c r="E1834" s="4">
        <v>18</v>
      </c>
      <c r="F1834" s="4">
        <v>3</v>
      </c>
      <c r="G1834" s="6" t="str">
        <f t="shared" si="59"/>
        <v>183</v>
      </c>
      <c r="H1834" s="5">
        <v>0.6</v>
      </c>
      <c r="I1834" s="5">
        <v>250.15518268619996</v>
      </c>
      <c r="J1834" s="5">
        <v>15700.374697873682</v>
      </c>
      <c r="K1834" s="5">
        <v>30.1</v>
      </c>
      <c r="L1834" s="5">
        <v>240.41580175980002</v>
      </c>
      <c r="M1834" s="5">
        <v>15089.106411413195</v>
      </c>
      <c r="N1834" s="5">
        <v>98.006644518272424</v>
      </c>
      <c r="O1834" s="5">
        <v>9.7393809263999458</v>
      </c>
      <c r="P1834" s="5">
        <v>611.26828646048671</v>
      </c>
      <c r="Q1834" s="5">
        <v>4.0510569002159844</v>
      </c>
    </row>
    <row r="1835" spans="1:17" x14ac:dyDescent="0.2">
      <c r="A1835" s="4" t="s">
        <v>82</v>
      </c>
      <c r="B1835" s="4">
        <v>2015</v>
      </c>
      <c r="C1835" s="4" t="s">
        <v>98</v>
      </c>
      <c r="D1835" s="4">
        <v>2</v>
      </c>
      <c r="E1835" s="4">
        <v>18</v>
      </c>
      <c r="F1835" s="4">
        <v>3</v>
      </c>
      <c r="G1835" s="6" t="str">
        <f t="shared" si="59"/>
        <v>183</v>
      </c>
      <c r="H1835" s="5">
        <v>10</v>
      </c>
      <c r="I1835" s="5">
        <v>251.48346984959997</v>
      </c>
      <c r="J1835" s="5">
        <v>15783.741374301555</v>
      </c>
      <c r="K1835" s="5">
        <v>15</v>
      </c>
      <c r="L1835" s="5">
        <v>242.6373834945</v>
      </c>
      <c r="M1835" s="5">
        <v>15228.538524240919</v>
      </c>
      <c r="N1835" s="5">
        <v>33.333333333333329</v>
      </c>
      <c r="O1835" s="5">
        <v>8.8460863550999704</v>
      </c>
      <c r="P1835" s="5">
        <v>555.20285006063568</v>
      </c>
      <c r="Q1835" s="5">
        <v>3.6458052043330289</v>
      </c>
    </row>
    <row r="1836" spans="1:17" x14ac:dyDescent="0.2">
      <c r="A1836" s="4" t="s">
        <v>82</v>
      </c>
      <c r="B1836" s="4">
        <v>2015</v>
      </c>
      <c r="C1836" s="4" t="s">
        <v>98</v>
      </c>
      <c r="D1836" s="4">
        <v>3</v>
      </c>
      <c r="E1836" s="4">
        <v>18</v>
      </c>
      <c r="F1836" s="4">
        <v>3</v>
      </c>
      <c r="G1836" s="6" t="str">
        <f t="shared" si="59"/>
        <v>183</v>
      </c>
      <c r="H1836" s="5">
        <v>0.1</v>
      </c>
      <c r="I1836" s="5">
        <v>238.50721522800001</v>
      </c>
      <c r="J1836" s="5">
        <v>14969.31867257524</v>
      </c>
      <c r="K1836" s="5">
        <v>16</v>
      </c>
      <c r="L1836" s="5">
        <v>247.85543912610001</v>
      </c>
      <c r="M1836" s="5">
        <v>15556.036950340846</v>
      </c>
      <c r="N1836" s="5">
        <v>99.375</v>
      </c>
      <c r="O1836" s="5">
        <v>-9.3482238981000023</v>
      </c>
      <c r="P1836" s="5">
        <v>-586.71827776560531</v>
      </c>
      <c r="Q1836" s="5">
        <v>-3.7716436367345465</v>
      </c>
    </row>
    <row r="1837" spans="1:17" s="7" customFormat="1" x14ac:dyDescent="0.2">
      <c r="A1837" s="4" t="s">
        <v>82</v>
      </c>
      <c r="B1837" s="7">
        <v>2015</v>
      </c>
      <c r="C1837" s="7" t="s">
        <v>98</v>
      </c>
      <c r="D1837" s="7">
        <v>4</v>
      </c>
      <c r="E1837" s="7">
        <v>18</v>
      </c>
      <c r="F1837" s="7">
        <v>3</v>
      </c>
      <c r="G1837" s="6" t="str">
        <f t="shared" si="59"/>
        <v>183</v>
      </c>
      <c r="H1837" s="9">
        <v>0.5</v>
      </c>
      <c r="I1837" s="9">
        <v>260.63234630279999</v>
      </c>
      <c r="J1837" s="9">
        <v>16357.948100052186</v>
      </c>
      <c r="K1837" s="9">
        <v>8.5</v>
      </c>
      <c r="L1837" s="9">
        <v>244.89677050380001</v>
      </c>
      <c r="M1837" s="9">
        <v>15370.343392133729</v>
      </c>
      <c r="N1837" s="9">
        <v>94.117647058823522</v>
      </c>
      <c r="O1837" s="9">
        <v>15.735575798999974</v>
      </c>
      <c r="P1837" s="9">
        <v>987.60470791845728</v>
      </c>
      <c r="Q1837" s="9">
        <v>6.4253913053360669</v>
      </c>
    </row>
    <row r="1838" spans="1:17" x14ac:dyDescent="0.2">
      <c r="A1838" s="4" t="s">
        <v>85</v>
      </c>
      <c r="B1838" s="4">
        <v>2015</v>
      </c>
      <c r="C1838" s="4" t="s">
        <v>84</v>
      </c>
      <c r="D1838" s="4">
        <v>1</v>
      </c>
      <c r="E1838" s="4">
        <v>1</v>
      </c>
      <c r="F1838" s="5">
        <v>0</v>
      </c>
      <c r="G1838" s="6" t="str">
        <f t="shared" si="59"/>
        <v>10</v>
      </c>
      <c r="H1838" s="5">
        <v>0</v>
      </c>
      <c r="I1838" s="5">
        <v>197.53800000000001</v>
      </c>
      <c r="J1838" s="5">
        <v>12397.986656782803</v>
      </c>
      <c r="K1838" s="5">
        <v>0</v>
      </c>
      <c r="L1838" s="5">
        <v>197.53800000000001</v>
      </c>
      <c r="M1838" s="5">
        <v>12397.986656782803</v>
      </c>
      <c r="N1838" s="5" t="s">
        <v>97</v>
      </c>
      <c r="O1838" s="5">
        <v>0</v>
      </c>
      <c r="P1838" s="5">
        <v>0</v>
      </c>
      <c r="Q1838" s="5">
        <v>0</v>
      </c>
    </row>
    <row r="1839" spans="1:17" x14ac:dyDescent="0.2">
      <c r="A1839" s="4" t="s">
        <v>85</v>
      </c>
      <c r="B1839" s="4">
        <v>2015</v>
      </c>
      <c r="C1839" s="4" t="s">
        <v>84</v>
      </c>
      <c r="D1839" s="4">
        <v>2</v>
      </c>
      <c r="E1839" s="4">
        <v>1</v>
      </c>
      <c r="F1839" s="5">
        <v>0</v>
      </c>
      <c r="G1839" s="6" t="str">
        <f t="shared" si="59"/>
        <v>10</v>
      </c>
      <c r="H1839" s="5">
        <v>0</v>
      </c>
      <c r="I1839" s="5">
        <v>197.53800000000001</v>
      </c>
      <c r="J1839" s="5">
        <v>12397.986656782803</v>
      </c>
      <c r="K1839" s="5">
        <v>0</v>
      </c>
      <c r="L1839" s="5">
        <v>197.53800000000001</v>
      </c>
      <c r="M1839" s="5">
        <v>12397.986656782803</v>
      </c>
      <c r="N1839" s="5" t="s">
        <v>97</v>
      </c>
      <c r="O1839" s="5">
        <v>0</v>
      </c>
      <c r="P1839" s="5">
        <v>0</v>
      </c>
      <c r="Q1839" s="5">
        <v>0</v>
      </c>
    </row>
    <row r="1840" spans="1:17" x14ac:dyDescent="0.2">
      <c r="A1840" s="4" t="s">
        <v>85</v>
      </c>
      <c r="B1840" s="4">
        <v>2015</v>
      </c>
      <c r="C1840" s="4" t="s">
        <v>84</v>
      </c>
      <c r="D1840" s="4">
        <v>3</v>
      </c>
      <c r="E1840" s="4">
        <v>1</v>
      </c>
      <c r="F1840" s="5">
        <v>0</v>
      </c>
      <c r="G1840" s="6" t="str">
        <f t="shared" si="59"/>
        <v>10</v>
      </c>
      <c r="H1840" s="5">
        <v>2.75</v>
      </c>
      <c r="I1840" s="5">
        <v>197.53800000000001</v>
      </c>
      <c r="J1840" s="5">
        <v>12397.986656782803</v>
      </c>
      <c r="K1840" s="5">
        <v>2.75</v>
      </c>
      <c r="L1840" s="5">
        <v>197.53800000000001</v>
      </c>
      <c r="M1840" s="5">
        <v>12397.986656782803</v>
      </c>
      <c r="N1840" s="5">
        <v>0</v>
      </c>
      <c r="O1840" s="5">
        <v>0</v>
      </c>
      <c r="P1840" s="5">
        <v>0</v>
      </c>
      <c r="Q1840" s="5">
        <v>0</v>
      </c>
    </row>
    <row r="1841" spans="1:17" x14ac:dyDescent="0.2">
      <c r="A1841" s="4" t="s">
        <v>85</v>
      </c>
      <c r="B1841" s="4">
        <v>2015</v>
      </c>
      <c r="C1841" s="4" t="s">
        <v>84</v>
      </c>
      <c r="D1841" s="4">
        <v>4</v>
      </c>
      <c r="E1841" s="4">
        <v>1</v>
      </c>
      <c r="F1841" s="5">
        <v>0</v>
      </c>
      <c r="G1841" s="6" t="str">
        <f t="shared" si="59"/>
        <v>10</v>
      </c>
      <c r="H1841" s="5">
        <v>0</v>
      </c>
      <c r="I1841" s="5">
        <v>197.53800000000001</v>
      </c>
      <c r="J1841" s="5">
        <v>12397.986656782803</v>
      </c>
      <c r="K1841" s="5">
        <v>0</v>
      </c>
      <c r="L1841" s="5">
        <v>197.53800000000001</v>
      </c>
      <c r="M1841" s="5">
        <v>12397.986656782803</v>
      </c>
      <c r="N1841" s="5" t="s">
        <v>97</v>
      </c>
      <c r="O1841" s="5">
        <v>0</v>
      </c>
      <c r="P1841" s="5">
        <v>0</v>
      </c>
      <c r="Q1841" s="5">
        <v>0</v>
      </c>
    </row>
    <row r="1842" spans="1:17" x14ac:dyDescent="0.2">
      <c r="A1842" s="4" t="s">
        <v>85</v>
      </c>
      <c r="B1842" s="4">
        <v>2015</v>
      </c>
      <c r="C1842" s="4" t="s">
        <v>84</v>
      </c>
      <c r="D1842" s="4">
        <v>1</v>
      </c>
      <c r="E1842" s="4">
        <v>2</v>
      </c>
      <c r="F1842" s="4">
        <v>1</v>
      </c>
      <c r="G1842" s="6" t="str">
        <f t="shared" si="59"/>
        <v>21</v>
      </c>
      <c r="H1842" s="5">
        <v>0</v>
      </c>
      <c r="I1842" s="5">
        <v>226.97</v>
      </c>
      <c r="J1842" s="5">
        <v>14245.213738571782</v>
      </c>
      <c r="K1842" s="5">
        <v>0</v>
      </c>
      <c r="L1842" s="5">
        <v>197.53800000000001</v>
      </c>
      <c r="M1842" s="5">
        <v>12397.986656782803</v>
      </c>
      <c r="N1842" s="5" t="s">
        <v>97</v>
      </c>
      <c r="O1842" s="5">
        <v>29.431999999999988</v>
      </c>
      <c r="P1842" s="5">
        <v>1847.2270817889785</v>
      </c>
      <c r="Q1842" s="5">
        <v>14.899411758750206</v>
      </c>
    </row>
    <row r="1843" spans="1:17" x14ac:dyDescent="0.2">
      <c r="A1843" s="4" t="s">
        <v>85</v>
      </c>
      <c r="B1843" s="4">
        <v>2015</v>
      </c>
      <c r="C1843" s="4" t="s">
        <v>84</v>
      </c>
      <c r="D1843" s="4">
        <v>2</v>
      </c>
      <c r="E1843" s="4">
        <v>2</v>
      </c>
      <c r="F1843" s="4">
        <v>1</v>
      </c>
      <c r="G1843" s="6" t="str">
        <f t="shared" si="59"/>
        <v>21</v>
      </c>
      <c r="H1843" s="5">
        <v>0</v>
      </c>
      <c r="I1843" s="5">
        <v>214.28</v>
      </c>
      <c r="J1843" s="5">
        <v>13448.757104027674</v>
      </c>
      <c r="K1843" s="5">
        <v>0</v>
      </c>
      <c r="L1843" s="5">
        <v>197.53800000000001</v>
      </c>
      <c r="M1843" s="5">
        <v>12397.986656782803</v>
      </c>
      <c r="N1843" s="5" t="s">
        <v>97</v>
      </c>
      <c r="O1843" s="5">
        <v>16.74199999999999</v>
      </c>
      <c r="P1843" s="5">
        <v>1050.7704472448713</v>
      </c>
      <c r="Q1843" s="5">
        <v>8.4753313286557397</v>
      </c>
    </row>
    <row r="1844" spans="1:17" x14ac:dyDescent="0.2">
      <c r="A1844" s="4" t="s">
        <v>85</v>
      </c>
      <c r="B1844" s="4">
        <v>2015</v>
      </c>
      <c r="C1844" s="4" t="s">
        <v>84</v>
      </c>
      <c r="D1844" s="4">
        <v>3</v>
      </c>
      <c r="E1844" s="4">
        <v>2</v>
      </c>
      <c r="F1844" s="4">
        <v>1</v>
      </c>
      <c r="G1844" s="6" t="str">
        <f t="shared" si="59"/>
        <v>21</v>
      </c>
      <c r="H1844" s="5">
        <v>0</v>
      </c>
      <c r="I1844" s="5">
        <v>227.88</v>
      </c>
      <c r="J1844" s="5">
        <v>14302.327650111192</v>
      </c>
      <c r="K1844" s="5">
        <v>2.75</v>
      </c>
      <c r="L1844" s="5">
        <v>197.53800000000001</v>
      </c>
      <c r="M1844" s="5">
        <v>12397.986656782803</v>
      </c>
      <c r="N1844" s="5">
        <v>100</v>
      </c>
      <c r="O1844" s="5">
        <v>30.341999999999985</v>
      </c>
      <c r="P1844" s="5">
        <v>1904.3409933283892</v>
      </c>
      <c r="Q1844" s="5">
        <v>15.360082617015442</v>
      </c>
    </row>
    <row r="1845" spans="1:17" x14ac:dyDescent="0.2">
      <c r="A1845" s="4" t="s">
        <v>85</v>
      </c>
      <c r="B1845" s="4">
        <v>2015</v>
      </c>
      <c r="C1845" s="4" t="s">
        <v>84</v>
      </c>
      <c r="D1845" s="4">
        <v>4</v>
      </c>
      <c r="E1845" s="4">
        <v>2</v>
      </c>
      <c r="F1845" s="4">
        <v>1</v>
      </c>
      <c r="G1845" s="6" t="str">
        <f t="shared" si="59"/>
        <v>21</v>
      </c>
      <c r="H1845" s="5">
        <v>0</v>
      </c>
      <c r="I1845" s="5">
        <v>218.24</v>
      </c>
      <c r="J1845" s="5">
        <v>13697.296763034346</v>
      </c>
      <c r="K1845" s="5">
        <v>0</v>
      </c>
      <c r="L1845" s="5">
        <v>197.53800000000001</v>
      </c>
      <c r="M1845" s="5">
        <v>12397.986656782803</v>
      </c>
      <c r="N1845" s="5" t="s">
        <v>97</v>
      </c>
      <c r="O1845" s="5">
        <v>20.701999999999998</v>
      </c>
      <c r="P1845" s="5">
        <v>1299.3101062515434</v>
      </c>
      <c r="Q1845" s="5">
        <v>10.48000890967813</v>
      </c>
    </row>
    <row r="1846" spans="1:17" x14ac:dyDescent="0.2">
      <c r="A1846" s="4" t="s">
        <v>85</v>
      </c>
      <c r="B1846" s="4">
        <v>2015</v>
      </c>
      <c r="C1846" s="4" t="s">
        <v>84</v>
      </c>
      <c r="D1846" s="4">
        <v>1</v>
      </c>
      <c r="E1846" s="4">
        <v>4</v>
      </c>
      <c r="F1846" s="4">
        <v>1</v>
      </c>
      <c r="G1846" s="6" t="str">
        <f t="shared" si="59"/>
        <v>41</v>
      </c>
      <c r="H1846" s="5">
        <v>0</v>
      </c>
      <c r="I1846" s="5">
        <v>205.06</v>
      </c>
      <c r="J1846" s="5">
        <v>12870.086483815172</v>
      </c>
      <c r="K1846" s="5">
        <v>0</v>
      </c>
      <c r="L1846" s="5">
        <v>197.53800000000001</v>
      </c>
      <c r="M1846" s="5">
        <v>12397.986656782803</v>
      </c>
      <c r="N1846" s="5" t="s">
        <v>97</v>
      </c>
      <c r="O1846" s="5">
        <v>7.5219999999999914</v>
      </c>
      <c r="P1846" s="5">
        <v>472.09982703236892</v>
      </c>
      <c r="Q1846" s="5">
        <v>3.8078749405177676</v>
      </c>
    </row>
    <row r="1847" spans="1:17" x14ac:dyDescent="0.2">
      <c r="A1847" s="4" t="s">
        <v>85</v>
      </c>
      <c r="B1847" s="4">
        <v>2015</v>
      </c>
      <c r="C1847" s="4" t="s">
        <v>84</v>
      </c>
      <c r="D1847" s="4">
        <v>2</v>
      </c>
      <c r="E1847" s="4">
        <v>4</v>
      </c>
      <c r="F1847" s="4">
        <v>1</v>
      </c>
      <c r="G1847" s="6" t="str">
        <f t="shared" si="59"/>
        <v>41</v>
      </c>
      <c r="H1847" s="5">
        <v>0</v>
      </c>
      <c r="I1847" s="5">
        <v>213.34</v>
      </c>
      <c r="J1847" s="5">
        <v>13389.760316283668</v>
      </c>
      <c r="K1847" s="5">
        <v>0</v>
      </c>
      <c r="L1847" s="5">
        <v>197.53800000000001</v>
      </c>
      <c r="M1847" s="5">
        <v>12397.986656782803</v>
      </c>
      <c r="N1847" s="5" t="s">
        <v>97</v>
      </c>
      <c r="O1847" s="5">
        <v>15.801999999999992</v>
      </c>
      <c r="P1847" s="5">
        <v>991.7736595008646</v>
      </c>
      <c r="Q1847" s="5">
        <v>7.9994735190191237</v>
      </c>
    </row>
    <row r="1848" spans="1:17" x14ac:dyDescent="0.2">
      <c r="A1848" s="4" t="s">
        <v>85</v>
      </c>
      <c r="B1848" s="4">
        <v>2015</v>
      </c>
      <c r="C1848" s="4" t="s">
        <v>84</v>
      </c>
      <c r="D1848" s="4">
        <v>3</v>
      </c>
      <c r="E1848" s="4">
        <v>4</v>
      </c>
      <c r="F1848" s="4">
        <v>1</v>
      </c>
      <c r="G1848" s="6" t="str">
        <f t="shared" si="59"/>
        <v>41</v>
      </c>
      <c r="H1848" s="5">
        <v>0</v>
      </c>
      <c r="I1848" s="5">
        <v>202.93</v>
      </c>
      <c r="J1848" s="5">
        <v>12736.402273288857</v>
      </c>
      <c r="K1848" s="5">
        <v>2.75</v>
      </c>
      <c r="L1848" s="5">
        <v>197.53800000000001</v>
      </c>
      <c r="M1848" s="5">
        <v>12397.986656782803</v>
      </c>
      <c r="N1848" s="5">
        <v>100</v>
      </c>
      <c r="O1848" s="5">
        <v>5.3919999999999959</v>
      </c>
      <c r="P1848" s="5">
        <v>338.41561650605399</v>
      </c>
      <c r="Q1848" s="5">
        <v>2.729601393149673</v>
      </c>
    </row>
    <row r="1849" spans="1:17" x14ac:dyDescent="0.2">
      <c r="A1849" s="4" t="s">
        <v>85</v>
      </c>
      <c r="B1849" s="4">
        <v>2015</v>
      </c>
      <c r="C1849" s="4" t="s">
        <v>84</v>
      </c>
      <c r="D1849" s="4">
        <v>4</v>
      </c>
      <c r="E1849" s="4">
        <v>4</v>
      </c>
      <c r="F1849" s="4">
        <v>1</v>
      </c>
      <c r="G1849" s="6" t="str">
        <f t="shared" si="59"/>
        <v>41</v>
      </c>
      <c r="H1849" s="5">
        <v>0</v>
      </c>
      <c r="I1849" s="5">
        <v>200.55</v>
      </c>
      <c r="J1849" s="5">
        <v>12587.027427724241</v>
      </c>
      <c r="K1849" s="5">
        <v>0</v>
      </c>
      <c r="L1849" s="5">
        <v>197.53800000000001</v>
      </c>
      <c r="M1849" s="5">
        <v>12397.986656782803</v>
      </c>
      <c r="N1849" s="5" t="s">
        <v>97</v>
      </c>
      <c r="O1849" s="5">
        <v>3.0120000000000005</v>
      </c>
      <c r="P1849" s="5">
        <v>189.04077094143759</v>
      </c>
      <c r="Q1849" s="5">
        <v>1.5247699176867193</v>
      </c>
    </row>
    <row r="1850" spans="1:17" x14ac:dyDescent="0.2">
      <c r="A1850" s="4" t="s">
        <v>85</v>
      </c>
      <c r="B1850" s="4">
        <v>2015</v>
      </c>
      <c r="C1850" s="4" t="s">
        <v>84</v>
      </c>
      <c r="D1850" s="4">
        <v>1</v>
      </c>
      <c r="E1850" s="4">
        <v>5</v>
      </c>
      <c r="F1850" s="4">
        <v>1</v>
      </c>
      <c r="G1850" s="6" t="str">
        <f t="shared" si="59"/>
        <v>51</v>
      </c>
      <c r="H1850" s="5">
        <v>0</v>
      </c>
      <c r="I1850" s="5">
        <v>221.62</v>
      </c>
      <c r="J1850" s="5">
        <v>13909.434148752161</v>
      </c>
      <c r="K1850" s="5">
        <v>0</v>
      </c>
      <c r="L1850" s="5">
        <v>197.53800000000001</v>
      </c>
      <c r="M1850" s="5">
        <v>12397.986656782803</v>
      </c>
      <c r="N1850" s="5" t="s">
        <v>97</v>
      </c>
      <c r="O1850" s="5">
        <v>24.081999999999994</v>
      </c>
      <c r="P1850" s="5">
        <v>1511.4474919693585</v>
      </c>
      <c r="Q1850" s="5">
        <v>12.191072097520465</v>
      </c>
    </row>
    <row r="1851" spans="1:17" x14ac:dyDescent="0.2">
      <c r="A1851" s="4" t="s">
        <v>85</v>
      </c>
      <c r="B1851" s="4">
        <v>2015</v>
      </c>
      <c r="C1851" s="4" t="s">
        <v>84</v>
      </c>
      <c r="D1851" s="4">
        <v>2</v>
      </c>
      <c r="E1851" s="4">
        <v>5</v>
      </c>
      <c r="F1851" s="4">
        <v>1</v>
      </c>
      <c r="G1851" s="6" t="str">
        <f t="shared" si="59"/>
        <v>51</v>
      </c>
      <c r="H1851" s="5">
        <v>0</v>
      </c>
      <c r="I1851" s="5">
        <v>199.49</v>
      </c>
      <c r="J1851" s="5">
        <v>12520.499135161848</v>
      </c>
      <c r="K1851" s="5">
        <v>0</v>
      </c>
      <c r="L1851" s="5">
        <v>197.53800000000001</v>
      </c>
      <c r="M1851" s="5">
        <v>12397.986656782803</v>
      </c>
      <c r="N1851" s="5" t="s">
        <v>97</v>
      </c>
      <c r="O1851" s="5">
        <v>1.9519999999999982</v>
      </c>
      <c r="P1851" s="5">
        <v>122.51247837904521</v>
      </c>
      <c r="Q1851" s="5">
        <v>0.98816430256456167</v>
      </c>
    </row>
    <row r="1852" spans="1:17" x14ac:dyDescent="0.2">
      <c r="A1852" s="4" t="s">
        <v>85</v>
      </c>
      <c r="B1852" s="4">
        <v>2015</v>
      </c>
      <c r="C1852" s="4" t="s">
        <v>84</v>
      </c>
      <c r="D1852" s="4">
        <v>3</v>
      </c>
      <c r="E1852" s="4">
        <v>5</v>
      </c>
      <c r="F1852" s="4">
        <v>1</v>
      </c>
      <c r="G1852" s="6" t="str">
        <f t="shared" si="59"/>
        <v>51</v>
      </c>
      <c r="H1852" s="5">
        <v>0</v>
      </c>
      <c r="I1852" s="5">
        <v>196.64</v>
      </c>
      <c r="J1852" s="5">
        <v>12341.625895725227</v>
      </c>
      <c r="K1852" s="5">
        <v>2.75</v>
      </c>
      <c r="L1852" s="5">
        <v>197.53800000000001</v>
      </c>
      <c r="M1852" s="5">
        <v>12397.986656782803</v>
      </c>
      <c r="N1852" s="5">
        <v>100</v>
      </c>
      <c r="O1852" s="5">
        <v>-0.89800000000002456</v>
      </c>
      <c r="P1852" s="5">
        <v>-56.360761057576383</v>
      </c>
      <c r="Q1852" s="5">
        <v>-0.45459607771671562</v>
      </c>
    </row>
    <row r="1853" spans="1:17" x14ac:dyDescent="0.2">
      <c r="A1853" s="4" t="s">
        <v>85</v>
      </c>
      <c r="B1853" s="4">
        <v>2015</v>
      </c>
      <c r="C1853" s="4" t="s">
        <v>84</v>
      </c>
      <c r="D1853" s="4">
        <v>4</v>
      </c>
      <c r="E1853" s="4">
        <v>5</v>
      </c>
      <c r="F1853" s="4">
        <v>1</v>
      </c>
      <c r="G1853" s="6" t="str">
        <f t="shared" si="59"/>
        <v>51</v>
      </c>
      <c r="H1853" s="5">
        <v>0</v>
      </c>
      <c r="I1853" s="5">
        <v>207.97</v>
      </c>
      <c r="J1853" s="5">
        <v>13052.725475660984</v>
      </c>
      <c r="K1853" s="5">
        <v>0</v>
      </c>
      <c r="L1853" s="5">
        <v>197.53800000000001</v>
      </c>
      <c r="M1853" s="5">
        <v>12397.986656782803</v>
      </c>
      <c r="N1853" s="5" t="s">
        <v>97</v>
      </c>
      <c r="O1853" s="5">
        <v>10.431999999999988</v>
      </c>
      <c r="P1853" s="5">
        <v>654.73881887818061</v>
      </c>
      <c r="Q1853" s="5">
        <v>5.2810092235417931</v>
      </c>
    </row>
    <row r="1854" spans="1:17" x14ac:dyDescent="0.2">
      <c r="A1854" s="4" t="s">
        <v>85</v>
      </c>
      <c r="B1854" s="4">
        <v>2015</v>
      </c>
      <c r="C1854" s="4" t="s">
        <v>84</v>
      </c>
      <c r="D1854" s="4">
        <v>1</v>
      </c>
      <c r="E1854" s="4">
        <v>6</v>
      </c>
      <c r="F1854" s="4">
        <v>1</v>
      </c>
      <c r="G1854" s="6" t="str">
        <f t="shared" si="59"/>
        <v>61</v>
      </c>
      <c r="H1854" s="5">
        <v>0</v>
      </c>
      <c r="I1854" s="5">
        <v>221.72</v>
      </c>
      <c r="J1854" s="5">
        <v>13915.710402767481</v>
      </c>
      <c r="K1854" s="5">
        <v>0</v>
      </c>
      <c r="L1854" s="5">
        <v>197.53800000000001</v>
      </c>
      <c r="M1854" s="5">
        <v>12397.986656782803</v>
      </c>
      <c r="N1854" s="5" t="s">
        <v>97</v>
      </c>
      <c r="O1854" s="5">
        <v>24.181999999999988</v>
      </c>
      <c r="P1854" s="5">
        <v>1517.7237459846783</v>
      </c>
      <c r="Q1854" s="5">
        <v>12.241695268758402</v>
      </c>
    </row>
    <row r="1855" spans="1:17" x14ac:dyDescent="0.2">
      <c r="A1855" s="4" t="s">
        <v>85</v>
      </c>
      <c r="B1855" s="4">
        <v>2015</v>
      </c>
      <c r="C1855" s="4" t="s">
        <v>84</v>
      </c>
      <c r="D1855" s="4">
        <v>2</v>
      </c>
      <c r="E1855" s="4">
        <v>6</v>
      </c>
      <c r="F1855" s="4">
        <v>1</v>
      </c>
      <c r="G1855" s="6" t="str">
        <f t="shared" si="59"/>
        <v>61</v>
      </c>
      <c r="H1855" s="5">
        <v>0</v>
      </c>
      <c r="I1855" s="5">
        <v>205.1</v>
      </c>
      <c r="J1855" s="5">
        <v>12872.5969854213</v>
      </c>
      <c r="K1855" s="5">
        <v>0</v>
      </c>
      <c r="L1855" s="5">
        <v>197.53800000000001</v>
      </c>
      <c r="M1855" s="5">
        <v>12397.986656782803</v>
      </c>
      <c r="N1855" s="5" t="s">
        <v>97</v>
      </c>
      <c r="O1855" s="5">
        <v>7.5619999999999834</v>
      </c>
      <c r="P1855" s="5">
        <v>474.61032863849687</v>
      </c>
      <c r="Q1855" s="5">
        <v>3.8281242090129424</v>
      </c>
    </row>
    <row r="1856" spans="1:17" x14ac:dyDescent="0.2">
      <c r="A1856" s="4" t="s">
        <v>85</v>
      </c>
      <c r="B1856" s="4">
        <v>2015</v>
      </c>
      <c r="C1856" s="4" t="s">
        <v>84</v>
      </c>
      <c r="D1856" s="4">
        <v>3</v>
      </c>
      <c r="E1856" s="4">
        <v>6</v>
      </c>
      <c r="F1856" s="4">
        <v>1</v>
      </c>
      <c r="G1856" s="6" t="str">
        <f t="shared" si="59"/>
        <v>61</v>
      </c>
      <c r="H1856" s="5">
        <v>0</v>
      </c>
      <c r="I1856" s="5">
        <v>217.09</v>
      </c>
      <c r="J1856" s="5">
        <v>13625.119841858166</v>
      </c>
      <c r="K1856" s="5">
        <v>2.75</v>
      </c>
      <c r="L1856" s="5">
        <v>197.53800000000001</v>
      </c>
      <c r="M1856" s="5">
        <v>12397.986656782803</v>
      </c>
      <c r="N1856" s="5">
        <v>100</v>
      </c>
      <c r="O1856" s="5">
        <v>19.551999999999992</v>
      </c>
      <c r="P1856" s="5">
        <v>1227.1331850753631</v>
      </c>
      <c r="Q1856" s="5">
        <v>9.8978424404418277</v>
      </c>
    </row>
    <row r="1857" spans="1:17" x14ac:dyDescent="0.2">
      <c r="A1857" s="4" t="s">
        <v>85</v>
      </c>
      <c r="B1857" s="4">
        <v>2015</v>
      </c>
      <c r="C1857" s="4" t="s">
        <v>84</v>
      </c>
      <c r="D1857" s="4">
        <v>4</v>
      </c>
      <c r="E1857" s="4">
        <v>6</v>
      </c>
      <c r="F1857" s="4">
        <v>1</v>
      </c>
      <c r="G1857" s="6" t="str">
        <f t="shared" si="59"/>
        <v>61</v>
      </c>
      <c r="H1857" s="5">
        <v>0</v>
      </c>
      <c r="I1857" s="5">
        <v>194</v>
      </c>
      <c r="J1857" s="5">
        <v>12175.93278972078</v>
      </c>
      <c r="K1857" s="5">
        <v>0</v>
      </c>
      <c r="L1857" s="5">
        <v>197.53800000000001</v>
      </c>
      <c r="M1857" s="5">
        <v>12397.986656782803</v>
      </c>
      <c r="N1857" s="5" t="s">
        <v>97</v>
      </c>
      <c r="O1857" s="5">
        <v>-3.5380000000000109</v>
      </c>
      <c r="P1857" s="5">
        <v>-222.05386706202262</v>
      </c>
      <c r="Q1857" s="5">
        <v>-1.7910477983982938</v>
      </c>
    </row>
    <row r="1858" spans="1:17" x14ac:dyDescent="0.2">
      <c r="A1858" s="4" t="s">
        <v>85</v>
      </c>
      <c r="B1858" s="4">
        <v>2015</v>
      </c>
      <c r="C1858" s="4" t="s">
        <v>84</v>
      </c>
      <c r="D1858" s="4">
        <v>1</v>
      </c>
      <c r="E1858" s="4">
        <v>7</v>
      </c>
      <c r="F1858" s="4">
        <v>2</v>
      </c>
      <c r="G1858" s="6" t="str">
        <f t="shared" ref="G1858:G1921" si="60">E1858&amp;F1858</f>
        <v>72</v>
      </c>
      <c r="H1858" s="5">
        <v>0</v>
      </c>
      <c r="I1858" s="5">
        <v>221.67</v>
      </c>
      <c r="J1858" s="5">
        <v>13912.572275759821</v>
      </c>
      <c r="K1858" s="5">
        <v>0</v>
      </c>
      <c r="L1858" s="5">
        <v>197.53800000000001</v>
      </c>
      <c r="M1858" s="5">
        <v>12397.986656782803</v>
      </c>
      <c r="N1858" s="5" t="s">
        <v>97</v>
      </c>
      <c r="O1858" s="5">
        <v>24.131999999999977</v>
      </c>
      <c r="P1858" s="5">
        <v>1514.5856189770184</v>
      </c>
      <c r="Q1858" s="5">
        <v>12.216383683139433</v>
      </c>
    </row>
    <row r="1859" spans="1:17" x14ac:dyDescent="0.2">
      <c r="A1859" s="4" t="s">
        <v>85</v>
      </c>
      <c r="B1859" s="4">
        <v>2015</v>
      </c>
      <c r="C1859" s="4" t="s">
        <v>84</v>
      </c>
      <c r="D1859" s="4">
        <v>2</v>
      </c>
      <c r="E1859" s="4">
        <v>7</v>
      </c>
      <c r="F1859" s="4">
        <v>2</v>
      </c>
      <c r="G1859" s="6" t="str">
        <f t="shared" si="60"/>
        <v>72</v>
      </c>
      <c r="H1859" s="5">
        <v>0</v>
      </c>
      <c r="I1859" s="5">
        <v>203.66</v>
      </c>
      <c r="J1859" s="5">
        <v>12782.218927600692</v>
      </c>
      <c r="K1859" s="5">
        <v>0</v>
      </c>
      <c r="L1859" s="5">
        <v>197.53800000000001</v>
      </c>
      <c r="M1859" s="5">
        <v>12397.986656782803</v>
      </c>
      <c r="N1859" s="5" t="s">
        <v>97</v>
      </c>
      <c r="O1859" s="5">
        <v>6.1219999999999857</v>
      </c>
      <c r="P1859" s="5">
        <v>384.232270817889</v>
      </c>
      <c r="Q1859" s="5">
        <v>3.0991505431866209</v>
      </c>
    </row>
    <row r="1860" spans="1:17" x14ac:dyDescent="0.2">
      <c r="A1860" s="4" t="s">
        <v>85</v>
      </c>
      <c r="B1860" s="4">
        <v>2015</v>
      </c>
      <c r="C1860" s="4" t="s">
        <v>84</v>
      </c>
      <c r="D1860" s="4">
        <v>3</v>
      </c>
      <c r="E1860" s="4">
        <v>7</v>
      </c>
      <c r="F1860" s="4">
        <v>2</v>
      </c>
      <c r="G1860" s="6" t="str">
        <f t="shared" si="60"/>
        <v>72</v>
      </c>
      <c r="H1860" s="5">
        <v>0</v>
      </c>
      <c r="I1860" s="5">
        <v>214.23</v>
      </c>
      <c r="J1860" s="5">
        <v>13445.618977020014</v>
      </c>
      <c r="K1860" s="5">
        <v>2.75</v>
      </c>
      <c r="L1860" s="5">
        <v>197.53800000000001</v>
      </c>
      <c r="M1860" s="5">
        <v>12397.986656782803</v>
      </c>
      <c r="N1860" s="5">
        <v>100</v>
      </c>
      <c r="O1860" s="5">
        <v>16.691999999999979</v>
      </c>
      <c r="P1860" s="5">
        <v>1047.6323202372114</v>
      </c>
      <c r="Q1860" s="5">
        <v>8.4500197430367709</v>
      </c>
    </row>
    <row r="1861" spans="1:17" x14ac:dyDescent="0.2">
      <c r="A1861" s="4" t="s">
        <v>85</v>
      </c>
      <c r="B1861" s="4">
        <v>2015</v>
      </c>
      <c r="C1861" s="4" t="s">
        <v>84</v>
      </c>
      <c r="D1861" s="4">
        <v>4</v>
      </c>
      <c r="E1861" s="4">
        <v>7</v>
      </c>
      <c r="F1861" s="4">
        <v>2</v>
      </c>
      <c r="G1861" s="6" t="str">
        <f t="shared" si="60"/>
        <v>72</v>
      </c>
      <c r="H1861" s="5">
        <v>0</v>
      </c>
      <c r="I1861" s="5">
        <v>218.34</v>
      </c>
      <c r="J1861" s="5">
        <v>13703.573017049666</v>
      </c>
      <c r="K1861" s="5">
        <v>0</v>
      </c>
      <c r="L1861" s="5">
        <v>197.53800000000001</v>
      </c>
      <c r="M1861" s="5">
        <v>12397.986656782803</v>
      </c>
      <c r="N1861" s="5" t="s">
        <v>97</v>
      </c>
      <c r="O1861" s="5">
        <v>20.801999999999992</v>
      </c>
      <c r="P1861" s="5">
        <v>1305.5863602668633</v>
      </c>
      <c r="Q1861" s="5">
        <v>10.530632080916067</v>
      </c>
    </row>
    <row r="1862" spans="1:17" x14ac:dyDescent="0.2">
      <c r="A1862" s="4" t="s">
        <v>85</v>
      </c>
      <c r="B1862" s="4">
        <v>2015</v>
      </c>
      <c r="C1862" s="4" t="s">
        <v>84</v>
      </c>
      <c r="D1862" s="4">
        <v>1</v>
      </c>
      <c r="E1862" s="4">
        <v>8</v>
      </c>
      <c r="F1862" s="4">
        <v>2</v>
      </c>
      <c r="G1862" s="6" t="str">
        <f t="shared" si="60"/>
        <v>82</v>
      </c>
      <c r="H1862" s="5">
        <v>1.75</v>
      </c>
      <c r="I1862" s="5">
        <v>227.27</v>
      </c>
      <c r="J1862" s="5">
        <v>14264.042500617741</v>
      </c>
      <c r="K1862" s="5">
        <v>0</v>
      </c>
      <c r="L1862" s="5">
        <v>197.53800000000001</v>
      </c>
      <c r="M1862" s="5">
        <v>12397.986656782803</v>
      </c>
      <c r="N1862" s="5" t="s">
        <v>97</v>
      </c>
      <c r="O1862" s="5">
        <v>29.731999999999999</v>
      </c>
      <c r="P1862" s="5">
        <v>1866.0558438349381</v>
      </c>
      <c r="Q1862" s="5">
        <v>15.051281272464021</v>
      </c>
    </row>
    <row r="1863" spans="1:17" x14ac:dyDescent="0.2">
      <c r="A1863" s="4" t="s">
        <v>85</v>
      </c>
      <c r="B1863" s="4">
        <v>2015</v>
      </c>
      <c r="C1863" s="4" t="s">
        <v>84</v>
      </c>
      <c r="D1863" s="4">
        <v>2</v>
      </c>
      <c r="E1863" s="4">
        <v>8</v>
      </c>
      <c r="F1863" s="4">
        <v>2</v>
      </c>
      <c r="G1863" s="6" t="str">
        <f t="shared" si="60"/>
        <v>82</v>
      </c>
      <c r="H1863" s="5">
        <v>0</v>
      </c>
      <c r="I1863" s="5">
        <v>232.65</v>
      </c>
      <c r="J1863" s="5">
        <v>14601.704966641957</v>
      </c>
      <c r="K1863" s="5">
        <v>0</v>
      </c>
      <c r="L1863" s="5">
        <v>197.53800000000001</v>
      </c>
      <c r="M1863" s="5">
        <v>12397.986656782803</v>
      </c>
      <c r="N1863" s="5" t="s">
        <v>97</v>
      </c>
      <c r="O1863" s="5">
        <v>35.111999999999995</v>
      </c>
      <c r="P1863" s="5">
        <v>2203.718309859154</v>
      </c>
      <c r="Q1863" s="5">
        <v>17.774807885065144</v>
      </c>
    </row>
    <row r="1864" spans="1:17" x14ac:dyDescent="0.2">
      <c r="A1864" s="4" t="s">
        <v>85</v>
      </c>
      <c r="B1864" s="4">
        <v>2015</v>
      </c>
      <c r="C1864" s="4" t="s">
        <v>84</v>
      </c>
      <c r="D1864" s="4">
        <v>3</v>
      </c>
      <c r="E1864" s="4">
        <v>8</v>
      </c>
      <c r="F1864" s="4">
        <v>2</v>
      </c>
      <c r="G1864" s="6" t="str">
        <f t="shared" si="60"/>
        <v>82</v>
      </c>
      <c r="H1864" s="5">
        <v>0</v>
      </c>
      <c r="I1864" s="5">
        <v>215.24</v>
      </c>
      <c r="J1864" s="5">
        <v>13509.009142574747</v>
      </c>
      <c r="K1864" s="5">
        <v>2.75</v>
      </c>
      <c r="L1864" s="5">
        <v>197.53800000000001</v>
      </c>
      <c r="M1864" s="5">
        <v>12397.986656782803</v>
      </c>
      <c r="N1864" s="5">
        <v>100</v>
      </c>
      <c r="O1864" s="5">
        <v>17.701999999999998</v>
      </c>
      <c r="P1864" s="5">
        <v>1111.0224857919438</v>
      </c>
      <c r="Q1864" s="5">
        <v>8.9613137725399596</v>
      </c>
    </row>
    <row r="1865" spans="1:17" x14ac:dyDescent="0.2">
      <c r="A1865" s="4" t="s">
        <v>85</v>
      </c>
      <c r="B1865" s="4">
        <v>2015</v>
      </c>
      <c r="C1865" s="4" t="s">
        <v>84</v>
      </c>
      <c r="D1865" s="4">
        <v>4</v>
      </c>
      <c r="E1865" s="4">
        <v>8</v>
      </c>
      <c r="F1865" s="4">
        <v>2</v>
      </c>
      <c r="G1865" s="6" t="str">
        <f t="shared" si="60"/>
        <v>82</v>
      </c>
      <c r="H1865" s="5">
        <v>0</v>
      </c>
      <c r="I1865" s="5">
        <v>205.23</v>
      </c>
      <c r="J1865" s="5">
        <v>12880.756115641216</v>
      </c>
      <c r="K1865" s="5">
        <v>0</v>
      </c>
      <c r="L1865" s="5">
        <v>197.53800000000001</v>
      </c>
      <c r="M1865" s="5">
        <v>12397.986656782803</v>
      </c>
      <c r="N1865" s="5" t="s">
        <v>97</v>
      </c>
      <c r="O1865" s="5">
        <v>7.6919999999999789</v>
      </c>
      <c r="P1865" s="5">
        <v>482.76945885841269</v>
      </c>
      <c r="Q1865" s="5">
        <v>3.8939343316222619</v>
      </c>
    </row>
    <row r="1866" spans="1:17" x14ac:dyDescent="0.2">
      <c r="A1866" s="4" t="s">
        <v>85</v>
      </c>
      <c r="B1866" s="4">
        <v>2015</v>
      </c>
      <c r="C1866" s="4" t="s">
        <v>84</v>
      </c>
      <c r="D1866" s="4">
        <v>1</v>
      </c>
      <c r="E1866" s="4">
        <v>9</v>
      </c>
      <c r="F1866" s="4">
        <v>2</v>
      </c>
      <c r="G1866" s="6" t="str">
        <f t="shared" si="60"/>
        <v>92</v>
      </c>
      <c r="H1866" s="5">
        <v>0</v>
      </c>
      <c r="I1866" s="5">
        <v>211.76</v>
      </c>
      <c r="J1866" s="5">
        <v>13290.59550284161</v>
      </c>
      <c r="K1866" s="5">
        <v>0</v>
      </c>
      <c r="L1866" s="5">
        <v>197.53800000000001</v>
      </c>
      <c r="M1866" s="5">
        <v>12397.986656782803</v>
      </c>
      <c r="N1866" s="5" t="s">
        <v>97</v>
      </c>
      <c r="O1866" s="5">
        <v>14.22199999999998</v>
      </c>
      <c r="P1866" s="5">
        <v>892.6088460588071</v>
      </c>
      <c r="Q1866" s="5">
        <v>7.1996274134596732</v>
      </c>
    </row>
    <row r="1867" spans="1:17" x14ac:dyDescent="0.2">
      <c r="A1867" s="4" t="s">
        <v>85</v>
      </c>
      <c r="B1867" s="4">
        <v>2015</v>
      </c>
      <c r="C1867" s="4" t="s">
        <v>84</v>
      </c>
      <c r="D1867" s="4">
        <v>2</v>
      </c>
      <c r="E1867" s="4">
        <v>9</v>
      </c>
      <c r="F1867" s="4">
        <v>2</v>
      </c>
      <c r="G1867" s="6" t="str">
        <f t="shared" si="60"/>
        <v>92</v>
      </c>
      <c r="H1867" s="5">
        <v>0</v>
      </c>
      <c r="I1867" s="5">
        <v>178.18</v>
      </c>
      <c r="J1867" s="5">
        <v>11183.029404497158</v>
      </c>
      <c r="K1867" s="5">
        <v>0</v>
      </c>
      <c r="L1867" s="5">
        <v>197.53800000000001</v>
      </c>
      <c r="M1867" s="5">
        <v>12397.986656782803</v>
      </c>
      <c r="N1867" s="5" t="s">
        <v>97</v>
      </c>
      <c r="O1867" s="5">
        <v>-19.358000000000004</v>
      </c>
      <c r="P1867" s="5">
        <v>-1214.9572522856452</v>
      </c>
      <c r="Q1867" s="5">
        <v>-9.7996334882402483</v>
      </c>
    </row>
    <row r="1868" spans="1:17" x14ac:dyDescent="0.2">
      <c r="A1868" s="4" t="s">
        <v>85</v>
      </c>
      <c r="B1868" s="4">
        <v>2015</v>
      </c>
      <c r="C1868" s="4" t="s">
        <v>84</v>
      </c>
      <c r="D1868" s="4">
        <v>3</v>
      </c>
      <c r="E1868" s="4">
        <v>9</v>
      </c>
      <c r="F1868" s="4">
        <v>2</v>
      </c>
      <c r="G1868" s="6" t="str">
        <f t="shared" si="60"/>
        <v>92</v>
      </c>
      <c r="H1868" s="5">
        <v>0</v>
      </c>
      <c r="I1868" s="5">
        <v>216.78</v>
      </c>
      <c r="J1868" s="5">
        <v>13605.663454410675</v>
      </c>
      <c r="K1868" s="5">
        <v>2.75</v>
      </c>
      <c r="L1868" s="5">
        <v>197.53800000000001</v>
      </c>
      <c r="M1868" s="5">
        <v>12397.986656782803</v>
      </c>
      <c r="N1868" s="5">
        <v>100</v>
      </c>
      <c r="O1868" s="5">
        <v>19.24199999999999</v>
      </c>
      <c r="P1868" s="5">
        <v>1207.6767976278716</v>
      </c>
      <c r="Q1868" s="5">
        <v>9.7409106096042191</v>
      </c>
    </row>
    <row r="1869" spans="1:17" x14ac:dyDescent="0.2">
      <c r="A1869" s="4" t="s">
        <v>85</v>
      </c>
      <c r="B1869" s="4">
        <v>2015</v>
      </c>
      <c r="C1869" s="4" t="s">
        <v>84</v>
      </c>
      <c r="D1869" s="4">
        <v>4</v>
      </c>
      <c r="E1869" s="4">
        <v>9</v>
      </c>
      <c r="F1869" s="4">
        <v>2</v>
      </c>
      <c r="G1869" s="6" t="str">
        <f t="shared" si="60"/>
        <v>92</v>
      </c>
      <c r="H1869" s="5">
        <v>0</v>
      </c>
      <c r="I1869" s="5">
        <v>189.53</v>
      </c>
      <c r="J1869" s="5">
        <v>11895.384235235977</v>
      </c>
      <c r="K1869" s="5">
        <v>0</v>
      </c>
      <c r="L1869" s="5">
        <v>197.53800000000001</v>
      </c>
      <c r="M1869" s="5">
        <v>12397.986656782803</v>
      </c>
      <c r="N1869" s="5" t="s">
        <v>97</v>
      </c>
      <c r="O1869" s="5">
        <v>-8.0080000000000098</v>
      </c>
      <c r="P1869" s="5">
        <v>-502.60242154682601</v>
      </c>
      <c r="Q1869" s="5">
        <v>-4.0539035527341669</v>
      </c>
    </row>
    <row r="1870" spans="1:17" x14ac:dyDescent="0.2">
      <c r="A1870" s="4" t="s">
        <v>85</v>
      </c>
      <c r="B1870" s="4">
        <v>2015</v>
      </c>
      <c r="C1870" s="4" t="s">
        <v>84</v>
      </c>
      <c r="D1870" s="4">
        <v>1</v>
      </c>
      <c r="E1870" s="4">
        <v>10</v>
      </c>
      <c r="F1870" s="4">
        <v>2</v>
      </c>
      <c r="G1870" s="6" t="str">
        <f t="shared" si="60"/>
        <v>102</v>
      </c>
      <c r="H1870" s="5">
        <v>0</v>
      </c>
      <c r="I1870" s="5">
        <v>211.56</v>
      </c>
      <c r="J1870" s="5">
        <v>13278.04299481097</v>
      </c>
      <c r="K1870" s="5">
        <v>0</v>
      </c>
      <c r="L1870" s="5">
        <v>197.53800000000001</v>
      </c>
      <c r="M1870" s="5">
        <v>12397.986656782803</v>
      </c>
      <c r="N1870" s="5" t="s">
        <v>97</v>
      </c>
      <c r="O1870" s="5">
        <v>14.021999999999991</v>
      </c>
      <c r="P1870" s="5">
        <v>880.05633802816737</v>
      </c>
      <c r="Q1870" s="5">
        <v>7.0983810709837973</v>
      </c>
    </row>
    <row r="1871" spans="1:17" x14ac:dyDescent="0.2">
      <c r="A1871" s="4" t="s">
        <v>85</v>
      </c>
      <c r="B1871" s="4">
        <v>2015</v>
      </c>
      <c r="C1871" s="4" t="s">
        <v>84</v>
      </c>
      <c r="D1871" s="4">
        <v>2</v>
      </c>
      <c r="E1871" s="4">
        <v>10</v>
      </c>
      <c r="F1871" s="4">
        <v>2</v>
      </c>
      <c r="G1871" s="6" t="str">
        <f t="shared" si="60"/>
        <v>102</v>
      </c>
      <c r="H1871" s="5">
        <v>0.25</v>
      </c>
      <c r="I1871" s="5">
        <v>194.11</v>
      </c>
      <c r="J1871" s="5">
        <v>12182.836669137634</v>
      </c>
      <c r="K1871" s="5">
        <v>0</v>
      </c>
      <c r="L1871" s="5">
        <v>197.53800000000001</v>
      </c>
      <c r="M1871" s="5">
        <v>12397.986656782803</v>
      </c>
      <c r="N1871" s="5" t="s">
        <v>97</v>
      </c>
      <c r="O1871" s="5">
        <v>-3.4279999999999973</v>
      </c>
      <c r="P1871" s="5">
        <v>-215.14998764516895</v>
      </c>
      <c r="Q1871" s="5">
        <v>-1.7353623100365472</v>
      </c>
    </row>
    <row r="1872" spans="1:17" x14ac:dyDescent="0.2">
      <c r="A1872" s="4" t="s">
        <v>85</v>
      </c>
      <c r="B1872" s="4">
        <v>2015</v>
      </c>
      <c r="C1872" s="4" t="s">
        <v>84</v>
      </c>
      <c r="D1872" s="4">
        <v>3</v>
      </c>
      <c r="E1872" s="4">
        <v>10</v>
      </c>
      <c r="F1872" s="4">
        <v>2</v>
      </c>
      <c r="G1872" s="6" t="str">
        <f t="shared" si="60"/>
        <v>102</v>
      </c>
      <c r="H1872" s="5">
        <v>0</v>
      </c>
      <c r="I1872" s="5">
        <v>218.43</v>
      </c>
      <c r="J1872" s="5">
        <v>13709.221645663454</v>
      </c>
      <c r="K1872" s="5">
        <v>2.75</v>
      </c>
      <c r="L1872" s="5">
        <v>197.53800000000001</v>
      </c>
      <c r="M1872" s="5">
        <v>12397.986656782803</v>
      </c>
      <c r="N1872" s="5">
        <v>100</v>
      </c>
      <c r="O1872" s="5">
        <v>20.891999999999996</v>
      </c>
      <c r="P1872" s="5">
        <v>1311.2349888806511</v>
      </c>
      <c r="Q1872" s="5">
        <v>10.57619293503021</v>
      </c>
    </row>
    <row r="1873" spans="1:17" x14ac:dyDescent="0.2">
      <c r="A1873" s="4" t="s">
        <v>85</v>
      </c>
      <c r="B1873" s="4">
        <v>2015</v>
      </c>
      <c r="C1873" s="4" t="s">
        <v>84</v>
      </c>
      <c r="D1873" s="4">
        <v>4</v>
      </c>
      <c r="E1873" s="4">
        <v>10</v>
      </c>
      <c r="F1873" s="4">
        <v>2</v>
      </c>
      <c r="G1873" s="6" t="str">
        <f t="shared" si="60"/>
        <v>102</v>
      </c>
      <c r="H1873" s="5">
        <v>0</v>
      </c>
      <c r="I1873" s="5">
        <v>211.44</v>
      </c>
      <c r="J1873" s="5">
        <v>13270.511489992587</v>
      </c>
      <c r="K1873" s="5">
        <v>0</v>
      </c>
      <c r="L1873" s="5">
        <v>197.53800000000001</v>
      </c>
      <c r="M1873" s="5">
        <v>12397.986656782803</v>
      </c>
      <c r="N1873" s="5" t="s">
        <v>97</v>
      </c>
      <c r="O1873" s="5">
        <v>13.901999999999987</v>
      </c>
      <c r="P1873" s="5">
        <v>872.52483320978354</v>
      </c>
      <c r="Q1873" s="5">
        <v>7.037633265498271</v>
      </c>
    </row>
    <row r="1874" spans="1:17" x14ac:dyDescent="0.2">
      <c r="A1874" s="4" t="s">
        <v>85</v>
      </c>
      <c r="B1874" s="4">
        <v>2015</v>
      </c>
      <c r="C1874" s="4" t="s">
        <v>84</v>
      </c>
      <c r="D1874" s="4">
        <v>1</v>
      </c>
      <c r="E1874" s="4">
        <v>11</v>
      </c>
      <c r="F1874" s="4">
        <v>2</v>
      </c>
      <c r="G1874" s="6" t="str">
        <f t="shared" si="60"/>
        <v>112</v>
      </c>
      <c r="H1874" s="5">
        <v>1</v>
      </c>
      <c r="I1874" s="5">
        <v>205.4</v>
      </c>
      <c r="J1874" s="5">
        <v>12891.425747467259</v>
      </c>
      <c r="K1874" s="5">
        <v>0</v>
      </c>
      <c r="L1874" s="5">
        <v>197.53800000000001</v>
      </c>
      <c r="M1874" s="5">
        <v>12397.986656782803</v>
      </c>
      <c r="N1874" s="5" t="s">
        <v>97</v>
      </c>
      <c r="O1874" s="5">
        <v>7.8619999999999948</v>
      </c>
      <c r="P1874" s="5">
        <v>493.43909068445646</v>
      </c>
      <c r="Q1874" s="5">
        <v>3.9799937227267566</v>
      </c>
    </row>
    <row r="1875" spans="1:17" x14ac:dyDescent="0.2">
      <c r="A1875" s="4" t="s">
        <v>85</v>
      </c>
      <c r="B1875" s="4">
        <v>2015</v>
      </c>
      <c r="C1875" s="4" t="s">
        <v>84</v>
      </c>
      <c r="D1875" s="4">
        <v>2</v>
      </c>
      <c r="E1875" s="4">
        <v>11</v>
      </c>
      <c r="F1875" s="4">
        <v>2</v>
      </c>
      <c r="G1875" s="6" t="str">
        <f t="shared" si="60"/>
        <v>112</v>
      </c>
      <c r="H1875" s="5">
        <v>0</v>
      </c>
      <c r="I1875" s="5">
        <v>202.67</v>
      </c>
      <c r="J1875" s="5">
        <v>12720.084012849024</v>
      </c>
      <c r="K1875" s="5">
        <v>0</v>
      </c>
      <c r="L1875" s="5">
        <v>197.53800000000001</v>
      </c>
      <c r="M1875" s="5">
        <v>12397.986656782803</v>
      </c>
      <c r="N1875" s="5" t="s">
        <v>97</v>
      </c>
      <c r="O1875" s="5">
        <v>5.1319999999999766</v>
      </c>
      <c r="P1875" s="5">
        <v>322.09735606622053</v>
      </c>
      <c r="Q1875" s="5">
        <v>2.5979811479310198</v>
      </c>
    </row>
    <row r="1876" spans="1:17" x14ac:dyDescent="0.2">
      <c r="A1876" s="4" t="s">
        <v>85</v>
      </c>
      <c r="B1876" s="4">
        <v>2015</v>
      </c>
      <c r="C1876" s="4" t="s">
        <v>84</v>
      </c>
      <c r="D1876" s="4">
        <v>3</v>
      </c>
      <c r="E1876" s="4">
        <v>11</v>
      </c>
      <c r="F1876" s="4">
        <v>2</v>
      </c>
      <c r="G1876" s="6" t="str">
        <f t="shared" si="60"/>
        <v>112</v>
      </c>
      <c r="H1876" s="5">
        <v>0</v>
      </c>
      <c r="I1876" s="5">
        <v>251.97</v>
      </c>
      <c r="J1876" s="5">
        <v>15814.277242401778</v>
      </c>
      <c r="K1876" s="5">
        <v>2.75</v>
      </c>
      <c r="L1876" s="5">
        <v>197.53800000000001</v>
      </c>
      <c r="M1876" s="5">
        <v>12397.986656782803</v>
      </c>
      <c r="N1876" s="5">
        <v>100</v>
      </c>
      <c r="O1876" s="5">
        <v>54.431999999999988</v>
      </c>
      <c r="P1876" s="5">
        <v>3416.2905856189755</v>
      </c>
      <c r="Q1876" s="5">
        <v>27.555204568234959</v>
      </c>
    </row>
    <row r="1877" spans="1:17" x14ac:dyDescent="0.2">
      <c r="A1877" s="4" t="s">
        <v>85</v>
      </c>
      <c r="B1877" s="4">
        <v>2015</v>
      </c>
      <c r="C1877" s="4" t="s">
        <v>84</v>
      </c>
      <c r="D1877" s="4">
        <v>4</v>
      </c>
      <c r="E1877" s="4">
        <v>11</v>
      </c>
      <c r="F1877" s="4">
        <v>2</v>
      </c>
      <c r="G1877" s="6" t="str">
        <f t="shared" si="60"/>
        <v>112</v>
      </c>
      <c r="H1877" s="5">
        <v>0</v>
      </c>
      <c r="I1877" s="5">
        <v>186.96</v>
      </c>
      <c r="J1877" s="5">
        <v>11734.084507042255</v>
      </c>
      <c r="K1877" s="5">
        <v>0</v>
      </c>
      <c r="L1877" s="5">
        <v>197.53800000000001</v>
      </c>
      <c r="M1877" s="5">
        <v>12397.986656782803</v>
      </c>
      <c r="N1877" s="5" t="s">
        <v>97</v>
      </c>
      <c r="O1877" s="5">
        <v>-10.578000000000003</v>
      </c>
      <c r="P1877" s="5">
        <v>-663.90214974054834</v>
      </c>
      <c r="Q1877" s="5">
        <v>-5.354919053549188</v>
      </c>
    </row>
    <row r="1878" spans="1:17" x14ac:dyDescent="0.2">
      <c r="A1878" s="4" t="s">
        <v>85</v>
      </c>
      <c r="B1878" s="4">
        <v>2015</v>
      </c>
      <c r="C1878" s="4" t="s">
        <v>84</v>
      </c>
      <c r="D1878" s="4">
        <v>1</v>
      </c>
      <c r="E1878" s="4">
        <v>12</v>
      </c>
      <c r="F1878" s="4">
        <v>2</v>
      </c>
      <c r="G1878" s="6" t="str">
        <f t="shared" si="60"/>
        <v>122</v>
      </c>
      <c r="H1878" s="5">
        <v>0</v>
      </c>
      <c r="I1878" s="5">
        <v>195.61</v>
      </c>
      <c r="J1878" s="5">
        <v>12276.980479367434</v>
      </c>
      <c r="K1878" s="5">
        <v>0</v>
      </c>
      <c r="L1878" s="5">
        <v>197.53800000000001</v>
      </c>
      <c r="M1878" s="5">
        <v>12397.986656782803</v>
      </c>
      <c r="N1878" s="5" t="s">
        <v>97</v>
      </c>
      <c r="O1878" s="5">
        <v>-1.9279999999999973</v>
      </c>
      <c r="P1878" s="5">
        <v>-121.00617741536917</v>
      </c>
      <c r="Q1878" s="5">
        <v>-0.97601474146746248</v>
      </c>
    </row>
    <row r="1879" spans="1:17" x14ac:dyDescent="0.2">
      <c r="A1879" s="4" t="s">
        <v>85</v>
      </c>
      <c r="B1879" s="4">
        <v>2015</v>
      </c>
      <c r="C1879" s="4" t="s">
        <v>84</v>
      </c>
      <c r="D1879" s="4">
        <v>2</v>
      </c>
      <c r="E1879" s="4">
        <v>12</v>
      </c>
      <c r="F1879" s="4">
        <v>2</v>
      </c>
      <c r="G1879" s="6" t="str">
        <f t="shared" si="60"/>
        <v>122</v>
      </c>
      <c r="H1879" s="5">
        <v>0</v>
      </c>
      <c r="I1879" s="5">
        <v>162.58000000000001</v>
      </c>
      <c r="J1879" s="5">
        <v>10203.933778107241</v>
      </c>
      <c r="K1879" s="5">
        <v>0</v>
      </c>
      <c r="L1879" s="5">
        <v>197.53800000000001</v>
      </c>
      <c r="M1879" s="5">
        <v>12397.986656782803</v>
      </c>
      <c r="N1879" s="5" t="s">
        <v>97</v>
      </c>
      <c r="O1879" s="5">
        <v>-34.957999999999998</v>
      </c>
      <c r="P1879" s="5">
        <v>-2194.0528786755622</v>
      </c>
      <c r="Q1879" s="5">
        <v>-17.696848201358726</v>
      </c>
    </row>
    <row r="1880" spans="1:17" x14ac:dyDescent="0.2">
      <c r="A1880" s="4" t="s">
        <v>85</v>
      </c>
      <c r="B1880" s="4">
        <v>2015</v>
      </c>
      <c r="C1880" s="4" t="s">
        <v>84</v>
      </c>
      <c r="D1880" s="4">
        <v>3</v>
      </c>
      <c r="E1880" s="4">
        <v>12</v>
      </c>
      <c r="F1880" s="4">
        <v>2</v>
      </c>
      <c r="G1880" s="6" t="str">
        <f t="shared" si="60"/>
        <v>122</v>
      </c>
      <c r="H1880" s="5">
        <v>0</v>
      </c>
      <c r="I1880" s="5">
        <v>250.34</v>
      </c>
      <c r="J1880" s="5">
        <v>15711.974301952063</v>
      </c>
      <c r="K1880" s="5">
        <v>2.75</v>
      </c>
      <c r="L1880" s="5">
        <v>197.53800000000001</v>
      </c>
      <c r="M1880" s="5">
        <v>12397.986656782803</v>
      </c>
      <c r="N1880" s="5">
        <v>100</v>
      </c>
      <c r="O1880" s="5">
        <v>52.801999999999992</v>
      </c>
      <c r="P1880" s="5">
        <v>3313.9876451692598</v>
      </c>
      <c r="Q1880" s="5">
        <v>26.730046877056552</v>
      </c>
    </row>
    <row r="1881" spans="1:17" x14ac:dyDescent="0.2">
      <c r="A1881" s="4" t="s">
        <v>85</v>
      </c>
      <c r="B1881" s="4">
        <v>2015</v>
      </c>
      <c r="C1881" s="4" t="s">
        <v>84</v>
      </c>
      <c r="D1881" s="4">
        <v>4</v>
      </c>
      <c r="E1881" s="4">
        <v>12</v>
      </c>
      <c r="F1881" s="4">
        <v>2</v>
      </c>
      <c r="G1881" s="6" t="str">
        <f t="shared" si="60"/>
        <v>122</v>
      </c>
      <c r="H1881" s="5">
        <v>0</v>
      </c>
      <c r="I1881" s="5">
        <v>228.6</v>
      </c>
      <c r="J1881" s="5">
        <v>14347.516679021497</v>
      </c>
      <c r="K1881" s="5">
        <v>0</v>
      </c>
      <c r="L1881" s="5">
        <v>197.53800000000001</v>
      </c>
      <c r="M1881" s="5">
        <v>12397.986656782803</v>
      </c>
      <c r="N1881" s="5" t="s">
        <v>97</v>
      </c>
      <c r="O1881" s="5">
        <v>31.061999999999983</v>
      </c>
      <c r="P1881" s="5">
        <v>1949.5300222386941</v>
      </c>
      <c r="Q1881" s="5">
        <v>15.724569449928611</v>
      </c>
    </row>
    <row r="1882" spans="1:17" x14ac:dyDescent="0.2">
      <c r="A1882" s="4" t="s">
        <v>85</v>
      </c>
      <c r="B1882" s="4">
        <v>2015</v>
      </c>
      <c r="C1882" s="4" t="s">
        <v>84</v>
      </c>
      <c r="D1882" s="4">
        <v>1</v>
      </c>
      <c r="E1882" s="4">
        <v>15</v>
      </c>
      <c r="F1882" s="4">
        <v>3</v>
      </c>
      <c r="G1882" s="6" t="str">
        <f t="shared" si="60"/>
        <v>153</v>
      </c>
      <c r="H1882" s="5">
        <v>0</v>
      </c>
      <c r="I1882" s="5">
        <v>211.7</v>
      </c>
      <c r="J1882" s="5">
        <v>13286.829750432418</v>
      </c>
      <c r="K1882" s="5">
        <v>0</v>
      </c>
      <c r="L1882" s="5">
        <v>197.53800000000001</v>
      </c>
      <c r="M1882" s="5">
        <v>12397.986656782803</v>
      </c>
      <c r="N1882" s="5" t="s">
        <v>97</v>
      </c>
      <c r="O1882" s="5">
        <v>14.161999999999978</v>
      </c>
      <c r="P1882" s="5">
        <v>888.84309364961518</v>
      </c>
      <c r="Q1882" s="5">
        <v>7.1692535107169091</v>
      </c>
    </row>
    <row r="1883" spans="1:17" x14ac:dyDescent="0.2">
      <c r="A1883" s="4" t="s">
        <v>85</v>
      </c>
      <c r="B1883" s="4">
        <v>2015</v>
      </c>
      <c r="C1883" s="4" t="s">
        <v>84</v>
      </c>
      <c r="D1883" s="4">
        <v>2</v>
      </c>
      <c r="E1883" s="4">
        <v>15</v>
      </c>
      <c r="F1883" s="4">
        <v>3</v>
      </c>
      <c r="G1883" s="6" t="str">
        <f t="shared" si="60"/>
        <v>153</v>
      </c>
      <c r="H1883" s="5">
        <v>0</v>
      </c>
      <c r="I1883" s="5">
        <v>188.3</v>
      </c>
      <c r="J1883" s="5">
        <v>11818.186310847543</v>
      </c>
      <c r="K1883" s="5">
        <v>0</v>
      </c>
      <c r="L1883" s="5">
        <v>197.53800000000001</v>
      </c>
      <c r="M1883" s="5">
        <v>12397.986656782803</v>
      </c>
      <c r="N1883" s="5" t="s">
        <v>97</v>
      </c>
      <c r="O1883" s="5">
        <v>-9.2379999999999995</v>
      </c>
      <c r="P1883" s="5">
        <v>-579.80034593526034</v>
      </c>
      <c r="Q1883" s="5">
        <v>-4.6765685589608044</v>
      </c>
    </row>
    <row r="1884" spans="1:17" x14ac:dyDescent="0.2">
      <c r="A1884" s="4" t="s">
        <v>85</v>
      </c>
      <c r="B1884" s="4">
        <v>2015</v>
      </c>
      <c r="C1884" s="4" t="s">
        <v>84</v>
      </c>
      <c r="D1884" s="4">
        <v>3</v>
      </c>
      <c r="E1884" s="4">
        <v>15</v>
      </c>
      <c r="F1884" s="4">
        <v>3</v>
      </c>
      <c r="G1884" s="6" t="str">
        <f t="shared" si="60"/>
        <v>153</v>
      </c>
      <c r="H1884" s="5">
        <v>0</v>
      </c>
      <c r="I1884" s="5">
        <v>184.74</v>
      </c>
      <c r="J1884" s="5">
        <v>11594.75166790215</v>
      </c>
      <c r="K1884" s="5">
        <v>2.75</v>
      </c>
      <c r="L1884" s="5">
        <v>197.53800000000001</v>
      </c>
      <c r="M1884" s="5">
        <v>12397.986656782803</v>
      </c>
      <c r="N1884" s="5">
        <v>100</v>
      </c>
      <c r="O1884" s="5">
        <v>-12.798000000000002</v>
      </c>
      <c r="P1884" s="5">
        <v>-803.23498888065296</v>
      </c>
      <c r="Q1884" s="5">
        <v>-6.4787534550314412</v>
      </c>
    </row>
    <row r="1885" spans="1:17" x14ac:dyDescent="0.2">
      <c r="A1885" s="4" t="s">
        <v>85</v>
      </c>
      <c r="B1885" s="4">
        <v>2015</v>
      </c>
      <c r="C1885" s="4" t="s">
        <v>84</v>
      </c>
      <c r="D1885" s="4">
        <v>4</v>
      </c>
      <c r="E1885" s="4">
        <v>15</v>
      </c>
      <c r="F1885" s="4">
        <v>3</v>
      </c>
      <c r="G1885" s="6" t="str">
        <f t="shared" si="60"/>
        <v>153</v>
      </c>
      <c r="H1885" s="5">
        <v>0</v>
      </c>
      <c r="I1885" s="5">
        <v>209.43</v>
      </c>
      <c r="J1885" s="5">
        <v>13144.358784284655</v>
      </c>
      <c r="K1885" s="5">
        <v>0</v>
      </c>
      <c r="L1885" s="5">
        <v>197.53800000000001</v>
      </c>
      <c r="M1885" s="5">
        <v>12397.986656782803</v>
      </c>
      <c r="N1885" s="5" t="s">
        <v>97</v>
      </c>
      <c r="O1885" s="5">
        <v>11.891999999999996</v>
      </c>
      <c r="P1885" s="5">
        <v>746.37212750185245</v>
      </c>
      <c r="Q1885" s="5">
        <v>6.0201075236157022</v>
      </c>
    </row>
    <row r="1886" spans="1:17" x14ac:dyDescent="0.2">
      <c r="A1886" s="4" t="s">
        <v>85</v>
      </c>
      <c r="B1886" s="4">
        <v>2015</v>
      </c>
      <c r="C1886" s="4" t="s">
        <v>84</v>
      </c>
      <c r="D1886" s="4">
        <v>1</v>
      </c>
      <c r="E1886" s="4">
        <v>17</v>
      </c>
      <c r="F1886" s="4">
        <v>3</v>
      </c>
      <c r="G1886" s="6" t="str">
        <f t="shared" si="60"/>
        <v>173</v>
      </c>
      <c r="H1886" s="5">
        <v>0</v>
      </c>
      <c r="I1886" s="5">
        <v>197.89</v>
      </c>
      <c r="J1886" s="5">
        <v>12420.079070916727</v>
      </c>
      <c r="K1886" s="5">
        <v>0</v>
      </c>
      <c r="L1886" s="5">
        <v>197.53800000000001</v>
      </c>
      <c r="M1886" s="5">
        <v>12397.986656782803</v>
      </c>
      <c r="N1886" s="5" t="s">
        <v>97</v>
      </c>
      <c r="O1886" s="5">
        <v>0.35199999999997544</v>
      </c>
      <c r="P1886" s="5">
        <v>22.092414133923739</v>
      </c>
      <c r="Q1886" s="5">
        <v>0.17819356275752418</v>
      </c>
    </row>
    <row r="1887" spans="1:17" x14ac:dyDescent="0.2">
      <c r="A1887" s="4" t="s">
        <v>85</v>
      </c>
      <c r="B1887" s="4">
        <v>2015</v>
      </c>
      <c r="C1887" s="4" t="s">
        <v>84</v>
      </c>
      <c r="D1887" s="4">
        <v>2</v>
      </c>
      <c r="E1887" s="4">
        <v>17</v>
      </c>
      <c r="F1887" s="4">
        <v>3</v>
      </c>
      <c r="G1887" s="6" t="str">
        <f t="shared" si="60"/>
        <v>173</v>
      </c>
      <c r="H1887" s="5">
        <v>0</v>
      </c>
      <c r="I1887" s="5">
        <v>199.21</v>
      </c>
      <c r="J1887" s="5">
        <v>12502.925623918953</v>
      </c>
      <c r="K1887" s="5">
        <v>0</v>
      </c>
      <c r="L1887" s="5">
        <v>197.53800000000001</v>
      </c>
      <c r="M1887" s="5">
        <v>12397.986656782803</v>
      </c>
      <c r="N1887" s="5" t="s">
        <v>97</v>
      </c>
      <c r="O1887" s="5">
        <v>1.671999999999997</v>
      </c>
      <c r="P1887" s="5">
        <v>104.93896713614959</v>
      </c>
      <c r="Q1887" s="5">
        <v>0.8464194230983354</v>
      </c>
    </row>
    <row r="1888" spans="1:17" x14ac:dyDescent="0.2">
      <c r="A1888" s="4" t="s">
        <v>85</v>
      </c>
      <c r="B1888" s="4">
        <v>2015</v>
      </c>
      <c r="C1888" s="4" t="s">
        <v>84</v>
      </c>
      <c r="D1888" s="4">
        <v>3</v>
      </c>
      <c r="E1888" s="4">
        <v>17</v>
      </c>
      <c r="F1888" s="4">
        <v>3</v>
      </c>
      <c r="G1888" s="6" t="str">
        <f t="shared" si="60"/>
        <v>173</v>
      </c>
      <c r="H1888" s="5">
        <v>0</v>
      </c>
      <c r="I1888" s="5">
        <v>193.71</v>
      </c>
      <c r="J1888" s="5">
        <v>12157.731653076353</v>
      </c>
      <c r="K1888" s="5">
        <v>2.75</v>
      </c>
      <c r="L1888" s="5">
        <v>197.53800000000001</v>
      </c>
      <c r="M1888" s="5">
        <v>12397.986656782803</v>
      </c>
      <c r="N1888" s="5">
        <v>100</v>
      </c>
      <c r="O1888" s="5">
        <v>-3.828000000000003</v>
      </c>
      <c r="P1888" s="5">
        <v>-240.25500370645022</v>
      </c>
      <c r="Q1888" s="5">
        <v>-1.9378549949883139</v>
      </c>
    </row>
    <row r="1889" spans="1:21" x14ac:dyDescent="0.2">
      <c r="A1889" s="4" t="s">
        <v>85</v>
      </c>
      <c r="B1889" s="4">
        <v>2015</v>
      </c>
      <c r="C1889" s="4" t="s">
        <v>84</v>
      </c>
      <c r="D1889" s="4">
        <v>4</v>
      </c>
      <c r="E1889" s="4">
        <v>17</v>
      </c>
      <c r="F1889" s="4">
        <v>3</v>
      </c>
      <c r="G1889" s="6" t="str">
        <f t="shared" si="60"/>
        <v>173</v>
      </c>
      <c r="H1889" s="5">
        <v>0</v>
      </c>
      <c r="I1889" s="5">
        <v>203.33</v>
      </c>
      <c r="J1889" s="5">
        <v>12761.507289350136</v>
      </c>
      <c r="K1889" s="5">
        <v>0</v>
      </c>
      <c r="L1889" s="5">
        <v>197.53800000000001</v>
      </c>
      <c r="M1889" s="5">
        <v>12397.986656782803</v>
      </c>
      <c r="N1889" s="5" t="s">
        <v>97</v>
      </c>
      <c r="O1889" s="5">
        <v>5.7920000000000016</v>
      </c>
      <c r="P1889" s="5">
        <v>363.52063256733345</v>
      </c>
      <c r="Q1889" s="5">
        <v>2.9320940781014255</v>
      </c>
    </row>
    <row r="1890" spans="1:21" x14ac:dyDescent="0.2">
      <c r="A1890" s="4" t="s">
        <v>85</v>
      </c>
      <c r="B1890" s="4">
        <v>2015</v>
      </c>
      <c r="C1890" s="4" t="s">
        <v>84</v>
      </c>
      <c r="D1890" s="4">
        <v>1</v>
      </c>
      <c r="E1890" s="4">
        <v>18</v>
      </c>
      <c r="F1890" s="4">
        <v>3</v>
      </c>
      <c r="G1890" s="6" t="str">
        <f t="shared" si="60"/>
        <v>183</v>
      </c>
      <c r="H1890" s="5">
        <v>0</v>
      </c>
      <c r="I1890" s="5">
        <v>199.52</v>
      </c>
      <c r="J1890" s="5">
        <v>12522.382011366444</v>
      </c>
      <c r="K1890" s="5">
        <v>0</v>
      </c>
      <c r="L1890" s="5">
        <v>197.53800000000001</v>
      </c>
      <c r="M1890" s="5">
        <v>12397.986656782803</v>
      </c>
      <c r="N1890" s="5" t="s">
        <v>97</v>
      </c>
      <c r="O1890" s="5">
        <v>1.9819999999999993</v>
      </c>
      <c r="P1890" s="5">
        <v>124.39535458364116</v>
      </c>
      <c r="Q1890" s="5">
        <v>1.0033512539359433</v>
      </c>
    </row>
    <row r="1891" spans="1:21" x14ac:dyDescent="0.2">
      <c r="A1891" s="4" t="s">
        <v>85</v>
      </c>
      <c r="B1891" s="4">
        <v>2015</v>
      </c>
      <c r="C1891" s="4" t="s">
        <v>84</v>
      </c>
      <c r="D1891" s="4">
        <v>2</v>
      </c>
      <c r="E1891" s="4">
        <v>18</v>
      </c>
      <c r="F1891" s="4">
        <v>3</v>
      </c>
      <c r="G1891" s="6" t="str">
        <f t="shared" si="60"/>
        <v>183</v>
      </c>
      <c r="H1891" s="5">
        <v>0</v>
      </c>
      <c r="I1891" s="5">
        <v>207.92</v>
      </c>
      <c r="J1891" s="5">
        <v>13049.587348653322</v>
      </c>
      <c r="K1891" s="5">
        <v>0</v>
      </c>
      <c r="L1891" s="5">
        <v>197.53800000000001</v>
      </c>
      <c r="M1891" s="5">
        <v>12397.986656782803</v>
      </c>
      <c r="N1891" s="5" t="s">
        <v>97</v>
      </c>
      <c r="O1891" s="5">
        <v>10.381999999999977</v>
      </c>
      <c r="P1891" s="5">
        <v>651.60069187051886</v>
      </c>
      <c r="Q1891" s="5">
        <v>5.2556976379228093</v>
      </c>
    </row>
    <row r="1892" spans="1:21" x14ac:dyDescent="0.2">
      <c r="A1892" s="4" t="s">
        <v>85</v>
      </c>
      <c r="B1892" s="4">
        <v>2015</v>
      </c>
      <c r="C1892" s="4" t="s">
        <v>84</v>
      </c>
      <c r="D1892" s="4">
        <v>3</v>
      </c>
      <c r="E1892" s="4">
        <v>18</v>
      </c>
      <c r="F1892" s="4">
        <v>3</v>
      </c>
      <c r="G1892" s="6" t="str">
        <f t="shared" si="60"/>
        <v>183</v>
      </c>
      <c r="H1892" s="5">
        <v>0</v>
      </c>
      <c r="I1892" s="5">
        <v>160.28</v>
      </c>
      <c r="J1892" s="5">
        <v>10059.57993575488</v>
      </c>
      <c r="K1892" s="5">
        <v>2.75</v>
      </c>
      <c r="L1892" s="5">
        <v>197.53800000000001</v>
      </c>
      <c r="M1892" s="5">
        <v>12397.986656782803</v>
      </c>
      <c r="N1892" s="5">
        <v>100</v>
      </c>
      <c r="O1892" s="5">
        <v>-37.25800000000001</v>
      </c>
      <c r="P1892" s="5">
        <v>-2338.4067210279227</v>
      </c>
      <c r="Q1892" s="5">
        <v>-18.861181139831331</v>
      </c>
    </row>
    <row r="1893" spans="1:21" s="7" customFormat="1" x14ac:dyDescent="0.2">
      <c r="A1893" s="4" t="s">
        <v>85</v>
      </c>
      <c r="B1893" s="7">
        <v>2015</v>
      </c>
      <c r="C1893" s="7" t="s">
        <v>84</v>
      </c>
      <c r="D1893" s="7">
        <v>4</v>
      </c>
      <c r="E1893" s="7">
        <v>18</v>
      </c>
      <c r="F1893" s="7">
        <v>3</v>
      </c>
      <c r="G1893" s="6" t="str">
        <f t="shared" si="60"/>
        <v>183</v>
      </c>
      <c r="H1893" s="9">
        <v>0.75</v>
      </c>
      <c r="I1893" s="9">
        <v>204.13</v>
      </c>
      <c r="J1893" s="9">
        <v>12811.717321472695</v>
      </c>
      <c r="K1893" s="9">
        <v>0</v>
      </c>
      <c r="L1893" s="9">
        <v>197.53800000000001</v>
      </c>
      <c r="M1893" s="9">
        <v>12397.986656782803</v>
      </c>
      <c r="N1893" s="9" t="s">
        <v>97</v>
      </c>
      <c r="O1893" s="9">
        <v>6.5919999999999845</v>
      </c>
      <c r="P1893" s="9">
        <v>413.73066468989236</v>
      </c>
      <c r="Q1893" s="9">
        <v>3.3370794480049293</v>
      </c>
    </row>
    <row r="1894" spans="1:21" x14ac:dyDescent="0.2">
      <c r="A1894" s="4" t="s">
        <v>85</v>
      </c>
      <c r="B1894" s="4">
        <v>2015</v>
      </c>
      <c r="C1894" s="4" t="s">
        <v>84</v>
      </c>
      <c r="D1894" s="4">
        <v>1</v>
      </c>
      <c r="E1894" s="4">
        <v>19</v>
      </c>
      <c r="F1894" s="4">
        <v>3</v>
      </c>
      <c r="G1894" s="6" t="str">
        <f t="shared" si="60"/>
        <v>193</v>
      </c>
      <c r="H1894" s="5">
        <v>0</v>
      </c>
      <c r="I1894" s="5">
        <v>183.37</v>
      </c>
      <c r="J1894" s="5">
        <v>11508.766987892266</v>
      </c>
      <c r="K1894" s="5">
        <v>0</v>
      </c>
      <c r="L1894" s="5">
        <v>197.53800000000001</v>
      </c>
      <c r="M1894" s="5">
        <v>12397.986656782803</v>
      </c>
      <c r="N1894" s="5" t="s">
        <v>97</v>
      </c>
      <c r="O1894" s="5">
        <v>-14.168000000000006</v>
      </c>
      <c r="P1894" s="5">
        <v>-889.21966889053692</v>
      </c>
      <c r="Q1894" s="5">
        <v>-7.1722909009912073</v>
      </c>
      <c r="R1894" s="10"/>
      <c r="S1894" s="10"/>
      <c r="T1894" s="10"/>
      <c r="U1894" s="10"/>
    </row>
    <row r="1895" spans="1:21" x14ac:dyDescent="0.2">
      <c r="A1895" s="4" t="s">
        <v>85</v>
      </c>
      <c r="B1895" s="4">
        <v>2015</v>
      </c>
      <c r="C1895" s="4" t="s">
        <v>84</v>
      </c>
      <c r="D1895" s="4">
        <v>2</v>
      </c>
      <c r="E1895" s="4">
        <v>19</v>
      </c>
      <c r="F1895" s="4">
        <v>3</v>
      </c>
      <c r="G1895" s="6" t="str">
        <f t="shared" si="60"/>
        <v>193</v>
      </c>
      <c r="H1895" s="5">
        <v>0</v>
      </c>
      <c r="I1895" s="5">
        <v>225.05</v>
      </c>
      <c r="J1895" s="5">
        <v>14124.709661477638</v>
      </c>
      <c r="K1895" s="5">
        <v>0</v>
      </c>
      <c r="L1895" s="5">
        <v>197.53800000000001</v>
      </c>
      <c r="M1895" s="5">
        <v>12397.986656782803</v>
      </c>
      <c r="N1895" s="5" t="s">
        <v>97</v>
      </c>
      <c r="O1895" s="5">
        <v>27.512</v>
      </c>
      <c r="P1895" s="5">
        <v>1726.7230046948353</v>
      </c>
      <c r="Q1895" s="5">
        <v>13.927446870981781</v>
      </c>
      <c r="R1895" s="10"/>
      <c r="S1895" s="10"/>
      <c r="T1895" s="10"/>
      <c r="U1895" s="10"/>
    </row>
    <row r="1896" spans="1:21" x14ac:dyDescent="0.2">
      <c r="A1896" s="4" t="s">
        <v>85</v>
      </c>
      <c r="B1896" s="4">
        <v>2015</v>
      </c>
      <c r="C1896" s="4" t="s">
        <v>84</v>
      </c>
      <c r="D1896" s="4">
        <v>3</v>
      </c>
      <c r="E1896" s="4">
        <v>19</v>
      </c>
      <c r="F1896" s="4">
        <v>3</v>
      </c>
      <c r="G1896" s="6" t="str">
        <f t="shared" si="60"/>
        <v>193</v>
      </c>
      <c r="H1896" s="5">
        <v>0</v>
      </c>
      <c r="I1896" s="5">
        <v>187.73</v>
      </c>
      <c r="J1896" s="5">
        <v>11782.411662960216</v>
      </c>
      <c r="K1896" s="5">
        <v>2.75</v>
      </c>
      <c r="L1896" s="5">
        <v>197.53800000000001</v>
      </c>
      <c r="M1896" s="5">
        <v>12397.986656782803</v>
      </c>
      <c r="N1896" s="5">
        <v>100</v>
      </c>
      <c r="O1896" s="5">
        <v>-9.8080000000000211</v>
      </c>
      <c r="P1896" s="5">
        <v>-615.5749938225872</v>
      </c>
      <c r="Q1896" s="5">
        <v>-4.9651206350170805</v>
      </c>
      <c r="R1896" s="10"/>
      <c r="S1896" s="10"/>
      <c r="T1896" s="10"/>
      <c r="U1896" s="10"/>
    </row>
    <row r="1897" spans="1:21" x14ac:dyDescent="0.2">
      <c r="A1897" s="4" t="s">
        <v>85</v>
      </c>
      <c r="B1897" s="4">
        <v>2015</v>
      </c>
      <c r="C1897" s="4" t="s">
        <v>84</v>
      </c>
      <c r="D1897" s="4">
        <v>4</v>
      </c>
      <c r="E1897" s="4">
        <v>19</v>
      </c>
      <c r="F1897" s="4">
        <v>3</v>
      </c>
      <c r="G1897" s="6" t="str">
        <f t="shared" si="60"/>
        <v>193</v>
      </c>
      <c r="H1897" s="5">
        <v>0</v>
      </c>
      <c r="I1897" s="5">
        <v>185.7</v>
      </c>
      <c r="J1897" s="5">
        <v>11655.003706449221</v>
      </c>
      <c r="K1897" s="5">
        <v>0</v>
      </c>
      <c r="L1897" s="5">
        <v>197.53800000000001</v>
      </c>
      <c r="M1897" s="5">
        <v>12397.986656782803</v>
      </c>
      <c r="N1897" s="5" t="s">
        <v>97</v>
      </c>
      <c r="O1897" s="5">
        <v>-11.838000000000022</v>
      </c>
      <c r="P1897" s="5">
        <v>-742.98295033358227</v>
      </c>
      <c r="Q1897" s="5">
        <v>-5.9927710111472372</v>
      </c>
      <c r="R1897" s="10"/>
      <c r="S1897" s="10"/>
      <c r="T1897" s="10"/>
      <c r="U1897" s="10"/>
    </row>
    <row r="1898" spans="1:21" x14ac:dyDescent="0.2">
      <c r="A1898" s="4" t="s">
        <v>93</v>
      </c>
      <c r="B1898" s="4">
        <v>2015</v>
      </c>
      <c r="C1898" s="4" t="s">
        <v>92</v>
      </c>
      <c r="D1898" s="4">
        <v>1</v>
      </c>
      <c r="E1898" s="4">
        <v>1</v>
      </c>
      <c r="F1898" s="11">
        <v>0</v>
      </c>
      <c r="G1898" s="6" t="str">
        <f t="shared" si="60"/>
        <v>10</v>
      </c>
      <c r="H1898" s="5">
        <v>35</v>
      </c>
      <c r="I1898" s="5">
        <v>224.93976495235501</v>
      </c>
      <c r="J1898" s="5">
        <v>14117.791029873528</v>
      </c>
      <c r="K1898" s="5">
        <v>35</v>
      </c>
      <c r="L1898" s="5">
        <v>224.93976495235501</v>
      </c>
      <c r="M1898" s="5">
        <v>14117.791029873528</v>
      </c>
      <c r="N1898" s="5">
        <v>0</v>
      </c>
      <c r="O1898" s="5">
        <v>0</v>
      </c>
      <c r="P1898" s="5">
        <v>0</v>
      </c>
      <c r="Q1898" s="5">
        <v>0</v>
      </c>
      <c r="R1898" s="10"/>
      <c r="S1898" s="10"/>
      <c r="T1898" s="10"/>
      <c r="U1898" s="10"/>
    </row>
    <row r="1899" spans="1:21" x14ac:dyDescent="0.2">
      <c r="A1899" s="4" t="s">
        <v>93</v>
      </c>
      <c r="B1899" s="4">
        <v>2015</v>
      </c>
      <c r="C1899" s="4" t="s">
        <v>92</v>
      </c>
      <c r="D1899" s="4">
        <v>2</v>
      </c>
      <c r="E1899" s="4">
        <v>1</v>
      </c>
      <c r="F1899" s="11">
        <v>0</v>
      </c>
      <c r="G1899" s="6" t="str">
        <f t="shared" si="60"/>
        <v>10</v>
      </c>
      <c r="H1899" s="5">
        <v>3</v>
      </c>
      <c r="I1899" s="5">
        <v>196.298017113676</v>
      </c>
      <c r="J1899" s="5">
        <v>12320.162181090611</v>
      </c>
      <c r="K1899" s="5">
        <v>3</v>
      </c>
      <c r="L1899" s="5">
        <v>196.298017113676</v>
      </c>
      <c r="M1899" s="5">
        <v>12320.162181090611</v>
      </c>
      <c r="N1899" s="5">
        <v>0</v>
      </c>
      <c r="O1899" s="5">
        <v>0</v>
      </c>
      <c r="P1899" s="5">
        <v>0</v>
      </c>
      <c r="Q1899" s="5">
        <v>0</v>
      </c>
      <c r="R1899" s="10"/>
      <c r="S1899" s="10"/>
      <c r="T1899" s="10"/>
      <c r="U1899" s="10"/>
    </row>
    <row r="1900" spans="1:21" x14ac:dyDescent="0.2">
      <c r="A1900" s="4" t="s">
        <v>93</v>
      </c>
      <c r="B1900" s="4">
        <v>2015</v>
      </c>
      <c r="C1900" s="4" t="s">
        <v>92</v>
      </c>
      <c r="D1900" s="4">
        <v>3</v>
      </c>
      <c r="E1900" s="4">
        <v>1</v>
      </c>
      <c r="F1900" s="11">
        <v>0</v>
      </c>
      <c r="G1900" s="6" t="str">
        <f t="shared" si="60"/>
        <v>10</v>
      </c>
      <c r="H1900" s="5">
        <v>32</v>
      </c>
      <c r="I1900" s="5">
        <v>211.03670002098499</v>
      </c>
      <c r="J1900" s="5">
        <v>13245.199358865873</v>
      </c>
      <c r="K1900" s="5">
        <v>32</v>
      </c>
      <c r="L1900" s="5">
        <v>211.03670002098499</v>
      </c>
      <c r="M1900" s="5">
        <v>13245.199358865873</v>
      </c>
      <c r="N1900" s="5">
        <v>0</v>
      </c>
      <c r="O1900" s="5">
        <v>0</v>
      </c>
      <c r="P1900" s="5">
        <v>0</v>
      </c>
      <c r="Q1900" s="5">
        <v>0</v>
      </c>
      <c r="R1900" s="10"/>
      <c r="S1900" s="10"/>
      <c r="T1900" s="10"/>
      <c r="U1900" s="10"/>
    </row>
    <row r="1901" spans="1:21" x14ac:dyDescent="0.2">
      <c r="A1901" s="4" t="s">
        <v>93</v>
      </c>
      <c r="B1901" s="4">
        <v>2015</v>
      </c>
      <c r="C1901" s="4" t="s">
        <v>92</v>
      </c>
      <c r="D1901" s="4">
        <v>4</v>
      </c>
      <c r="E1901" s="4">
        <v>1</v>
      </c>
      <c r="F1901" s="11">
        <v>0</v>
      </c>
      <c r="G1901" s="6" t="str">
        <f t="shared" si="60"/>
        <v>10</v>
      </c>
      <c r="H1901" s="5">
        <v>17</v>
      </c>
      <c r="I1901" s="5">
        <v>222.803693520716</v>
      </c>
      <c r="J1901" s="5">
        <v>13983.725760875182</v>
      </c>
      <c r="K1901" s="5">
        <v>17</v>
      </c>
      <c r="L1901" s="5">
        <v>222.803693520716</v>
      </c>
      <c r="M1901" s="5">
        <v>13983.725760875182</v>
      </c>
      <c r="N1901" s="5">
        <v>0</v>
      </c>
      <c r="O1901" s="5">
        <v>0</v>
      </c>
      <c r="P1901" s="5">
        <v>0</v>
      </c>
      <c r="Q1901" s="5">
        <v>0</v>
      </c>
      <c r="R1901" s="10"/>
      <c r="S1901" s="10"/>
      <c r="T1901" s="10"/>
      <c r="U1901" s="10"/>
    </row>
    <row r="1902" spans="1:21" x14ac:dyDescent="0.2">
      <c r="A1902" s="4" t="s">
        <v>93</v>
      </c>
      <c r="B1902" s="4">
        <v>2015</v>
      </c>
      <c r="C1902" s="4" t="s">
        <v>92</v>
      </c>
      <c r="D1902" s="4">
        <v>1</v>
      </c>
      <c r="E1902" s="4">
        <v>2</v>
      </c>
      <c r="F1902" s="4">
        <v>1</v>
      </c>
      <c r="G1902" s="6" t="str">
        <f t="shared" si="60"/>
        <v>21</v>
      </c>
      <c r="H1902" s="5">
        <v>27</v>
      </c>
      <c r="I1902" s="5">
        <v>225.25179151166401</v>
      </c>
      <c r="J1902" s="5">
        <v>14137.374609331026</v>
      </c>
      <c r="K1902" s="5">
        <v>35</v>
      </c>
      <c r="L1902" s="5">
        <v>224.93976495235501</v>
      </c>
      <c r="M1902" s="5">
        <v>14117.791029873528</v>
      </c>
      <c r="N1902" s="5">
        <v>22.857142857142858</v>
      </c>
      <c r="O1902" s="5">
        <v>0.31202655930900391</v>
      </c>
      <c r="P1902" s="5">
        <v>19.583579457497763</v>
      </c>
      <c r="Q1902" s="5">
        <v>0.13871560654254281</v>
      </c>
      <c r="R1902" s="10"/>
      <c r="S1902" s="10"/>
      <c r="T1902" s="10"/>
      <c r="U1902" s="10"/>
    </row>
    <row r="1903" spans="1:21" x14ac:dyDescent="0.2">
      <c r="A1903" s="4" t="s">
        <v>93</v>
      </c>
      <c r="B1903" s="4">
        <v>2015</v>
      </c>
      <c r="C1903" s="4" t="s">
        <v>92</v>
      </c>
      <c r="D1903" s="4">
        <v>2</v>
      </c>
      <c r="E1903" s="4">
        <v>2</v>
      </c>
      <c r="F1903" s="4">
        <v>1</v>
      </c>
      <c r="G1903" s="6" t="str">
        <f t="shared" si="60"/>
        <v>21</v>
      </c>
      <c r="H1903" s="5">
        <v>24</v>
      </c>
      <c r="I1903" s="5">
        <v>195.964228966386</v>
      </c>
      <c r="J1903" s="5">
        <v>12299.212789093661</v>
      </c>
      <c r="K1903" s="5">
        <v>3</v>
      </c>
      <c r="L1903" s="5">
        <v>196.298017113676</v>
      </c>
      <c r="M1903" s="5">
        <v>12320.162181090611</v>
      </c>
      <c r="N1903" s="5">
        <v>-700</v>
      </c>
      <c r="O1903" s="5">
        <v>-0.33378814728999373</v>
      </c>
      <c r="P1903" s="5">
        <v>-20.949391996949998</v>
      </c>
      <c r="Q1903" s="5">
        <v>-0.17004152777391041</v>
      </c>
      <c r="R1903" s="10"/>
      <c r="S1903" s="10"/>
      <c r="T1903" s="10"/>
      <c r="U1903" s="10"/>
    </row>
    <row r="1904" spans="1:21" x14ac:dyDescent="0.2">
      <c r="A1904" s="4" t="s">
        <v>93</v>
      </c>
      <c r="B1904" s="4">
        <v>2015</v>
      </c>
      <c r="C1904" s="4" t="s">
        <v>92</v>
      </c>
      <c r="D1904" s="4">
        <v>3</v>
      </c>
      <c r="E1904" s="4">
        <v>2</v>
      </c>
      <c r="F1904" s="4">
        <v>1</v>
      </c>
      <c r="G1904" s="6" t="str">
        <f t="shared" si="60"/>
        <v>21</v>
      </c>
      <c r="H1904" s="5">
        <v>33</v>
      </c>
      <c r="I1904" s="5">
        <v>219.778617121754</v>
      </c>
      <c r="J1904" s="5">
        <v>13793.864281918832</v>
      </c>
      <c r="K1904" s="5">
        <v>32</v>
      </c>
      <c r="L1904" s="5">
        <v>211.03670002098499</v>
      </c>
      <c r="M1904" s="5">
        <v>13245.199358865873</v>
      </c>
      <c r="N1904" s="5">
        <v>-3.125</v>
      </c>
      <c r="O1904" s="5">
        <v>8.7419171007690011</v>
      </c>
      <c r="P1904" s="5">
        <v>548.66492305295833</v>
      </c>
      <c r="Q1904" s="5">
        <v>4.1423681757247488</v>
      </c>
      <c r="R1904" s="10"/>
      <c r="S1904" s="10"/>
      <c r="T1904" s="10"/>
      <c r="U1904" s="10"/>
    </row>
    <row r="1905" spans="1:21" x14ac:dyDescent="0.2">
      <c r="A1905" s="4" t="s">
        <v>93</v>
      </c>
      <c r="B1905" s="4">
        <v>2015</v>
      </c>
      <c r="C1905" s="4" t="s">
        <v>92</v>
      </c>
      <c r="D1905" s="4">
        <v>4</v>
      </c>
      <c r="E1905" s="4">
        <v>2</v>
      </c>
      <c r="F1905" s="4">
        <v>1</v>
      </c>
      <c r="G1905" s="6" t="str">
        <f t="shared" si="60"/>
        <v>21</v>
      </c>
      <c r="H1905" s="5">
        <v>26</v>
      </c>
      <c r="I1905" s="5">
        <v>216.07960743544601</v>
      </c>
      <c r="J1905" s="5">
        <v>13561.705037954851</v>
      </c>
      <c r="K1905" s="5">
        <v>17</v>
      </c>
      <c r="L1905" s="5">
        <v>222.803693520716</v>
      </c>
      <c r="M1905" s="5">
        <v>13983.725760875182</v>
      </c>
      <c r="N1905" s="5">
        <v>-52.941176470588239</v>
      </c>
      <c r="O1905" s="5">
        <v>-6.7240860852699882</v>
      </c>
      <c r="P1905" s="5">
        <v>-422.02072292033154</v>
      </c>
      <c r="Q1905" s="5">
        <v>-3.0179419286174491</v>
      </c>
      <c r="R1905" s="10"/>
      <c r="S1905" s="10"/>
      <c r="T1905" s="10"/>
      <c r="U1905" s="10"/>
    </row>
    <row r="1906" spans="1:21" x14ac:dyDescent="0.2">
      <c r="A1906" s="4" t="s">
        <v>93</v>
      </c>
      <c r="B1906" s="4">
        <v>2015</v>
      </c>
      <c r="C1906" s="4" t="s">
        <v>92</v>
      </c>
      <c r="D1906" s="4">
        <v>1</v>
      </c>
      <c r="E1906" s="4">
        <v>4</v>
      </c>
      <c r="F1906" s="4">
        <v>1</v>
      </c>
      <c r="G1906" s="6" t="str">
        <f t="shared" si="60"/>
        <v>41</v>
      </c>
      <c r="H1906" s="5">
        <v>30</v>
      </c>
      <c r="I1906" s="5">
        <v>217.022732320085</v>
      </c>
      <c r="J1906" s="5">
        <v>13620.897951396488</v>
      </c>
      <c r="K1906" s="5">
        <v>35</v>
      </c>
      <c r="L1906" s="5">
        <v>224.93976495235501</v>
      </c>
      <c r="M1906" s="5">
        <v>14117.791029873528</v>
      </c>
      <c r="N1906" s="5">
        <v>14.285714285714285</v>
      </c>
      <c r="O1906" s="5">
        <v>-7.9170326322700078</v>
      </c>
      <c r="P1906" s="5">
        <v>-496.89307847704004</v>
      </c>
      <c r="Q1906" s="5">
        <v>-3.5196234129376496</v>
      </c>
      <c r="R1906" s="10"/>
      <c r="S1906" s="10"/>
      <c r="T1906" s="10"/>
      <c r="U1906" s="10"/>
    </row>
    <row r="1907" spans="1:21" x14ac:dyDescent="0.2">
      <c r="A1907" s="4" t="s">
        <v>93</v>
      </c>
      <c r="B1907" s="4">
        <v>2015</v>
      </c>
      <c r="C1907" s="4" t="s">
        <v>92</v>
      </c>
      <c r="D1907" s="4">
        <v>2</v>
      </c>
      <c r="E1907" s="4">
        <v>4</v>
      </c>
      <c r="F1907" s="4">
        <v>1</v>
      </c>
      <c r="G1907" s="6" t="str">
        <f t="shared" si="60"/>
        <v>41</v>
      </c>
      <c r="H1907" s="5">
        <v>32</v>
      </c>
      <c r="I1907" s="5">
        <v>209.88172184286199</v>
      </c>
      <c r="J1907" s="5">
        <v>13172.709994585359</v>
      </c>
      <c r="K1907" s="5">
        <v>3</v>
      </c>
      <c r="L1907" s="5">
        <v>196.298017113676</v>
      </c>
      <c r="M1907" s="5">
        <v>12320.162181090611</v>
      </c>
      <c r="N1907" s="5">
        <v>-966.66666666666663</v>
      </c>
      <c r="O1907" s="5">
        <v>13.583704729185996</v>
      </c>
      <c r="P1907" s="5">
        <v>852.54781349474797</v>
      </c>
      <c r="Q1907" s="5">
        <v>6.9199398592598591</v>
      </c>
      <c r="R1907" s="10"/>
      <c r="S1907" s="10"/>
      <c r="T1907" s="10"/>
      <c r="U1907" s="10"/>
    </row>
    <row r="1908" spans="1:21" x14ac:dyDescent="0.2">
      <c r="A1908" s="4" t="s">
        <v>93</v>
      </c>
      <c r="B1908" s="4">
        <v>2015</v>
      </c>
      <c r="C1908" s="4" t="s">
        <v>92</v>
      </c>
      <c r="D1908" s="4">
        <v>3</v>
      </c>
      <c r="E1908" s="4">
        <v>4</v>
      </c>
      <c r="F1908" s="4">
        <v>1</v>
      </c>
      <c r="G1908" s="6" t="str">
        <f t="shared" si="60"/>
        <v>41</v>
      </c>
      <c r="H1908" s="5">
        <v>34</v>
      </c>
      <c r="I1908" s="5">
        <v>240.75204408115499</v>
      </c>
      <c r="J1908" s="5">
        <v>15110.209833608442</v>
      </c>
      <c r="K1908" s="5">
        <v>32</v>
      </c>
      <c r="L1908" s="5">
        <v>211.03670002098499</v>
      </c>
      <c r="M1908" s="5">
        <v>13245.199358865873</v>
      </c>
      <c r="N1908" s="5">
        <v>-6.25</v>
      </c>
      <c r="O1908" s="5">
        <v>29.715344060169997</v>
      </c>
      <c r="P1908" s="5">
        <v>1865.0104747425685</v>
      </c>
      <c r="Q1908" s="5">
        <v>14.080652349669586</v>
      </c>
      <c r="R1908" s="10"/>
      <c r="S1908" s="10"/>
      <c r="T1908" s="10"/>
      <c r="U1908" s="10"/>
    </row>
    <row r="1909" spans="1:21" x14ac:dyDescent="0.2">
      <c r="A1909" s="4" t="s">
        <v>93</v>
      </c>
      <c r="B1909" s="4">
        <v>2015</v>
      </c>
      <c r="C1909" s="4" t="s">
        <v>92</v>
      </c>
      <c r="D1909" s="4">
        <v>4</v>
      </c>
      <c r="E1909" s="4">
        <v>4</v>
      </c>
      <c r="F1909" s="4">
        <v>1</v>
      </c>
      <c r="G1909" s="6" t="str">
        <f t="shared" si="60"/>
        <v>41</v>
      </c>
      <c r="H1909" s="5">
        <v>35</v>
      </c>
      <c r="I1909" s="5">
        <v>205.21548750992901</v>
      </c>
      <c r="J1909" s="5">
        <v>12879.845274900412</v>
      </c>
      <c r="K1909" s="5">
        <v>17</v>
      </c>
      <c r="L1909" s="5">
        <v>222.803693520716</v>
      </c>
      <c r="M1909" s="5">
        <v>13983.725760875182</v>
      </c>
      <c r="N1909" s="5">
        <v>-105.88235294117648</v>
      </c>
      <c r="O1909" s="5">
        <v>-17.58820601078699</v>
      </c>
      <c r="P1909" s="5">
        <v>-1103.8804859747706</v>
      </c>
      <c r="Q1909" s="5">
        <v>-7.8940370030946854</v>
      </c>
      <c r="R1909" s="10"/>
      <c r="S1909" s="10"/>
      <c r="T1909" s="10"/>
      <c r="U1909" s="10"/>
    </row>
    <row r="1910" spans="1:21" x14ac:dyDescent="0.2">
      <c r="A1910" s="4" t="s">
        <v>93</v>
      </c>
      <c r="B1910" s="4">
        <v>2015</v>
      </c>
      <c r="C1910" s="4" t="s">
        <v>92</v>
      </c>
      <c r="D1910" s="4">
        <v>1</v>
      </c>
      <c r="E1910" s="4">
        <v>6</v>
      </c>
      <c r="F1910" s="4">
        <v>1</v>
      </c>
      <c r="G1910" s="6" t="str">
        <f t="shared" si="60"/>
        <v>61</v>
      </c>
      <c r="H1910" s="5">
        <v>25</v>
      </c>
      <c r="I1910" s="5">
        <v>231.266458771148</v>
      </c>
      <c r="J1910" s="5">
        <v>14514.870404712525</v>
      </c>
      <c r="K1910" s="5">
        <v>35</v>
      </c>
      <c r="L1910" s="5">
        <v>224.93976495235501</v>
      </c>
      <c r="M1910" s="5">
        <v>14117.791029873528</v>
      </c>
      <c r="N1910" s="5">
        <v>28.571428571428569</v>
      </c>
      <c r="O1910" s="5">
        <v>6.3266938187929895</v>
      </c>
      <c r="P1910" s="5">
        <v>397.07937483899696</v>
      </c>
      <c r="Q1910" s="5">
        <v>2.812616888851585</v>
      </c>
      <c r="R1910" s="10"/>
      <c r="S1910" s="10"/>
      <c r="T1910" s="10"/>
      <c r="U1910" s="10"/>
    </row>
    <row r="1911" spans="1:21" x14ac:dyDescent="0.2">
      <c r="A1911" s="4" t="s">
        <v>93</v>
      </c>
      <c r="B1911" s="4">
        <v>2015</v>
      </c>
      <c r="C1911" s="4" t="s">
        <v>92</v>
      </c>
      <c r="D1911" s="4">
        <v>2</v>
      </c>
      <c r="E1911" s="4">
        <v>6</v>
      </c>
      <c r="F1911" s="4">
        <v>1</v>
      </c>
      <c r="G1911" s="6" t="str">
        <f t="shared" si="60"/>
        <v>61</v>
      </c>
      <c r="H1911" s="5">
        <v>22</v>
      </c>
      <c r="I1911" s="5">
        <v>217.95673771241201</v>
      </c>
      <c r="J1911" s="5">
        <v>13679.518502335717</v>
      </c>
      <c r="K1911" s="5">
        <v>3</v>
      </c>
      <c r="L1911" s="5">
        <v>196.298017113676</v>
      </c>
      <c r="M1911" s="5">
        <v>12320.162181090611</v>
      </c>
      <c r="N1911" s="5">
        <v>-633.33333333333326</v>
      </c>
      <c r="O1911" s="5">
        <v>21.658720598736011</v>
      </c>
      <c r="P1911" s="5">
        <v>1359.3563212451063</v>
      </c>
      <c r="Q1911" s="5">
        <v>11.033591127002298</v>
      </c>
      <c r="R1911" s="10"/>
      <c r="S1911" s="10"/>
      <c r="T1911" s="10"/>
      <c r="U1911" s="10"/>
    </row>
    <row r="1912" spans="1:21" x14ac:dyDescent="0.2">
      <c r="A1912" s="4" t="s">
        <v>93</v>
      </c>
      <c r="B1912" s="4">
        <v>2015</v>
      </c>
      <c r="C1912" s="4" t="s">
        <v>92</v>
      </c>
      <c r="D1912" s="4">
        <v>3</v>
      </c>
      <c r="E1912" s="4">
        <v>6</v>
      </c>
      <c r="F1912" s="4">
        <v>1</v>
      </c>
      <c r="G1912" s="6" t="str">
        <f t="shared" si="60"/>
        <v>61</v>
      </c>
      <c r="H1912" s="5">
        <v>10</v>
      </c>
      <c r="I1912" s="5">
        <v>241.78711259555499</v>
      </c>
      <c r="J1912" s="5">
        <v>15175.173362804786</v>
      </c>
      <c r="K1912" s="5">
        <v>32</v>
      </c>
      <c r="L1912" s="5">
        <v>211.03670002098499</v>
      </c>
      <c r="M1912" s="5">
        <v>13245.199358865873</v>
      </c>
      <c r="N1912" s="5">
        <v>68.75</v>
      </c>
      <c r="O1912" s="5">
        <v>30.750412574569992</v>
      </c>
      <c r="P1912" s="5">
        <v>1929.9740039389126</v>
      </c>
      <c r="Q1912" s="5">
        <v>14.571120838940455</v>
      </c>
      <c r="R1912" s="10"/>
      <c r="S1912" s="10"/>
      <c r="T1912" s="10"/>
      <c r="U1912" s="10"/>
    </row>
    <row r="1913" spans="1:21" x14ac:dyDescent="0.2">
      <c r="A1913" s="4" t="s">
        <v>93</v>
      </c>
      <c r="B1913" s="4">
        <v>2015</v>
      </c>
      <c r="C1913" s="4" t="s">
        <v>92</v>
      </c>
      <c r="D1913" s="4">
        <v>4</v>
      </c>
      <c r="E1913" s="4">
        <v>6</v>
      </c>
      <c r="F1913" s="4">
        <v>1</v>
      </c>
      <c r="G1913" s="6" t="str">
        <f t="shared" si="60"/>
        <v>61</v>
      </c>
      <c r="H1913" s="5">
        <v>38</v>
      </c>
      <c r="I1913" s="5">
        <v>221.67921330250999</v>
      </c>
      <c r="J1913" s="5">
        <v>13913.150526028548</v>
      </c>
      <c r="K1913" s="5">
        <v>17</v>
      </c>
      <c r="L1913" s="5">
        <v>222.803693520716</v>
      </c>
      <c r="M1913" s="5">
        <v>13983.725760875182</v>
      </c>
      <c r="N1913" s="5">
        <v>-123.52941176470588</v>
      </c>
      <c r="O1913" s="5">
        <v>-1.1244802182060027</v>
      </c>
      <c r="P1913" s="5">
        <v>-70.575234846633975</v>
      </c>
      <c r="Q1913" s="5">
        <v>-0.50469550142419961</v>
      </c>
      <c r="R1913" s="10"/>
      <c r="S1913" s="10"/>
      <c r="T1913" s="10"/>
      <c r="U1913" s="10"/>
    </row>
    <row r="1914" spans="1:21" x14ac:dyDescent="0.2">
      <c r="A1914" s="4" t="s">
        <v>93</v>
      </c>
      <c r="B1914" s="4">
        <v>2015</v>
      </c>
      <c r="C1914" s="4" t="s">
        <v>92</v>
      </c>
      <c r="D1914" s="4">
        <v>1</v>
      </c>
      <c r="E1914" s="4">
        <v>7</v>
      </c>
      <c r="F1914" s="4">
        <v>2</v>
      </c>
      <c r="G1914" s="6" t="str">
        <f t="shared" si="60"/>
        <v>72</v>
      </c>
      <c r="H1914" s="5">
        <v>6</v>
      </c>
      <c r="I1914" s="5">
        <v>222.13527558869799</v>
      </c>
      <c r="J1914" s="5">
        <v>13941.774153577784</v>
      </c>
      <c r="K1914" s="5">
        <v>35</v>
      </c>
      <c r="L1914" s="5">
        <v>224.93976495235501</v>
      </c>
      <c r="M1914" s="5">
        <v>14117.791029873528</v>
      </c>
      <c r="N1914" s="5">
        <v>82.857142857142861</v>
      </c>
      <c r="O1914" s="5">
        <v>-2.8044893636570123</v>
      </c>
      <c r="P1914" s="5">
        <v>-176.01687629574371</v>
      </c>
      <c r="Q1914" s="5">
        <v>-1.2467734925618923</v>
      </c>
      <c r="R1914" s="10"/>
      <c r="S1914" s="10"/>
      <c r="T1914" s="10"/>
      <c r="U1914" s="10"/>
    </row>
    <row r="1915" spans="1:21" x14ac:dyDescent="0.2">
      <c r="A1915" s="4" t="s">
        <v>93</v>
      </c>
      <c r="B1915" s="4">
        <v>2015</v>
      </c>
      <c r="C1915" s="4" t="s">
        <v>92</v>
      </c>
      <c r="D1915" s="4">
        <v>2</v>
      </c>
      <c r="E1915" s="4">
        <v>7</v>
      </c>
      <c r="F1915" s="4">
        <v>2</v>
      </c>
      <c r="G1915" s="6" t="str">
        <f t="shared" si="60"/>
        <v>72</v>
      </c>
      <c r="H1915" s="5">
        <v>2</v>
      </c>
      <c r="I1915" s="5">
        <v>207.23661493872399</v>
      </c>
      <c r="J1915" s="5">
        <v>13006.69636630489</v>
      </c>
      <c r="K1915" s="5">
        <v>3</v>
      </c>
      <c r="L1915" s="5">
        <v>196.298017113676</v>
      </c>
      <c r="M1915" s="5">
        <v>12320.162181090611</v>
      </c>
      <c r="N1915" s="5">
        <v>33.333333333333329</v>
      </c>
      <c r="O1915" s="5">
        <v>10.938597825047992</v>
      </c>
      <c r="P1915" s="5">
        <v>686.5341852142792</v>
      </c>
      <c r="Q1915" s="5">
        <v>5.5724443811948712</v>
      </c>
      <c r="R1915" s="10"/>
      <c r="S1915" s="10"/>
      <c r="T1915" s="10"/>
      <c r="U1915" s="10"/>
    </row>
    <row r="1916" spans="1:21" x14ac:dyDescent="0.2">
      <c r="A1916" s="4" t="s">
        <v>93</v>
      </c>
      <c r="B1916" s="4">
        <v>2015</v>
      </c>
      <c r="C1916" s="4" t="s">
        <v>92</v>
      </c>
      <c r="D1916" s="4">
        <v>3</v>
      </c>
      <c r="E1916" s="4">
        <v>7</v>
      </c>
      <c r="F1916" s="4">
        <v>2</v>
      </c>
      <c r="G1916" s="6" t="str">
        <f t="shared" si="60"/>
        <v>72</v>
      </c>
      <c r="H1916" s="5">
        <v>3</v>
      </c>
      <c r="I1916" s="5">
        <v>232.491913564154</v>
      </c>
      <c r="J1916" s="5">
        <v>14591.783060364496</v>
      </c>
      <c r="K1916" s="5">
        <v>32</v>
      </c>
      <c r="L1916" s="5">
        <v>211.03670002098499</v>
      </c>
      <c r="M1916" s="5">
        <v>13245.199358865873</v>
      </c>
      <c r="N1916" s="5">
        <v>90.625</v>
      </c>
      <c r="O1916" s="5">
        <v>21.455213543169009</v>
      </c>
      <c r="P1916" s="5">
        <v>1346.5837014986228</v>
      </c>
      <c r="Q1916" s="5">
        <v>10.166579339534566</v>
      </c>
      <c r="R1916" s="10"/>
      <c r="S1916" s="10"/>
      <c r="T1916" s="10"/>
      <c r="U1916" s="10"/>
    </row>
    <row r="1917" spans="1:21" x14ac:dyDescent="0.2">
      <c r="A1917" s="4" t="s">
        <v>93</v>
      </c>
      <c r="B1917" s="4">
        <v>2015</v>
      </c>
      <c r="C1917" s="4" t="s">
        <v>92</v>
      </c>
      <c r="D1917" s="4">
        <v>4</v>
      </c>
      <c r="E1917" s="4">
        <v>7</v>
      </c>
      <c r="F1917" s="4">
        <v>2</v>
      </c>
      <c r="G1917" s="6" t="str">
        <f t="shared" si="60"/>
        <v>72</v>
      </c>
      <c r="H1917" s="5">
        <v>3</v>
      </c>
      <c r="I1917" s="5">
        <v>225.42729571163099</v>
      </c>
      <c r="J1917" s="5">
        <v>14148.389698728508</v>
      </c>
      <c r="K1917" s="5">
        <v>17</v>
      </c>
      <c r="L1917" s="5">
        <v>222.803693520716</v>
      </c>
      <c r="M1917" s="5">
        <v>13983.725760875182</v>
      </c>
      <c r="N1917" s="5">
        <v>82.35294117647058</v>
      </c>
      <c r="O1917" s="5">
        <v>2.623602190914994</v>
      </c>
      <c r="P1917" s="5">
        <v>164.66393785332548</v>
      </c>
      <c r="Q1917" s="5">
        <v>1.1775398106993473</v>
      </c>
      <c r="R1917" s="10"/>
      <c r="S1917" s="10"/>
      <c r="T1917" s="10"/>
      <c r="U1917" s="10"/>
    </row>
    <row r="1918" spans="1:21" x14ac:dyDescent="0.2">
      <c r="A1918" s="4" t="s">
        <v>93</v>
      </c>
      <c r="B1918" s="4">
        <v>2015</v>
      </c>
      <c r="C1918" s="4" t="s">
        <v>92</v>
      </c>
      <c r="D1918" s="4">
        <v>1</v>
      </c>
      <c r="E1918" s="4">
        <v>8</v>
      </c>
      <c r="F1918" s="4">
        <v>2</v>
      </c>
      <c r="G1918" s="6" t="str">
        <f t="shared" si="60"/>
        <v>82</v>
      </c>
      <c r="H1918" s="5">
        <v>7</v>
      </c>
      <c r="I1918" s="5">
        <v>234.48026359830499</v>
      </c>
      <c r="J1918" s="5">
        <v>14716.576959221513</v>
      </c>
      <c r="K1918" s="5">
        <v>35</v>
      </c>
      <c r="L1918" s="5">
        <v>224.93976495235501</v>
      </c>
      <c r="M1918" s="5">
        <v>14117.791029873528</v>
      </c>
      <c r="N1918" s="5">
        <v>80</v>
      </c>
      <c r="O1918" s="5">
        <v>9.540498645949981</v>
      </c>
      <c r="P1918" s="5">
        <v>598.78592934798507</v>
      </c>
      <c r="Q1918" s="5">
        <v>4.2413570797367806</v>
      </c>
      <c r="R1918" s="10"/>
      <c r="S1918" s="10"/>
      <c r="T1918" s="10"/>
      <c r="U1918" s="10"/>
    </row>
    <row r="1919" spans="1:21" x14ac:dyDescent="0.2">
      <c r="A1919" s="4" t="s">
        <v>93</v>
      </c>
      <c r="B1919" s="4">
        <v>2015</v>
      </c>
      <c r="C1919" s="4" t="s">
        <v>92</v>
      </c>
      <c r="D1919" s="4">
        <v>2</v>
      </c>
      <c r="E1919" s="4">
        <v>8</v>
      </c>
      <c r="F1919" s="4">
        <v>2</v>
      </c>
      <c r="G1919" s="6" t="str">
        <f t="shared" si="60"/>
        <v>82</v>
      </c>
      <c r="H1919" s="5">
        <v>4</v>
      </c>
      <c r="I1919" s="5">
        <v>214.30586004374001</v>
      </c>
      <c r="J1919" s="5">
        <v>13450.38014606127</v>
      </c>
      <c r="K1919" s="5">
        <v>3</v>
      </c>
      <c r="L1919" s="5">
        <v>196.298017113676</v>
      </c>
      <c r="M1919" s="5">
        <v>12320.162181090611</v>
      </c>
      <c r="N1919" s="5">
        <v>-33.333333333333329</v>
      </c>
      <c r="O1919" s="5">
        <v>18.007842930064015</v>
      </c>
      <c r="P1919" s="5">
        <v>1130.2179649706595</v>
      </c>
      <c r="Q1919" s="5">
        <v>9.1737263548799319</v>
      </c>
      <c r="R1919" s="10"/>
      <c r="S1919" s="10"/>
      <c r="T1919" s="10"/>
      <c r="U1919" s="10"/>
    </row>
    <row r="1920" spans="1:21" x14ac:dyDescent="0.2">
      <c r="A1920" s="4" t="s">
        <v>93</v>
      </c>
      <c r="B1920" s="4">
        <v>2015</v>
      </c>
      <c r="C1920" s="4" t="s">
        <v>92</v>
      </c>
      <c r="D1920" s="4">
        <v>3</v>
      </c>
      <c r="E1920" s="4">
        <v>8</v>
      </c>
      <c r="F1920" s="4">
        <v>2</v>
      </c>
      <c r="G1920" s="6" t="str">
        <f t="shared" si="60"/>
        <v>82</v>
      </c>
      <c r="H1920" s="5">
        <v>2</v>
      </c>
      <c r="I1920" s="5">
        <v>238.68382703775899</v>
      </c>
      <c r="J1920" s="5">
        <v>14980.403278376769</v>
      </c>
      <c r="K1920" s="5">
        <v>32</v>
      </c>
      <c r="L1920" s="5">
        <v>211.03670002098499</v>
      </c>
      <c r="M1920" s="5">
        <v>13245.199358865873</v>
      </c>
      <c r="N1920" s="5">
        <v>93.75</v>
      </c>
      <c r="O1920" s="5">
        <v>27.647127016773993</v>
      </c>
      <c r="P1920" s="5">
        <v>1735.2039195108955</v>
      </c>
      <c r="Q1920" s="5">
        <v>13.100625158574234</v>
      </c>
      <c r="R1920" s="10"/>
      <c r="S1920" s="10"/>
      <c r="T1920" s="10"/>
      <c r="U1920" s="10"/>
    </row>
    <row r="1921" spans="1:21" x14ac:dyDescent="0.2">
      <c r="A1921" s="4" t="s">
        <v>93</v>
      </c>
      <c r="B1921" s="4">
        <v>2015</v>
      </c>
      <c r="C1921" s="4" t="s">
        <v>92</v>
      </c>
      <c r="D1921" s="4">
        <v>4</v>
      </c>
      <c r="E1921" s="4">
        <v>8</v>
      </c>
      <c r="F1921" s="4">
        <v>2</v>
      </c>
      <c r="G1921" s="6" t="str">
        <f t="shared" si="60"/>
        <v>82</v>
      </c>
      <c r="H1921" s="5">
        <v>4</v>
      </c>
      <c r="I1921" s="5">
        <v>212.956355480555</v>
      </c>
      <c r="J1921" s="5">
        <v>13365.681811727445</v>
      </c>
      <c r="K1921" s="5">
        <v>17</v>
      </c>
      <c r="L1921" s="5">
        <v>222.803693520716</v>
      </c>
      <c r="M1921" s="5">
        <v>13983.725760875182</v>
      </c>
      <c r="N1921" s="5">
        <v>76.470588235294116</v>
      </c>
      <c r="O1921" s="5">
        <v>-9.8473380401609916</v>
      </c>
      <c r="P1921" s="5">
        <v>-618.04394914773729</v>
      </c>
      <c r="Q1921" s="5">
        <v>-4.4197373412238354</v>
      </c>
      <c r="R1921" s="10"/>
      <c r="S1921" s="10"/>
      <c r="T1921" s="10"/>
      <c r="U1921" s="10"/>
    </row>
    <row r="1922" spans="1:21" x14ac:dyDescent="0.2">
      <c r="A1922" s="4" t="s">
        <v>93</v>
      </c>
      <c r="B1922" s="4">
        <v>2015</v>
      </c>
      <c r="C1922" s="4" t="s">
        <v>92</v>
      </c>
      <c r="D1922" s="4">
        <v>1</v>
      </c>
      <c r="E1922" s="4">
        <v>9</v>
      </c>
      <c r="F1922" s="4">
        <v>2</v>
      </c>
      <c r="G1922" s="6" t="str">
        <f t="shared" ref="G1922:G1985" si="61">E1922&amp;F1922</f>
        <v>92</v>
      </c>
      <c r="H1922" s="5">
        <v>3</v>
      </c>
      <c r="I1922" s="5">
        <v>220.446665960686</v>
      </c>
      <c r="J1922" s="5">
        <v>13835.792723996601</v>
      </c>
      <c r="K1922" s="5">
        <v>35</v>
      </c>
      <c r="L1922" s="5">
        <v>224.93976495235501</v>
      </c>
      <c r="M1922" s="5">
        <v>14117.791029873528</v>
      </c>
      <c r="N1922" s="5">
        <v>91.428571428571431</v>
      </c>
      <c r="O1922" s="5">
        <v>-4.493098991669001</v>
      </c>
      <c r="P1922" s="5">
        <v>-281.99830587692668</v>
      </c>
      <c r="Q1922" s="5">
        <v>-1.9974676298877965</v>
      </c>
      <c r="R1922" s="10"/>
      <c r="S1922" s="10"/>
      <c r="T1922" s="10"/>
      <c r="U1922" s="10"/>
    </row>
    <row r="1923" spans="1:21" x14ac:dyDescent="0.2">
      <c r="A1923" s="4" t="s">
        <v>93</v>
      </c>
      <c r="B1923" s="4">
        <v>2015</v>
      </c>
      <c r="C1923" s="4" t="s">
        <v>92</v>
      </c>
      <c r="D1923" s="4">
        <v>2</v>
      </c>
      <c r="E1923" s="4">
        <v>9</v>
      </c>
      <c r="F1923" s="4">
        <v>2</v>
      </c>
      <c r="G1923" s="6" t="str">
        <f t="shared" si="61"/>
        <v>92</v>
      </c>
      <c r="H1923" s="5">
        <v>2</v>
      </c>
      <c r="I1923" s="5">
        <v>200.70477550147899</v>
      </c>
      <c r="J1923" s="5">
        <v>12596.741531350546</v>
      </c>
      <c r="K1923" s="5">
        <v>3</v>
      </c>
      <c r="L1923" s="5">
        <v>196.298017113676</v>
      </c>
      <c r="M1923" s="5">
        <v>12320.162181090611</v>
      </c>
      <c r="N1923" s="5">
        <v>33.333333333333329</v>
      </c>
      <c r="O1923" s="5">
        <v>4.406758387802995</v>
      </c>
      <c r="P1923" s="5">
        <v>276.57935025993538</v>
      </c>
      <c r="Q1923" s="5">
        <v>2.2449327061979623</v>
      </c>
      <c r="R1923" s="10"/>
      <c r="S1923" s="10"/>
      <c r="T1923" s="10"/>
      <c r="U1923" s="10"/>
    </row>
    <row r="1924" spans="1:21" x14ac:dyDescent="0.2">
      <c r="A1924" s="4" t="s">
        <v>93</v>
      </c>
      <c r="B1924" s="4">
        <v>2015</v>
      </c>
      <c r="C1924" s="4" t="s">
        <v>92</v>
      </c>
      <c r="D1924" s="4">
        <v>3</v>
      </c>
      <c r="E1924" s="4">
        <v>9</v>
      </c>
      <c r="F1924" s="4">
        <v>2</v>
      </c>
      <c r="G1924" s="6" t="str">
        <f t="shared" si="61"/>
        <v>92</v>
      </c>
      <c r="H1924" s="5">
        <v>4</v>
      </c>
      <c r="I1924" s="5">
        <v>213.70150036444301</v>
      </c>
      <c r="J1924" s="5">
        <v>13412.448997422418</v>
      </c>
      <c r="K1924" s="5">
        <v>32</v>
      </c>
      <c r="L1924" s="5">
        <v>211.03670002098499</v>
      </c>
      <c r="M1924" s="5">
        <v>13245.199358865873</v>
      </c>
      <c r="N1924" s="5">
        <v>87.5</v>
      </c>
      <c r="O1924" s="5">
        <v>2.6648003434580119</v>
      </c>
      <c r="P1924" s="5">
        <v>167.2496385565446</v>
      </c>
      <c r="Q1924" s="5">
        <v>1.2627189219661956</v>
      </c>
      <c r="R1924" s="10"/>
      <c r="S1924" s="10"/>
      <c r="T1924" s="10"/>
      <c r="U1924" s="10"/>
    </row>
    <row r="1925" spans="1:21" x14ac:dyDescent="0.2">
      <c r="A1925" s="4" t="s">
        <v>93</v>
      </c>
      <c r="B1925" s="4">
        <v>2015</v>
      </c>
      <c r="C1925" s="4" t="s">
        <v>92</v>
      </c>
      <c r="D1925" s="4">
        <v>4</v>
      </c>
      <c r="E1925" s="4">
        <v>9</v>
      </c>
      <c r="F1925" s="4">
        <v>2</v>
      </c>
      <c r="G1925" s="6" t="str">
        <f t="shared" si="61"/>
        <v>92</v>
      </c>
      <c r="H1925" s="5">
        <v>7</v>
      </c>
      <c r="I1925" s="5">
        <v>230.271864688764</v>
      </c>
      <c r="J1925" s="5">
        <v>14452.447153680765</v>
      </c>
      <c r="K1925" s="5">
        <v>17</v>
      </c>
      <c r="L1925" s="5">
        <v>222.803693520716</v>
      </c>
      <c r="M1925" s="5">
        <v>13983.725760875182</v>
      </c>
      <c r="N1925" s="5">
        <v>58.82352941176471</v>
      </c>
      <c r="O1925" s="5">
        <v>7.4681711680480021</v>
      </c>
      <c r="P1925" s="5">
        <v>468.72139280558258</v>
      </c>
      <c r="Q1925" s="5">
        <v>3.3519063575818242</v>
      </c>
      <c r="R1925" s="10"/>
      <c r="S1925" s="10"/>
      <c r="T1925" s="10"/>
      <c r="U1925" s="10"/>
    </row>
    <row r="1926" spans="1:21" x14ac:dyDescent="0.2">
      <c r="A1926" s="4" t="s">
        <v>93</v>
      </c>
      <c r="B1926" s="4">
        <v>2015</v>
      </c>
      <c r="C1926" s="4" t="s">
        <v>92</v>
      </c>
      <c r="D1926" s="4">
        <v>1</v>
      </c>
      <c r="E1926" s="4">
        <v>10</v>
      </c>
      <c r="F1926" s="4">
        <v>2</v>
      </c>
      <c r="G1926" s="6" t="str">
        <f t="shared" si="61"/>
        <v>102</v>
      </c>
      <c r="H1926" s="5">
        <v>7</v>
      </c>
      <c r="I1926" s="5">
        <v>215.21758834515501</v>
      </c>
      <c r="J1926" s="5">
        <v>13507.602530187638</v>
      </c>
      <c r="K1926" s="5">
        <v>35</v>
      </c>
      <c r="L1926" s="5">
        <v>224.93976495235501</v>
      </c>
      <c r="M1926" s="5">
        <v>14117.791029873528</v>
      </c>
      <c r="N1926" s="5">
        <v>80</v>
      </c>
      <c r="O1926" s="5">
        <v>-9.722176607199998</v>
      </c>
      <c r="P1926" s="5">
        <v>-610.18849968588984</v>
      </c>
      <c r="Q1926" s="5">
        <v>-4.3221244626352577</v>
      </c>
      <c r="R1926" s="10"/>
      <c r="S1926" s="10"/>
      <c r="T1926" s="10"/>
      <c r="U1926" s="10"/>
    </row>
    <row r="1927" spans="1:21" x14ac:dyDescent="0.2">
      <c r="A1927" s="4" t="s">
        <v>93</v>
      </c>
      <c r="B1927" s="4">
        <v>2015</v>
      </c>
      <c r="C1927" s="4" t="s">
        <v>92</v>
      </c>
      <c r="D1927" s="4">
        <v>2</v>
      </c>
      <c r="E1927" s="4">
        <v>10</v>
      </c>
      <c r="F1927" s="4">
        <v>2</v>
      </c>
      <c r="G1927" s="6" t="str">
        <f t="shared" si="61"/>
        <v>102</v>
      </c>
      <c r="H1927" s="5">
        <v>7</v>
      </c>
      <c r="I1927" s="5">
        <v>222.24224858365</v>
      </c>
      <c r="J1927" s="5">
        <v>13948.488050468766</v>
      </c>
      <c r="K1927" s="5">
        <v>3</v>
      </c>
      <c r="L1927" s="5">
        <v>196.298017113676</v>
      </c>
      <c r="M1927" s="5">
        <v>12320.162181090611</v>
      </c>
      <c r="N1927" s="5">
        <v>-133.33333333333331</v>
      </c>
      <c r="O1927" s="5">
        <v>25.944231469974</v>
      </c>
      <c r="P1927" s="5">
        <v>1628.3258693781554</v>
      </c>
      <c r="Q1927" s="5">
        <v>13.216756771898371</v>
      </c>
      <c r="R1927" s="10"/>
      <c r="S1927" s="10"/>
      <c r="T1927" s="10"/>
      <c r="U1927" s="10"/>
    </row>
    <row r="1928" spans="1:21" x14ac:dyDescent="0.2">
      <c r="A1928" s="4" t="s">
        <v>93</v>
      </c>
      <c r="B1928" s="4">
        <v>2015</v>
      </c>
      <c r="C1928" s="4" t="s">
        <v>92</v>
      </c>
      <c r="D1928" s="4">
        <v>3</v>
      </c>
      <c r="E1928" s="4">
        <v>10</v>
      </c>
      <c r="F1928" s="4">
        <v>2</v>
      </c>
      <c r="G1928" s="6" t="str">
        <f t="shared" si="61"/>
        <v>102</v>
      </c>
      <c r="H1928" s="5">
        <v>11</v>
      </c>
      <c r="I1928" s="5">
        <v>235.556565333473</v>
      </c>
      <c r="J1928" s="5">
        <v>14784.128390091955</v>
      </c>
      <c r="K1928" s="5">
        <v>32</v>
      </c>
      <c r="L1928" s="5">
        <v>211.03670002098499</v>
      </c>
      <c r="M1928" s="5">
        <v>13245.199358865873</v>
      </c>
      <c r="N1928" s="5">
        <v>65.625</v>
      </c>
      <c r="O1928" s="5">
        <v>24.519865312488008</v>
      </c>
      <c r="P1928" s="5">
        <v>1538.9290312260819</v>
      </c>
      <c r="Q1928" s="5">
        <v>11.618768351689448</v>
      </c>
      <c r="R1928" s="10"/>
      <c r="S1928" s="10"/>
      <c r="T1928" s="10"/>
      <c r="U1928" s="10"/>
    </row>
    <row r="1929" spans="1:21" x14ac:dyDescent="0.2">
      <c r="A1929" s="4" t="s">
        <v>93</v>
      </c>
      <c r="B1929" s="4">
        <v>2015</v>
      </c>
      <c r="C1929" s="4" t="s">
        <v>92</v>
      </c>
      <c r="D1929" s="4">
        <v>4</v>
      </c>
      <c r="E1929" s="4">
        <v>10</v>
      </c>
      <c r="F1929" s="4">
        <v>2</v>
      </c>
      <c r="G1929" s="6" t="str">
        <f t="shared" si="61"/>
        <v>102</v>
      </c>
      <c r="H1929" s="5">
        <v>11</v>
      </c>
      <c r="I1929" s="5">
        <v>220.810672398788</v>
      </c>
      <c r="J1929" s="5">
        <v>13858.638692684</v>
      </c>
      <c r="K1929" s="5">
        <v>17</v>
      </c>
      <c r="L1929" s="5">
        <v>222.803693520716</v>
      </c>
      <c r="M1929" s="5">
        <v>13983.725760875182</v>
      </c>
      <c r="N1929" s="5">
        <v>35.294117647058826</v>
      </c>
      <c r="O1929" s="5">
        <v>-1.9930211219279954</v>
      </c>
      <c r="P1929" s="5">
        <v>-125.08706819118197</v>
      </c>
      <c r="Q1929" s="5">
        <v>-0.89451888810034352</v>
      </c>
      <c r="R1929" s="10"/>
      <c r="S1929" s="10"/>
      <c r="T1929" s="10"/>
      <c r="U1929" s="10"/>
    </row>
    <row r="1930" spans="1:21" x14ac:dyDescent="0.2">
      <c r="A1930" s="4" t="s">
        <v>93</v>
      </c>
      <c r="B1930" s="4">
        <v>2015</v>
      </c>
      <c r="C1930" s="4" t="s">
        <v>92</v>
      </c>
      <c r="D1930" s="4">
        <v>1</v>
      </c>
      <c r="E1930" s="4">
        <v>11</v>
      </c>
      <c r="F1930" s="4">
        <v>2</v>
      </c>
      <c r="G1930" s="6" t="str">
        <f t="shared" si="61"/>
        <v>112</v>
      </c>
      <c r="H1930" s="5">
        <v>3</v>
      </c>
      <c r="I1930" s="5">
        <v>226.248663713714</v>
      </c>
      <c r="J1930" s="5">
        <v>14199.940840939797</v>
      </c>
      <c r="K1930" s="5">
        <v>35</v>
      </c>
      <c r="L1930" s="5">
        <v>224.93976495235501</v>
      </c>
      <c r="M1930" s="5">
        <v>14117.791029873528</v>
      </c>
      <c r="N1930" s="5">
        <v>91.428571428571431</v>
      </c>
      <c r="O1930" s="5">
        <v>1.3088987613589893</v>
      </c>
      <c r="P1930" s="5">
        <v>82.14981106626874</v>
      </c>
      <c r="Q1930" s="5">
        <v>0.58188856098265018</v>
      </c>
      <c r="R1930" s="10"/>
      <c r="S1930" s="10"/>
      <c r="T1930" s="10"/>
      <c r="U1930" s="10"/>
    </row>
    <row r="1931" spans="1:21" x14ac:dyDescent="0.2">
      <c r="A1931" s="4" t="s">
        <v>93</v>
      </c>
      <c r="B1931" s="4">
        <v>2015</v>
      </c>
      <c r="C1931" s="4" t="s">
        <v>92</v>
      </c>
      <c r="D1931" s="4">
        <v>2</v>
      </c>
      <c r="E1931" s="4">
        <v>11</v>
      </c>
      <c r="F1931" s="4">
        <v>2</v>
      </c>
      <c r="G1931" s="6" t="str">
        <f t="shared" si="61"/>
        <v>112</v>
      </c>
      <c r="H1931" s="5">
        <v>5</v>
      </c>
      <c r="I1931" s="5">
        <v>210.83906601665799</v>
      </c>
      <c r="J1931" s="5">
        <v>13232.795346733661</v>
      </c>
      <c r="K1931" s="5">
        <v>3</v>
      </c>
      <c r="L1931" s="5">
        <v>196.298017113676</v>
      </c>
      <c r="M1931" s="5">
        <v>12320.162181090611</v>
      </c>
      <c r="N1931" s="5">
        <v>-66.666666666666657</v>
      </c>
      <c r="O1931" s="5">
        <v>14.541048902981998</v>
      </c>
      <c r="P1931" s="5">
        <v>912.63316564305023</v>
      </c>
      <c r="Q1931" s="5">
        <v>7.4076392195858389</v>
      </c>
      <c r="R1931" s="10"/>
      <c r="S1931" s="10"/>
      <c r="T1931" s="10"/>
      <c r="U1931" s="10"/>
    </row>
    <row r="1932" spans="1:21" x14ac:dyDescent="0.2">
      <c r="A1932" s="4" t="s">
        <v>93</v>
      </c>
      <c r="B1932" s="4">
        <v>2015</v>
      </c>
      <c r="C1932" s="4" t="s">
        <v>92</v>
      </c>
      <c r="D1932" s="4">
        <v>3</v>
      </c>
      <c r="E1932" s="4">
        <v>11</v>
      </c>
      <c r="F1932" s="4">
        <v>2</v>
      </c>
      <c r="G1932" s="6" t="str">
        <f t="shared" si="61"/>
        <v>112</v>
      </c>
      <c r="H1932" s="5">
        <v>3</v>
      </c>
      <c r="I1932" s="5">
        <v>230.550805691389</v>
      </c>
      <c r="J1932" s="5">
        <v>14469.95419955839</v>
      </c>
      <c r="K1932" s="5">
        <v>32</v>
      </c>
      <c r="L1932" s="5">
        <v>211.03670002098499</v>
      </c>
      <c r="M1932" s="5">
        <v>13245.199358865873</v>
      </c>
      <c r="N1932" s="5">
        <v>90.625</v>
      </c>
      <c r="O1932" s="5">
        <v>19.514105670404007</v>
      </c>
      <c r="P1932" s="5">
        <v>1224.7548406925162</v>
      </c>
      <c r="Q1932" s="5">
        <v>9.2467829853592054</v>
      </c>
      <c r="R1932" s="10"/>
      <c r="S1932" s="10"/>
      <c r="T1932" s="10"/>
      <c r="U1932" s="10"/>
    </row>
    <row r="1933" spans="1:21" x14ac:dyDescent="0.2">
      <c r="A1933" s="4" t="s">
        <v>93</v>
      </c>
      <c r="B1933" s="4">
        <v>2015</v>
      </c>
      <c r="C1933" s="4" t="s">
        <v>92</v>
      </c>
      <c r="D1933" s="4">
        <v>4</v>
      </c>
      <c r="E1933" s="4">
        <v>11</v>
      </c>
      <c r="F1933" s="4">
        <v>2</v>
      </c>
      <c r="G1933" s="6" t="str">
        <f t="shared" si="61"/>
        <v>112</v>
      </c>
      <c r="H1933" s="5">
        <v>2</v>
      </c>
      <c r="I1933" s="5">
        <v>229.20617766741799</v>
      </c>
      <c r="J1933" s="5">
        <v>14385.561929212792</v>
      </c>
      <c r="K1933" s="5">
        <v>17</v>
      </c>
      <c r="L1933" s="5">
        <v>222.803693520716</v>
      </c>
      <c r="M1933" s="5">
        <v>13983.725760875182</v>
      </c>
      <c r="N1933" s="5">
        <v>88.235294117647058</v>
      </c>
      <c r="O1933" s="5">
        <v>6.402484146701994</v>
      </c>
      <c r="P1933" s="5">
        <v>401.83616833760971</v>
      </c>
      <c r="Q1933" s="5">
        <v>2.8735987476377716</v>
      </c>
      <c r="R1933" s="10"/>
      <c r="S1933" s="10"/>
      <c r="T1933" s="10"/>
      <c r="U1933" s="10"/>
    </row>
    <row r="1934" spans="1:21" x14ac:dyDescent="0.2">
      <c r="A1934" s="4" t="s">
        <v>93</v>
      </c>
      <c r="B1934" s="4">
        <v>2015</v>
      </c>
      <c r="C1934" s="4" t="s">
        <v>92</v>
      </c>
      <c r="D1934" s="4">
        <v>1</v>
      </c>
      <c r="E1934" s="4">
        <v>12</v>
      </c>
      <c r="F1934" s="4">
        <v>2</v>
      </c>
      <c r="G1934" s="6" t="str">
        <f t="shared" si="61"/>
        <v>122</v>
      </c>
      <c r="H1934" s="5">
        <v>8</v>
      </c>
      <c r="I1934" s="5">
        <v>220.67907186504101</v>
      </c>
      <c r="J1934" s="5">
        <v>13850.379108900523</v>
      </c>
      <c r="K1934" s="5">
        <v>35</v>
      </c>
      <c r="L1934" s="5">
        <v>224.93976495235501</v>
      </c>
      <c r="M1934" s="5">
        <v>14117.791029873528</v>
      </c>
      <c r="N1934" s="5">
        <v>77.142857142857153</v>
      </c>
      <c r="O1934" s="5">
        <v>-4.2606930873139959</v>
      </c>
      <c r="P1934" s="5">
        <v>-267.41192097300518</v>
      </c>
      <c r="Q1934" s="5">
        <v>-1.8941484571287124</v>
      </c>
      <c r="R1934" s="10"/>
      <c r="S1934" s="10"/>
      <c r="T1934" s="10"/>
      <c r="U1934" s="10"/>
    </row>
    <row r="1935" spans="1:21" x14ac:dyDescent="0.2">
      <c r="A1935" s="4" t="s">
        <v>93</v>
      </c>
      <c r="B1935" s="4">
        <v>2015</v>
      </c>
      <c r="C1935" s="4" t="s">
        <v>92</v>
      </c>
      <c r="D1935" s="4">
        <v>2</v>
      </c>
      <c r="E1935" s="4">
        <v>12</v>
      </c>
      <c r="F1935" s="4">
        <v>2</v>
      </c>
      <c r="G1935" s="6" t="str">
        <f t="shared" si="61"/>
        <v>122</v>
      </c>
      <c r="H1935" s="5">
        <v>7</v>
      </c>
      <c r="I1935" s="5">
        <v>213.97174663864899</v>
      </c>
      <c r="J1935" s="5">
        <v>13429.410340058523</v>
      </c>
      <c r="K1935" s="5">
        <v>3</v>
      </c>
      <c r="L1935" s="5">
        <v>196.298017113676</v>
      </c>
      <c r="M1935" s="5">
        <v>12320.162181090611</v>
      </c>
      <c r="N1935" s="5">
        <v>-133.33333333333331</v>
      </c>
      <c r="O1935" s="5">
        <v>17.673729524972998</v>
      </c>
      <c r="P1935" s="5">
        <v>1109.2481589679119</v>
      </c>
      <c r="Q1935" s="5">
        <v>9.0035191311882432</v>
      </c>
      <c r="R1935" s="10"/>
      <c r="S1935" s="10"/>
      <c r="T1935" s="10"/>
      <c r="U1935" s="10"/>
    </row>
    <row r="1936" spans="1:21" x14ac:dyDescent="0.2">
      <c r="A1936" s="4" t="s">
        <v>93</v>
      </c>
      <c r="B1936" s="4">
        <v>2015</v>
      </c>
      <c r="C1936" s="4" t="s">
        <v>92</v>
      </c>
      <c r="D1936" s="4">
        <v>3</v>
      </c>
      <c r="E1936" s="4">
        <v>12</v>
      </c>
      <c r="F1936" s="4">
        <v>2</v>
      </c>
      <c r="G1936" s="6" t="str">
        <f t="shared" si="61"/>
        <v>122</v>
      </c>
      <c r="H1936" s="5">
        <v>9</v>
      </c>
      <c r="I1936" s="5">
        <v>240.80759390540899</v>
      </c>
      <c r="J1936" s="5">
        <v>15113.696281683688</v>
      </c>
      <c r="K1936" s="5">
        <v>32</v>
      </c>
      <c r="L1936" s="5">
        <v>211.03670002098499</v>
      </c>
      <c r="M1936" s="5">
        <v>13245.199358865873</v>
      </c>
      <c r="N1936" s="5">
        <v>71.875</v>
      </c>
      <c r="O1936" s="5">
        <v>29.770893884423998</v>
      </c>
      <c r="P1936" s="5">
        <v>1868.4969228178143</v>
      </c>
      <c r="Q1936" s="5">
        <v>14.1069747022502</v>
      </c>
      <c r="R1936" s="10"/>
      <c r="S1936" s="10"/>
      <c r="T1936" s="10"/>
      <c r="U1936" s="10"/>
    </row>
    <row r="1937" spans="1:21" x14ac:dyDescent="0.2">
      <c r="A1937" s="4" t="s">
        <v>93</v>
      </c>
      <c r="B1937" s="4">
        <v>2015</v>
      </c>
      <c r="C1937" s="4" t="s">
        <v>92</v>
      </c>
      <c r="D1937" s="4">
        <v>4</v>
      </c>
      <c r="E1937" s="4">
        <v>12</v>
      </c>
      <c r="F1937" s="4">
        <v>2</v>
      </c>
      <c r="G1937" s="6" t="str">
        <f t="shared" si="61"/>
        <v>122</v>
      </c>
      <c r="H1937" s="5">
        <v>2</v>
      </c>
      <c r="I1937" s="5">
        <v>201.34204145115299</v>
      </c>
      <c r="J1937" s="5">
        <v>12636.737961105229</v>
      </c>
      <c r="K1937" s="5">
        <v>17</v>
      </c>
      <c r="L1937" s="5">
        <v>222.803693520716</v>
      </c>
      <c r="M1937" s="5">
        <v>13983.725760875182</v>
      </c>
      <c r="N1937" s="5">
        <v>88.235294117647058</v>
      </c>
      <c r="O1937" s="5">
        <v>-21.461652069563002</v>
      </c>
      <c r="P1937" s="5">
        <v>-1346.9877997699532</v>
      </c>
      <c r="Q1937" s="5">
        <v>-9.6325387296900971</v>
      </c>
      <c r="R1937" s="10"/>
      <c r="S1937" s="10"/>
      <c r="T1937" s="10"/>
      <c r="U1937" s="10"/>
    </row>
    <row r="1938" spans="1:21" x14ac:dyDescent="0.2">
      <c r="A1938" s="4" t="s">
        <v>93</v>
      </c>
      <c r="B1938" s="4">
        <v>2015</v>
      </c>
      <c r="C1938" s="4" t="s">
        <v>92</v>
      </c>
      <c r="D1938" s="4">
        <v>1</v>
      </c>
      <c r="E1938" s="4">
        <v>14</v>
      </c>
      <c r="F1938" s="4">
        <v>2</v>
      </c>
      <c r="G1938" s="6" t="str">
        <f t="shared" si="61"/>
        <v>142</v>
      </c>
      <c r="H1938" s="5">
        <v>3</v>
      </c>
      <c r="I1938" s="5">
        <v>226.24915466888501</v>
      </c>
      <c r="J1938" s="5">
        <v>14199.97165453343</v>
      </c>
      <c r="K1938" s="5">
        <v>35</v>
      </c>
      <c r="L1938" s="5">
        <v>224.93976495235501</v>
      </c>
      <c r="M1938" s="5">
        <v>14117.791029873528</v>
      </c>
      <c r="N1938" s="5">
        <v>91.428571428571431</v>
      </c>
      <c r="O1938" s="5">
        <v>1.3093897165300064</v>
      </c>
      <c r="P1938" s="5">
        <v>82.180624659902605</v>
      </c>
      <c r="Q1938" s="5">
        <v>0.58210682171174488</v>
      </c>
      <c r="R1938" s="10"/>
      <c r="S1938" s="10"/>
      <c r="T1938" s="10"/>
      <c r="U1938" s="10"/>
    </row>
    <row r="1939" spans="1:21" x14ac:dyDescent="0.2">
      <c r="A1939" s="4" t="s">
        <v>93</v>
      </c>
      <c r="B1939" s="4">
        <v>2015</v>
      </c>
      <c r="C1939" s="4" t="s">
        <v>92</v>
      </c>
      <c r="D1939" s="4">
        <v>2</v>
      </c>
      <c r="E1939" s="4">
        <v>14</v>
      </c>
      <c r="F1939" s="4">
        <v>2</v>
      </c>
      <c r="G1939" s="6" t="str">
        <f t="shared" si="61"/>
        <v>142</v>
      </c>
      <c r="H1939" s="5">
        <v>3</v>
      </c>
      <c r="I1939" s="5">
        <v>205.55024529368299</v>
      </c>
      <c r="J1939" s="5">
        <v>12900.855523744867</v>
      </c>
      <c r="K1939" s="5">
        <v>3</v>
      </c>
      <c r="L1939" s="5">
        <v>196.298017113676</v>
      </c>
      <c r="M1939" s="5">
        <v>12320.162181090611</v>
      </c>
      <c r="N1939" s="5">
        <v>0</v>
      </c>
      <c r="O1939" s="5">
        <v>9.2522281800069948</v>
      </c>
      <c r="P1939" s="5">
        <v>580.69334265425641</v>
      </c>
      <c r="Q1939" s="5">
        <v>4.7133579421991989</v>
      </c>
      <c r="R1939" s="10"/>
      <c r="S1939" s="10"/>
      <c r="T1939" s="10"/>
      <c r="U1939" s="10"/>
    </row>
    <row r="1940" spans="1:21" x14ac:dyDescent="0.2">
      <c r="A1940" s="4" t="s">
        <v>93</v>
      </c>
      <c r="B1940" s="4">
        <v>2015</v>
      </c>
      <c r="C1940" s="4" t="s">
        <v>92</v>
      </c>
      <c r="D1940" s="4">
        <v>3</v>
      </c>
      <c r="E1940" s="4">
        <v>14</v>
      </c>
      <c r="F1940" s="4">
        <v>2</v>
      </c>
      <c r="G1940" s="6" t="str">
        <f t="shared" si="61"/>
        <v>142</v>
      </c>
      <c r="H1940" s="5">
        <v>9</v>
      </c>
      <c r="I1940" s="5">
        <v>233.25594413913399</v>
      </c>
      <c r="J1940" s="5">
        <v>14639.73556000495</v>
      </c>
      <c r="K1940" s="5">
        <v>32</v>
      </c>
      <c r="L1940" s="5">
        <v>211.03670002098499</v>
      </c>
      <c r="M1940" s="5">
        <v>13245.199358865873</v>
      </c>
      <c r="N1940" s="5">
        <v>71.875</v>
      </c>
      <c r="O1940" s="5">
        <v>22.219244118148993</v>
      </c>
      <c r="P1940" s="5">
        <v>1394.5362011390771</v>
      </c>
      <c r="Q1940" s="5">
        <v>10.528616167680582</v>
      </c>
      <c r="R1940" s="10"/>
      <c r="S1940" s="10"/>
      <c r="T1940" s="10"/>
      <c r="U1940" s="10"/>
    </row>
    <row r="1941" spans="1:21" x14ac:dyDescent="0.2">
      <c r="A1941" s="4" t="s">
        <v>93</v>
      </c>
      <c r="B1941" s="4">
        <v>2015</v>
      </c>
      <c r="C1941" s="4" t="s">
        <v>92</v>
      </c>
      <c r="D1941" s="4">
        <v>4</v>
      </c>
      <c r="E1941" s="4">
        <v>14</v>
      </c>
      <c r="F1941" s="4">
        <v>2</v>
      </c>
      <c r="G1941" s="6" t="str">
        <f t="shared" si="61"/>
        <v>142</v>
      </c>
      <c r="H1941" s="5">
        <v>4</v>
      </c>
      <c r="I1941" s="5">
        <v>215.94920974186999</v>
      </c>
      <c r="J1941" s="5">
        <v>13553.520947475903</v>
      </c>
      <c r="K1941" s="5">
        <v>17</v>
      </c>
      <c r="L1941" s="5">
        <v>222.803693520716</v>
      </c>
      <c r="M1941" s="5">
        <v>13983.725760875182</v>
      </c>
      <c r="N1941" s="5">
        <v>76.470588235294116</v>
      </c>
      <c r="O1941" s="5">
        <v>-6.8544837788460029</v>
      </c>
      <c r="P1941" s="5">
        <v>-430.20481339927937</v>
      </c>
      <c r="Q1941" s="5">
        <v>-3.07646775084035</v>
      </c>
      <c r="R1941" s="10"/>
      <c r="S1941" s="10"/>
      <c r="T1941" s="10"/>
      <c r="U1941" s="10"/>
    </row>
    <row r="1942" spans="1:21" x14ac:dyDescent="0.2">
      <c r="A1942" s="4" t="s">
        <v>93</v>
      </c>
      <c r="B1942" s="4">
        <v>2015</v>
      </c>
      <c r="C1942" s="4" t="s">
        <v>92</v>
      </c>
      <c r="D1942" s="4">
        <v>1</v>
      </c>
      <c r="E1942" s="4">
        <v>15</v>
      </c>
      <c r="F1942" s="4">
        <v>3</v>
      </c>
      <c r="G1942" s="6" t="str">
        <f t="shared" si="61"/>
        <v>153</v>
      </c>
      <c r="H1942" s="5">
        <v>4</v>
      </c>
      <c r="I1942" s="5">
        <v>239.28434586954299</v>
      </c>
      <c r="J1942" s="5">
        <v>15018.093365669365</v>
      </c>
      <c r="K1942" s="5">
        <v>35</v>
      </c>
      <c r="L1942" s="5">
        <v>224.93976495235501</v>
      </c>
      <c r="M1942" s="5">
        <v>14117.791029873528</v>
      </c>
      <c r="N1942" s="5">
        <v>88.571428571428569</v>
      </c>
      <c r="O1942" s="5">
        <v>14.344580917187983</v>
      </c>
      <c r="P1942" s="5">
        <v>900.30233579583728</v>
      </c>
      <c r="Q1942" s="5">
        <v>6.3770765121170827</v>
      </c>
      <c r="R1942" s="10"/>
      <c r="S1942" s="10"/>
      <c r="T1942" s="10"/>
      <c r="U1942" s="10"/>
    </row>
    <row r="1943" spans="1:21" x14ac:dyDescent="0.2">
      <c r="A1943" s="4" t="s">
        <v>93</v>
      </c>
      <c r="B1943" s="4">
        <v>2015</v>
      </c>
      <c r="C1943" s="4" t="s">
        <v>92</v>
      </c>
      <c r="D1943" s="4">
        <v>2</v>
      </c>
      <c r="E1943" s="4">
        <v>15</v>
      </c>
      <c r="F1943" s="4">
        <v>3</v>
      </c>
      <c r="G1943" s="6" t="str">
        <f t="shared" si="61"/>
        <v>153</v>
      </c>
      <c r="H1943" s="5">
        <v>2</v>
      </c>
      <c r="I1943" s="5">
        <v>202.85683453760001</v>
      </c>
      <c r="J1943" s="5">
        <v>12731.810223017148</v>
      </c>
      <c r="K1943" s="5">
        <v>3</v>
      </c>
      <c r="L1943" s="5">
        <v>196.298017113676</v>
      </c>
      <c r="M1943" s="5">
        <v>12320.162181090611</v>
      </c>
      <c r="N1943" s="5">
        <v>33.333333333333329</v>
      </c>
      <c r="O1943" s="5">
        <v>6.5588174239240118</v>
      </c>
      <c r="P1943" s="5">
        <v>411.64804192653719</v>
      </c>
      <c r="Q1943" s="5">
        <v>3.3412550571643296</v>
      </c>
      <c r="R1943" s="10"/>
      <c r="S1943" s="10"/>
      <c r="T1943" s="10"/>
      <c r="U1943" s="10"/>
    </row>
    <row r="1944" spans="1:21" x14ac:dyDescent="0.2">
      <c r="A1944" s="4" t="s">
        <v>93</v>
      </c>
      <c r="B1944" s="4">
        <v>2015</v>
      </c>
      <c r="C1944" s="4" t="s">
        <v>92</v>
      </c>
      <c r="D1944" s="4">
        <v>3</v>
      </c>
      <c r="E1944" s="4">
        <v>15</v>
      </c>
      <c r="F1944" s="4">
        <v>3</v>
      </c>
      <c r="G1944" s="6" t="str">
        <f t="shared" si="61"/>
        <v>153</v>
      </c>
      <c r="H1944" s="5">
        <v>5</v>
      </c>
      <c r="I1944" s="5">
        <v>247.545795828568</v>
      </c>
      <c r="J1944" s="5">
        <v>15536.602950446324</v>
      </c>
      <c r="K1944" s="5">
        <v>32</v>
      </c>
      <c r="L1944" s="5">
        <v>211.03670002098499</v>
      </c>
      <c r="M1944" s="5">
        <v>13245.199358865873</v>
      </c>
      <c r="N1944" s="5">
        <v>84.375</v>
      </c>
      <c r="O1944" s="5">
        <v>36.509095807583009</v>
      </c>
      <c r="P1944" s="5">
        <v>2291.4035915804507</v>
      </c>
      <c r="Q1944" s="5">
        <v>17.299879975356241</v>
      </c>
      <c r="R1944" s="10"/>
      <c r="S1944" s="10"/>
      <c r="T1944" s="10"/>
      <c r="U1944" s="10"/>
    </row>
    <row r="1945" spans="1:21" x14ac:dyDescent="0.2">
      <c r="A1945" s="4" t="s">
        <v>93</v>
      </c>
      <c r="B1945" s="4">
        <v>2015</v>
      </c>
      <c r="C1945" s="4" t="s">
        <v>92</v>
      </c>
      <c r="D1945" s="4">
        <v>4</v>
      </c>
      <c r="E1945" s="4">
        <v>15</v>
      </c>
      <c r="F1945" s="4">
        <v>3</v>
      </c>
      <c r="G1945" s="6" t="str">
        <f t="shared" si="61"/>
        <v>153</v>
      </c>
      <c r="H1945" s="5">
        <v>5</v>
      </c>
      <c r="I1945" s="5">
        <v>224.36513874563801</v>
      </c>
      <c r="J1945" s="5">
        <v>14081.726029501373</v>
      </c>
      <c r="K1945" s="5">
        <v>17</v>
      </c>
      <c r="L1945" s="5">
        <v>222.803693520716</v>
      </c>
      <c r="M1945" s="5">
        <v>13983.725760875182</v>
      </c>
      <c r="N1945" s="5">
        <v>70.588235294117652</v>
      </c>
      <c r="O1945" s="5">
        <v>1.5614452249220108</v>
      </c>
      <c r="P1945" s="5">
        <v>98.000268626190518</v>
      </c>
      <c r="Q1945" s="5">
        <v>0.70081657994455049</v>
      </c>
      <c r="R1945" s="10"/>
      <c r="S1945" s="10"/>
      <c r="T1945" s="10"/>
      <c r="U1945" s="10"/>
    </row>
    <row r="1946" spans="1:21" x14ac:dyDescent="0.2">
      <c r="A1946" s="4" t="s">
        <v>93</v>
      </c>
      <c r="B1946" s="4">
        <v>2015</v>
      </c>
      <c r="C1946" s="4" t="s">
        <v>92</v>
      </c>
      <c r="D1946" s="4">
        <v>1</v>
      </c>
      <c r="E1946" s="4">
        <v>17</v>
      </c>
      <c r="F1946" s="4">
        <v>3</v>
      </c>
      <c r="G1946" s="6" t="str">
        <f t="shared" si="61"/>
        <v>173</v>
      </c>
      <c r="H1946" s="5">
        <v>8</v>
      </c>
      <c r="I1946" s="5">
        <v>237.275885084175</v>
      </c>
      <c r="J1946" s="5">
        <v>14892.037264981578</v>
      </c>
      <c r="K1946" s="5">
        <v>35</v>
      </c>
      <c r="L1946" s="5">
        <v>224.93976495235501</v>
      </c>
      <c r="M1946" s="5">
        <v>14117.791029873528</v>
      </c>
      <c r="N1946" s="5">
        <v>77.142857142857153</v>
      </c>
      <c r="O1946" s="5">
        <v>12.336120131819996</v>
      </c>
      <c r="P1946" s="5">
        <v>774.24623510805031</v>
      </c>
      <c r="Q1946" s="5">
        <v>5.4841882378746778</v>
      </c>
      <c r="R1946" s="10"/>
      <c r="S1946" s="10"/>
      <c r="T1946" s="10"/>
      <c r="U1946" s="10"/>
    </row>
    <row r="1947" spans="1:21" x14ac:dyDescent="0.2">
      <c r="A1947" s="4" t="s">
        <v>93</v>
      </c>
      <c r="B1947" s="4">
        <v>2015</v>
      </c>
      <c r="C1947" s="4" t="s">
        <v>92</v>
      </c>
      <c r="D1947" s="4">
        <v>2</v>
      </c>
      <c r="E1947" s="4">
        <v>17</v>
      </c>
      <c r="F1947" s="4">
        <v>3</v>
      </c>
      <c r="G1947" s="6" t="str">
        <f t="shared" si="61"/>
        <v>173</v>
      </c>
      <c r="H1947" s="5">
        <v>6</v>
      </c>
      <c r="I1947" s="5">
        <v>221.321977662249</v>
      </c>
      <c r="J1947" s="5">
        <v>13890.729509812514</v>
      </c>
      <c r="K1947" s="5">
        <v>3</v>
      </c>
      <c r="L1947" s="5">
        <v>196.298017113676</v>
      </c>
      <c r="M1947" s="5">
        <v>12320.162181090611</v>
      </c>
      <c r="N1947" s="5">
        <v>-100</v>
      </c>
      <c r="O1947" s="5">
        <v>25.023960548573001</v>
      </c>
      <c r="P1947" s="5">
        <v>1570.5673287219033</v>
      </c>
      <c r="Q1947" s="5">
        <v>12.747943619869401</v>
      </c>
      <c r="R1947" s="10"/>
      <c r="S1947" s="10"/>
      <c r="T1947" s="10"/>
      <c r="U1947" s="10"/>
    </row>
    <row r="1948" spans="1:21" x14ac:dyDescent="0.2">
      <c r="A1948" s="4" t="s">
        <v>93</v>
      </c>
      <c r="B1948" s="4">
        <v>2015</v>
      </c>
      <c r="C1948" s="4" t="s">
        <v>92</v>
      </c>
      <c r="D1948" s="4">
        <v>3</v>
      </c>
      <c r="E1948" s="4">
        <v>17</v>
      </c>
      <c r="F1948" s="4">
        <v>3</v>
      </c>
      <c r="G1948" s="6" t="str">
        <f t="shared" si="61"/>
        <v>173</v>
      </c>
      <c r="H1948" s="5">
        <v>4</v>
      </c>
      <c r="I1948" s="5">
        <v>235.188454159456</v>
      </c>
      <c r="J1948" s="5">
        <v>14761.024797751872</v>
      </c>
      <c r="K1948" s="5">
        <v>32</v>
      </c>
      <c r="L1948" s="5">
        <v>211.03670002098499</v>
      </c>
      <c r="M1948" s="5">
        <v>13245.199358865873</v>
      </c>
      <c r="N1948" s="5">
        <v>87.5</v>
      </c>
      <c r="O1948" s="5">
        <v>24.151754138471006</v>
      </c>
      <c r="P1948" s="5">
        <v>1515.8254388859987</v>
      </c>
      <c r="Q1948" s="5">
        <v>11.444338418895583</v>
      </c>
      <c r="R1948" s="10"/>
      <c r="S1948" s="10"/>
      <c r="T1948" s="10"/>
      <c r="U1948" s="10"/>
    </row>
    <row r="1949" spans="1:21" x14ac:dyDescent="0.2">
      <c r="A1949" s="4" t="s">
        <v>93</v>
      </c>
      <c r="B1949" s="4">
        <v>2015</v>
      </c>
      <c r="C1949" s="4" t="s">
        <v>92</v>
      </c>
      <c r="D1949" s="4">
        <v>4</v>
      </c>
      <c r="E1949" s="4">
        <v>17</v>
      </c>
      <c r="F1949" s="4">
        <v>3</v>
      </c>
      <c r="G1949" s="6" t="str">
        <f t="shared" si="61"/>
        <v>173</v>
      </c>
      <c r="H1949" s="5">
        <v>2</v>
      </c>
      <c r="I1949" s="5">
        <v>223.70615416656099</v>
      </c>
      <c r="J1949" s="5">
        <v>14040.366483396712</v>
      </c>
      <c r="K1949" s="5">
        <v>17</v>
      </c>
      <c r="L1949" s="5">
        <v>222.803693520716</v>
      </c>
      <c r="M1949" s="5">
        <v>13983.725760875182</v>
      </c>
      <c r="N1949" s="5">
        <v>88.235294117647058</v>
      </c>
      <c r="O1949" s="5">
        <v>0.90246064584499663</v>
      </c>
      <c r="P1949" s="5">
        <v>56.640722521529824</v>
      </c>
      <c r="Q1949" s="5">
        <v>0.40504743506915653</v>
      </c>
      <c r="R1949" s="10"/>
      <c r="S1949" s="10"/>
      <c r="T1949" s="10"/>
      <c r="U1949" s="10"/>
    </row>
    <row r="1950" spans="1:21" x14ac:dyDescent="0.2">
      <c r="A1950" s="4" t="s">
        <v>93</v>
      </c>
      <c r="B1950" s="4">
        <v>2015</v>
      </c>
      <c r="C1950" s="4" t="s">
        <v>92</v>
      </c>
      <c r="D1950" s="4">
        <v>1</v>
      </c>
      <c r="E1950" s="4">
        <v>19</v>
      </c>
      <c r="F1950" s="4">
        <v>3</v>
      </c>
      <c r="G1950" s="6" t="str">
        <f t="shared" si="61"/>
        <v>193</v>
      </c>
      <c r="H1950" s="5">
        <v>3</v>
      </c>
      <c r="I1950" s="5">
        <v>218.952836660066</v>
      </c>
      <c r="J1950" s="5">
        <v>13742.036202534411</v>
      </c>
      <c r="K1950" s="5">
        <v>35</v>
      </c>
      <c r="L1950" s="5">
        <v>224.93976495235501</v>
      </c>
      <c r="M1950" s="5">
        <v>14117.791029873528</v>
      </c>
      <c r="N1950" s="5">
        <v>91.428571428571431</v>
      </c>
      <c r="O1950" s="5">
        <v>-5.9869282922890079</v>
      </c>
      <c r="P1950" s="5">
        <v>-375.75482733911667</v>
      </c>
      <c r="Q1950" s="5">
        <v>-2.6615695511005364</v>
      </c>
      <c r="R1950" s="10"/>
      <c r="S1950" s="10"/>
      <c r="T1950" s="10"/>
      <c r="U1950" s="10"/>
    </row>
    <row r="1951" spans="1:21" x14ac:dyDescent="0.2">
      <c r="A1951" s="4" t="s">
        <v>93</v>
      </c>
      <c r="B1951" s="4">
        <v>2015</v>
      </c>
      <c r="C1951" s="4" t="s">
        <v>92</v>
      </c>
      <c r="D1951" s="4">
        <v>2</v>
      </c>
      <c r="E1951" s="4">
        <v>19</v>
      </c>
      <c r="F1951" s="4">
        <v>3</v>
      </c>
      <c r="G1951" s="6" t="str">
        <f t="shared" si="61"/>
        <v>193</v>
      </c>
      <c r="H1951" s="5">
        <v>3</v>
      </c>
      <c r="I1951" s="5">
        <v>228.687704458452</v>
      </c>
      <c r="J1951" s="5">
        <v>14353.021233616706</v>
      </c>
      <c r="K1951" s="5">
        <v>3</v>
      </c>
      <c r="L1951" s="5">
        <v>196.298017113676</v>
      </c>
      <c r="M1951" s="5">
        <v>12320.162181090611</v>
      </c>
      <c r="N1951" s="5">
        <v>0</v>
      </c>
      <c r="O1951" s="5">
        <v>32.389687344776007</v>
      </c>
      <c r="P1951" s="5">
        <v>2032.8590525260952</v>
      </c>
      <c r="Q1951" s="5">
        <v>16.50026211218383</v>
      </c>
      <c r="R1951" s="10"/>
      <c r="S1951" s="10"/>
      <c r="T1951" s="10"/>
      <c r="U1951" s="10"/>
    </row>
    <row r="1952" spans="1:21" x14ac:dyDescent="0.2">
      <c r="A1952" s="4" t="s">
        <v>93</v>
      </c>
      <c r="B1952" s="4">
        <v>2015</v>
      </c>
      <c r="C1952" s="4" t="s">
        <v>92</v>
      </c>
      <c r="D1952" s="4">
        <v>3</v>
      </c>
      <c r="E1952" s="4">
        <v>19</v>
      </c>
      <c r="F1952" s="4">
        <v>3</v>
      </c>
      <c r="G1952" s="6" t="str">
        <f t="shared" si="61"/>
        <v>193</v>
      </c>
      <c r="H1952" s="5">
        <v>5</v>
      </c>
      <c r="I1952" s="5">
        <v>235.82335125042599</v>
      </c>
      <c r="J1952" s="5">
        <v>14800.872551917026</v>
      </c>
      <c r="K1952" s="5">
        <v>32</v>
      </c>
      <c r="L1952" s="5">
        <v>211.03670002098499</v>
      </c>
      <c r="M1952" s="5">
        <v>13245.199358865873</v>
      </c>
      <c r="N1952" s="5">
        <v>84.375</v>
      </c>
      <c r="O1952" s="5">
        <v>24.786651229440992</v>
      </c>
      <c r="P1952" s="5">
        <v>1555.6731930511523</v>
      </c>
      <c r="Q1952" s="5">
        <v>11.745185186735895</v>
      </c>
      <c r="R1952" s="10"/>
      <c r="S1952" s="10"/>
      <c r="T1952" s="10"/>
      <c r="U1952" s="10"/>
    </row>
    <row r="1953" spans="1:21" s="7" customFormat="1" x14ac:dyDescent="0.2">
      <c r="A1953" s="4" t="s">
        <v>93</v>
      </c>
      <c r="B1953" s="7">
        <v>2015</v>
      </c>
      <c r="C1953" s="7" t="s">
        <v>92</v>
      </c>
      <c r="D1953" s="7">
        <v>4</v>
      </c>
      <c r="E1953" s="7">
        <v>19</v>
      </c>
      <c r="F1953" s="7">
        <v>3</v>
      </c>
      <c r="G1953" s="6" t="str">
        <f t="shared" si="61"/>
        <v>193</v>
      </c>
      <c r="H1953" s="9">
        <v>3</v>
      </c>
      <c r="I1953" s="9">
        <v>217.401927683808</v>
      </c>
      <c r="J1953" s="9">
        <v>13644.69721563806</v>
      </c>
      <c r="K1953" s="9">
        <v>17</v>
      </c>
      <c r="L1953" s="9">
        <v>222.803693520716</v>
      </c>
      <c r="M1953" s="9">
        <v>13983.725760875182</v>
      </c>
      <c r="N1953" s="9">
        <v>82.35294117647058</v>
      </c>
      <c r="O1953" s="9">
        <v>-5.4017658369079982</v>
      </c>
      <c r="P1953" s="9">
        <v>-339.02854523712267</v>
      </c>
      <c r="Q1953" s="9">
        <v>-2.4244507582212789</v>
      </c>
      <c r="R1953" s="8"/>
      <c r="S1953" s="8"/>
      <c r="T1953" s="8"/>
      <c r="U1953" s="8"/>
    </row>
    <row r="1954" spans="1:21" x14ac:dyDescent="0.2">
      <c r="A1954" s="4" t="s">
        <v>69</v>
      </c>
      <c r="B1954" s="4">
        <v>2015</v>
      </c>
      <c r="C1954" s="4" t="s">
        <v>54</v>
      </c>
      <c r="D1954" s="4">
        <v>1</v>
      </c>
      <c r="E1954" s="4">
        <v>1</v>
      </c>
      <c r="F1954" s="4">
        <v>0</v>
      </c>
      <c r="G1954" s="6" t="str">
        <f t="shared" si="61"/>
        <v>10</v>
      </c>
      <c r="H1954" s="5">
        <v>25</v>
      </c>
      <c r="I1954" s="5">
        <v>252.51010295857992</v>
      </c>
      <c r="J1954" s="5">
        <v>15848.175476026514</v>
      </c>
      <c r="K1954" s="5">
        <v>25</v>
      </c>
      <c r="L1954" s="5">
        <v>252.51010295857992</v>
      </c>
      <c r="M1954" s="5">
        <v>15848.175476026514</v>
      </c>
      <c r="N1954" s="5">
        <v>0</v>
      </c>
      <c r="O1954" s="5">
        <v>0</v>
      </c>
      <c r="P1954" s="5">
        <v>0</v>
      </c>
      <c r="Q1954" s="5">
        <v>0</v>
      </c>
    </row>
    <row r="1955" spans="1:21" x14ac:dyDescent="0.2">
      <c r="A1955" s="4" t="s">
        <v>69</v>
      </c>
      <c r="B1955" s="4">
        <v>2015</v>
      </c>
      <c r="C1955" s="4" t="s">
        <v>54</v>
      </c>
      <c r="D1955" s="4">
        <v>2</v>
      </c>
      <c r="E1955" s="4">
        <v>1</v>
      </c>
      <c r="F1955" s="4">
        <v>0</v>
      </c>
      <c r="G1955" s="6" t="str">
        <f t="shared" si="61"/>
        <v>10</v>
      </c>
      <c r="H1955" s="5">
        <v>30</v>
      </c>
      <c r="I1955" s="5">
        <v>226.03994657650043</v>
      </c>
      <c r="J1955" s="5">
        <v>14186.841223234769</v>
      </c>
      <c r="K1955" s="5">
        <v>30</v>
      </c>
      <c r="L1955" s="5">
        <v>226.03994657650043</v>
      </c>
      <c r="M1955" s="5">
        <v>14186.841223234769</v>
      </c>
      <c r="N1955" s="5">
        <v>0</v>
      </c>
      <c r="O1955" s="5">
        <v>0</v>
      </c>
      <c r="P1955" s="5">
        <v>0</v>
      </c>
      <c r="Q1955" s="5">
        <v>0</v>
      </c>
    </row>
    <row r="1956" spans="1:21" x14ac:dyDescent="0.2">
      <c r="A1956" s="4" t="s">
        <v>69</v>
      </c>
      <c r="B1956" s="4">
        <v>2015</v>
      </c>
      <c r="C1956" s="4" t="s">
        <v>54</v>
      </c>
      <c r="D1956" s="4">
        <v>3</v>
      </c>
      <c r="E1956" s="4">
        <v>1</v>
      </c>
      <c r="F1956" s="4">
        <v>0</v>
      </c>
      <c r="G1956" s="6" t="str">
        <f t="shared" si="61"/>
        <v>10</v>
      </c>
      <c r="H1956" s="5">
        <v>25</v>
      </c>
      <c r="I1956" s="5">
        <v>253.72199518174139</v>
      </c>
      <c r="J1956" s="5">
        <v>15924.236910344036</v>
      </c>
      <c r="K1956" s="5">
        <v>25</v>
      </c>
      <c r="L1956" s="5">
        <v>253.72199518174139</v>
      </c>
      <c r="M1956" s="5">
        <v>15924.236910344036</v>
      </c>
      <c r="N1956" s="5">
        <v>0</v>
      </c>
      <c r="O1956" s="5">
        <v>0</v>
      </c>
      <c r="P1956" s="5">
        <v>0</v>
      </c>
      <c r="Q1956" s="5">
        <v>0</v>
      </c>
    </row>
    <row r="1957" spans="1:21" x14ac:dyDescent="0.2">
      <c r="A1957" s="4" t="s">
        <v>69</v>
      </c>
      <c r="B1957" s="4">
        <v>2015</v>
      </c>
      <c r="C1957" s="4" t="s">
        <v>54</v>
      </c>
      <c r="D1957" s="4">
        <v>4</v>
      </c>
      <c r="E1957" s="4">
        <v>1</v>
      </c>
      <c r="F1957" s="4">
        <v>0</v>
      </c>
      <c r="G1957" s="6" t="str">
        <f t="shared" si="61"/>
        <v>10</v>
      </c>
      <c r="H1957" s="5">
        <v>50</v>
      </c>
      <c r="I1957" s="5">
        <v>254.24605917159766</v>
      </c>
      <c r="J1957" s="5">
        <v>15957.128497550237</v>
      </c>
      <c r="K1957" s="5">
        <v>50</v>
      </c>
      <c r="L1957" s="5">
        <v>254.24605917159766</v>
      </c>
      <c r="M1957" s="5">
        <v>15957.128497550237</v>
      </c>
      <c r="N1957" s="5">
        <v>0</v>
      </c>
      <c r="O1957" s="5">
        <v>0</v>
      </c>
      <c r="P1957" s="5">
        <v>0</v>
      </c>
      <c r="Q1957" s="5">
        <v>0</v>
      </c>
    </row>
    <row r="1958" spans="1:21" x14ac:dyDescent="0.2">
      <c r="A1958" s="4" t="s">
        <v>69</v>
      </c>
      <c r="B1958" s="4">
        <v>2015</v>
      </c>
      <c r="C1958" s="4" t="s">
        <v>54</v>
      </c>
      <c r="D1958" s="4">
        <v>1</v>
      </c>
      <c r="E1958" s="4">
        <v>2</v>
      </c>
      <c r="F1958" s="4">
        <v>1</v>
      </c>
      <c r="G1958" s="6" t="str">
        <f t="shared" si="61"/>
        <v>21</v>
      </c>
      <c r="H1958" s="5">
        <v>50</v>
      </c>
      <c r="I1958" s="5">
        <v>237.92265798816567</v>
      </c>
      <c r="J1958" s="5">
        <v>14932.630375338294</v>
      </c>
      <c r="K1958" s="5">
        <v>25</v>
      </c>
      <c r="L1958" s="5">
        <v>252.51010295857992</v>
      </c>
      <c r="M1958" s="5">
        <v>15848.175476026514</v>
      </c>
      <c r="N1958" s="5">
        <v>-100</v>
      </c>
      <c r="O1958" s="5">
        <v>-14.587444970414253</v>
      </c>
      <c r="P1958" s="5">
        <v>-915.54510068821946</v>
      </c>
      <c r="Q1958" s="5">
        <v>-5.77697478219598</v>
      </c>
    </row>
    <row r="1959" spans="1:21" x14ac:dyDescent="0.2">
      <c r="A1959" s="4" t="s">
        <v>69</v>
      </c>
      <c r="B1959" s="4">
        <v>2015</v>
      </c>
      <c r="C1959" s="4" t="s">
        <v>54</v>
      </c>
      <c r="D1959" s="4">
        <v>2</v>
      </c>
      <c r="E1959" s="4">
        <v>2</v>
      </c>
      <c r="F1959" s="4">
        <v>1</v>
      </c>
      <c r="G1959" s="6" t="str">
        <f t="shared" si="61"/>
        <v>21</v>
      </c>
      <c r="H1959" s="5">
        <v>20</v>
      </c>
      <c r="I1959" s="5">
        <v>260.38892130177516</v>
      </c>
      <c r="J1959" s="5">
        <v>16342.670128651072</v>
      </c>
      <c r="K1959" s="5">
        <v>30</v>
      </c>
      <c r="L1959" s="5">
        <v>226.03994657650043</v>
      </c>
      <c r="M1959" s="5">
        <v>14186.841223234769</v>
      </c>
      <c r="N1959" s="5">
        <v>33.333333333333329</v>
      </c>
      <c r="O1959" s="5">
        <v>34.348974725274729</v>
      </c>
      <c r="P1959" s="5">
        <v>2155.8289054163033</v>
      </c>
      <c r="Q1959" s="5">
        <v>15.195975421826486</v>
      </c>
    </row>
    <row r="1960" spans="1:21" x14ac:dyDescent="0.2">
      <c r="A1960" s="4" t="s">
        <v>69</v>
      </c>
      <c r="B1960" s="4">
        <v>2015</v>
      </c>
      <c r="C1960" s="4" t="s">
        <v>54</v>
      </c>
      <c r="D1960" s="4">
        <v>3</v>
      </c>
      <c r="E1960" s="4">
        <v>2</v>
      </c>
      <c r="F1960" s="4">
        <v>1</v>
      </c>
      <c r="G1960" s="6" t="str">
        <f t="shared" si="61"/>
        <v>21</v>
      </c>
      <c r="H1960" s="5">
        <v>75</v>
      </c>
      <c r="I1960" s="5">
        <v>254.42059374471683</v>
      </c>
      <c r="J1960" s="5">
        <v>15968.082730703749</v>
      </c>
      <c r="K1960" s="5">
        <v>25</v>
      </c>
      <c r="L1960" s="5">
        <v>253.72199518174139</v>
      </c>
      <c r="M1960" s="5">
        <v>15924.236910344036</v>
      </c>
      <c r="N1960" s="5">
        <v>-200</v>
      </c>
      <c r="O1960" s="5">
        <v>0.69859856297543388</v>
      </c>
      <c r="P1960" s="5">
        <v>43.845820359712889</v>
      </c>
      <c r="Q1960" s="5">
        <v>0.27534016610385648</v>
      </c>
    </row>
    <row r="1961" spans="1:21" x14ac:dyDescent="0.2">
      <c r="A1961" s="4" t="s">
        <v>69</v>
      </c>
      <c r="B1961" s="4">
        <v>2015</v>
      </c>
      <c r="C1961" s="4" t="s">
        <v>54</v>
      </c>
      <c r="D1961" s="4">
        <v>4</v>
      </c>
      <c r="E1961" s="4">
        <v>2</v>
      </c>
      <c r="F1961" s="4">
        <v>1</v>
      </c>
      <c r="G1961" s="6" t="str">
        <f t="shared" si="61"/>
        <v>21</v>
      </c>
      <c r="H1961" s="5">
        <v>50</v>
      </c>
      <c r="I1961" s="5">
        <v>267.44035739644971</v>
      </c>
      <c r="J1961" s="5">
        <v>16785.236169680808</v>
      </c>
      <c r="K1961" s="5">
        <v>50</v>
      </c>
      <c r="L1961" s="5">
        <v>254.24605917159766</v>
      </c>
      <c r="M1961" s="5">
        <v>15957.128497550237</v>
      </c>
      <c r="N1961" s="5">
        <v>0</v>
      </c>
      <c r="O1961" s="5">
        <v>13.194298224852048</v>
      </c>
      <c r="P1961" s="5">
        <v>828.10767213057079</v>
      </c>
      <c r="Q1961" s="5">
        <v>5.1895782643957729</v>
      </c>
    </row>
    <row r="1962" spans="1:21" x14ac:dyDescent="0.2">
      <c r="A1962" s="4" t="s">
        <v>69</v>
      </c>
      <c r="B1962" s="4">
        <v>2015</v>
      </c>
      <c r="C1962" s="4" t="s">
        <v>54</v>
      </c>
      <c r="D1962" s="4">
        <v>1</v>
      </c>
      <c r="E1962" s="4">
        <v>3</v>
      </c>
      <c r="F1962" s="4">
        <v>1</v>
      </c>
      <c r="G1962" s="6" t="str">
        <f t="shared" si="61"/>
        <v>31</v>
      </c>
      <c r="H1962" s="5">
        <v>75</v>
      </c>
      <c r="I1962" s="5">
        <v>246.08049230769228</v>
      </c>
      <c r="J1962" s="5">
        <v>15444.636779380737</v>
      </c>
      <c r="K1962" s="5">
        <v>25</v>
      </c>
      <c r="L1962" s="5">
        <v>252.51010295857992</v>
      </c>
      <c r="M1962" s="5">
        <v>15848.175476026514</v>
      </c>
      <c r="N1962" s="5">
        <v>-200</v>
      </c>
      <c r="O1962" s="5">
        <v>-6.4296106508876392</v>
      </c>
      <c r="P1962" s="5">
        <v>-403.53869664577724</v>
      </c>
      <c r="Q1962" s="5">
        <v>-2.5462785748189689</v>
      </c>
    </row>
    <row r="1963" spans="1:21" x14ac:dyDescent="0.2">
      <c r="A1963" s="4" t="s">
        <v>69</v>
      </c>
      <c r="B1963" s="4">
        <v>2015</v>
      </c>
      <c r="C1963" s="4" t="s">
        <v>54</v>
      </c>
      <c r="D1963" s="4">
        <v>2</v>
      </c>
      <c r="E1963" s="4">
        <v>3</v>
      </c>
      <c r="F1963" s="4">
        <v>1</v>
      </c>
      <c r="G1963" s="6" t="str">
        <f t="shared" si="61"/>
        <v>31</v>
      </c>
      <c r="H1963" s="5">
        <v>75</v>
      </c>
      <c r="I1963" s="5">
        <v>247.43773795435339</v>
      </c>
      <c r="J1963" s="5">
        <v>15529.82096377706</v>
      </c>
      <c r="K1963" s="5">
        <v>30</v>
      </c>
      <c r="L1963" s="5">
        <v>226.03994657650043</v>
      </c>
      <c r="M1963" s="5">
        <v>14186.841223234769</v>
      </c>
      <c r="N1963" s="5">
        <v>-150</v>
      </c>
      <c r="O1963" s="5">
        <v>21.397791377852968</v>
      </c>
      <c r="P1963" s="5">
        <v>1342.9797405422905</v>
      </c>
      <c r="Q1963" s="5">
        <v>9.4663760551771023</v>
      </c>
    </row>
    <row r="1964" spans="1:21" x14ac:dyDescent="0.2">
      <c r="A1964" s="4" t="s">
        <v>69</v>
      </c>
      <c r="B1964" s="4">
        <v>2015</v>
      </c>
      <c r="C1964" s="4" t="s">
        <v>54</v>
      </c>
      <c r="D1964" s="4">
        <v>3</v>
      </c>
      <c r="E1964" s="4">
        <v>3</v>
      </c>
      <c r="F1964" s="4">
        <v>1</v>
      </c>
      <c r="G1964" s="6" t="str">
        <f t="shared" si="61"/>
        <v>31</v>
      </c>
      <c r="H1964" s="5">
        <v>40</v>
      </c>
      <c r="I1964" s="5">
        <v>248.26723744716827</v>
      </c>
      <c r="J1964" s="5">
        <v>15581.882459001912</v>
      </c>
      <c r="K1964" s="5">
        <v>25</v>
      </c>
      <c r="L1964" s="5">
        <v>253.72199518174139</v>
      </c>
      <c r="M1964" s="5">
        <v>15924.236910344036</v>
      </c>
      <c r="N1964" s="5">
        <v>-60</v>
      </c>
      <c r="O1964" s="5">
        <v>-5.4547577345731213</v>
      </c>
      <c r="P1964" s="5">
        <v>-342.35445134212387</v>
      </c>
      <c r="Q1964" s="5">
        <v>-2.1498954911914043</v>
      </c>
    </row>
    <row r="1965" spans="1:21" x14ac:dyDescent="0.2">
      <c r="A1965" s="4" t="s">
        <v>69</v>
      </c>
      <c r="B1965" s="4">
        <v>2015</v>
      </c>
      <c r="C1965" s="4" t="s">
        <v>54</v>
      </c>
      <c r="D1965" s="4">
        <v>4</v>
      </c>
      <c r="E1965" s="4">
        <v>3</v>
      </c>
      <c r="F1965" s="4">
        <v>1</v>
      </c>
      <c r="G1965" s="6" t="str">
        <f t="shared" si="61"/>
        <v>31</v>
      </c>
      <c r="H1965" s="5">
        <v>50</v>
      </c>
      <c r="I1965" s="5">
        <v>260.33359678782756</v>
      </c>
      <c r="J1965" s="5">
        <v>16339.19782162298</v>
      </c>
      <c r="K1965" s="5">
        <v>50</v>
      </c>
      <c r="L1965" s="5">
        <v>254.24605917159766</v>
      </c>
      <c r="M1965" s="5">
        <v>15957.128497550237</v>
      </c>
      <c r="N1965" s="5">
        <v>0</v>
      </c>
      <c r="O1965" s="5">
        <v>6.0875376162298949</v>
      </c>
      <c r="P1965" s="5">
        <v>382.06932407274326</v>
      </c>
      <c r="Q1965" s="5">
        <v>2.3943488587649031</v>
      </c>
    </row>
    <row r="1966" spans="1:21" x14ac:dyDescent="0.2">
      <c r="A1966" s="4" t="s">
        <v>69</v>
      </c>
      <c r="B1966" s="4">
        <v>2015</v>
      </c>
      <c r="C1966" s="4" t="s">
        <v>54</v>
      </c>
      <c r="D1966" s="4">
        <v>1</v>
      </c>
      <c r="E1966" s="4">
        <v>4</v>
      </c>
      <c r="F1966" s="4">
        <v>1</v>
      </c>
      <c r="G1966" s="6" t="str">
        <f t="shared" si="61"/>
        <v>41</v>
      </c>
      <c r="H1966" s="5">
        <v>10</v>
      </c>
      <c r="I1966" s="5">
        <v>247.05433262890961</v>
      </c>
      <c r="J1966" s="5">
        <v>15505.757471643943</v>
      </c>
      <c r="K1966" s="5">
        <v>25</v>
      </c>
      <c r="L1966" s="5">
        <v>252.51010295857992</v>
      </c>
      <c r="M1966" s="5">
        <v>15848.175476026514</v>
      </c>
      <c r="N1966" s="5">
        <v>60</v>
      </c>
      <c r="O1966" s="5">
        <v>-5.4557703296703153</v>
      </c>
      <c r="P1966" s="5">
        <v>-342.41800438257087</v>
      </c>
      <c r="Q1966" s="5">
        <v>-2.160614670758445</v>
      </c>
    </row>
    <row r="1967" spans="1:21" x14ac:dyDescent="0.2">
      <c r="A1967" s="4" t="s">
        <v>69</v>
      </c>
      <c r="B1967" s="4">
        <v>2015</v>
      </c>
      <c r="C1967" s="4" t="s">
        <v>54</v>
      </c>
      <c r="D1967" s="4">
        <v>2</v>
      </c>
      <c r="E1967" s="4">
        <v>4</v>
      </c>
      <c r="F1967" s="4">
        <v>1</v>
      </c>
      <c r="G1967" s="6" t="str">
        <f t="shared" si="61"/>
        <v>41</v>
      </c>
      <c r="H1967" s="5">
        <v>50</v>
      </c>
      <c r="I1967" s="5">
        <v>251.64663550295859</v>
      </c>
      <c r="J1967" s="5">
        <v>15793.982065172098</v>
      </c>
      <c r="K1967" s="5">
        <v>30</v>
      </c>
      <c r="L1967" s="5">
        <v>226.03994657650043</v>
      </c>
      <c r="M1967" s="5">
        <v>14186.841223234769</v>
      </c>
      <c r="N1967" s="5">
        <v>-66.666666666666657</v>
      </c>
      <c r="O1967" s="5">
        <v>25.606688926458162</v>
      </c>
      <c r="P1967" s="5">
        <v>1607.1408419373292</v>
      </c>
      <c r="Q1967" s="5">
        <v>11.328390983224679</v>
      </c>
    </row>
    <row r="1968" spans="1:21" x14ac:dyDescent="0.2">
      <c r="A1968" s="4" t="s">
        <v>69</v>
      </c>
      <c r="B1968" s="4">
        <v>2015</v>
      </c>
      <c r="C1968" s="4" t="s">
        <v>54</v>
      </c>
      <c r="D1968" s="4">
        <v>3</v>
      </c>
      <c r="E1968" s="4">
        <v>4</v>
      </c>
      <c r="F1968" s="4">
        <v>1</v>
      </c>
      <c r="G1968" s="6" t="str">
        <f t="shared" si="61"/>
        <v>41</v>
      </c>
      <c r="H1968" s="5">
        <v>65</v>
      </c>
      <c r="I1968" s="5">
        <v>226.52396703296702</v>
      </c>
      <c r="J1968" s="5">
        <v>14217.219576568723</v>
      </c>
      <c r="K1968" s="5">
        <v>25</v>
      </c>
      <c r="L1968" s="5">
        <v>253.72199518174139</v>
      </c>
      <c r="M1968" s="5">
        <v>15924.236910344036</v>
      </c>
      <c r="N1968" s="5">
        <v>-160</v>
      </c>
      <c r="O1968" s="5">
        <v>-27.19802814877437</v>
      </c>
      <c r="P1968" s="5">
        <v>-1707.0173337753131</v>
      </c>
      <c r="Q1968" s="5">
        <v>-10.719617796357149</v>
      </c>
    </row>
    <row r="1969" spans="1:17" x14ac:dyDescent="0.2">
      <c r="A1969" s="4" t="s">
        <v>69</v>
      </c>
      <c r="B1969" s="4">
        <v>2015</v>
      </c>
      <c r="C1969" s="4" t="s">
        <v>54</v>
      </c>
      <c r="D1969" s="4">
        <v>4</v>
      </c>
      <c r="E1969" s="4">
        <v>4</v>
      </c>
      <c r="F1969" s="4">
        <v>1</v>
      </c>
      <c r="G1969" s="6" t="str">
        <f t="shared" si="61"/>
        <v>41</v>
      </c>
      <c r="H1969" s="5">
        <v>50</v>
      </c>
      <c r="I1969" s="5">
        <v>244.92143913778528</v>
      </c>
      <c r="J1969" s="5">
        <v>15371.891658264754</v>
      </c>
      <c r="K1969" s="5">
        <v>50</v>
      </c>
      <c r="L1969" s="5">
        <v>254.24605917159766</v>
      </c>
      <c r="M1969" s="5">
        <v>15957.128497550237</v>
      </c>
      <c r="N1969" s="5">
        <v>0</v>
      </c>
      <c r="O1969" s="5">
        <v>-9.3246200338123799</v>
      </c>
      <c r="P1969" s="5">
        <v>-585.23683928548235</v>
      </c>
      <c r="Q1969" s="5">
        <v>-3.6675573514077344</v>
      </c>
    </row>
    <row r="1970" spans="1:17" x14ac:dyDescent="0.2">
      <c r="A1970" s="4" t="s">
        <v>69</v>
      </c>
      <c r="B1970" s="4">
        <v>2015</v>
      </c>
      <c r="C1970" s="4" t="s">
        <v>54</v>
      </c>
      <c r="D1970" s="4">
        <v>1</v>
      </c>
      <c r="E1970" s="4">
        <v>6</v>
      </c>
      <c r="F1970" s="4">
        <v>1</v>
      </c>
      <c r="G1970" s="6" t="str">
        <f t="shared" si="61"/>
        <v>61</v>
      </c>
      <c r="H1970" s="5">
        <v>75</v>
      </c>
      <c r="I1970" s="5">
        <v>238.41836931530005</v>
      </c>
      <c r="J1970" s="5">
        <v>14963.742477411963</v>
      </c>
      <c r="K1970" s="5">
        <v>25</v>
      </c>
      <c r="L1970" s="5">
        <v>252.51010295857992</v>
      </c>
      <c r="M1970" s="5">
        <v>15848.175476026514</v>
      </c>
      <c r="N1970" s="5">
        <v>-200</v>
      </c>
      <c r="O1970" s="5">
        <v>-14.091733643279866</v>
      </c>
      <c r="P1970" s="5">
        <v>-884.43299861455125</v>
      </c>
      <c r="Q1970" s="5">
        <v>-5.5806613193577412</v>
      </c>
    </row>
    <row r="1971" spans="1:17" x14ac:dyDescent="0.2">
      <c r="A1971" s="4" t="s">
        <v>69</v>
      </c>
      <c r="B1971" s="4">
        <v>2015</v>
      </c>
      <c r="C1971" s="4" t="s">
        <v>54</v>
      </c>
      <c r="D1971" s="4">
        <v>2</v>
      </c>
      <c r="E1971" s="4">
        <v>6</v>
      </c>
      <c r="F1971" s="4">
        <v>1</v>
      </c>
      <c r="G1971" s="6" t="str">
        <f t="shared" si="61"/>
        <v>61</v>
      </c>
      <c r="H1971" s="5">
        <v>50</v>
      </c>
      <c r="I1971" s="5">
        <v>289.96811284868971</v>
      </c>
      <c r="J1971" s="5">
        <v>18199.135325813488</v>
      </c>
      <c r="K1971" s="5">
        <v>30</v>
      </c>
      <c r="L1971" s="5">
        <v>226.03994657650043</v>
      </c>
      <c r="M1971" s="5">
        <v>14186.841223234769</v>
      </c>
      <c r="N1971" s="5">
        <v>-66.666666666666657</v>
      </c>
      <c r="O1971" s="5">
        <v>63.928166272189287</v>
      </c>
      <c r="P1971" s="5">
        <v>4012.2941025787186</v>
      </c>
      <c r="Q1971" s="5">
        <v>28.281800292566238</v>
      </c>
    </row>
    <row r="1972" spans="1:17" x14ac:dyDescent="0.2">
      <c r="A1972" s="4" t="s">
        <v>69</v>
      </c>
      <c r="B1972" s="4">
        <v>2015</v>
      </c>
      <c r="C1972" s="4" t="s">
        <v>54</v>
      </c>
      <c r="D1972" s="4">
        <v>3</v>
      </c>
      <c r="E1972" s="4">
        <v>6</v>
      </c>
      <c r="F1972" s="4">
        <v>1</v>
      </c>
      <c r="G1972" s="6" t="str">
        <f t="shared" si="61"/>
        <v>61</v>
      </c>
      <c r="H1972" s="5">
        <v>30</v>
      </c>
      <c r="I1972" s="5">
        <v>245.27676796280642</v>
      </c>
      <c r="J1972" s="5">
        <v>15394.192997912733</v>
      </c>
      <c r="K1972" s="5">
        <v>25</v>
      </c>
      <c r="L1972" s="5">
        <v>253.72199518174139</v>
      </c>
      <c r="M1972" s="5">
        <v>15924.236910344036</v>
      </c>
      <c r="N1972" s="5">
        <v>-20</v>
      </c>
      <c r="O1972" s="5">
        <v>-8.4452272189349742</v>
      </c>
      <c r="P1972" s="5">
        <v>-530.0439124313034</v>
      </c>
      <c r="Q1972" s="5">
        <v>-3.3285357120440633</v>
      </c>
    </row>
    <row r="1973" spans="1:17" x14ac:dyDescent="0.2">
      <c r="A1973" s="4" t="s">
        <v>69</v>
      </c>
      <c r="B1973" s="4">
        <v>2015</v>
      </c>
      <c r="C1973" s="4" t="s">
        <v>54</v>
      </c>
      <c r="D1973" s="4">
        <v>4</v>
      </c>
      <c r="E1973" s="4">
        <v>6</v>
      </c>
      <c r="F1973" s="4">
        <v>1</v>
      </c>
      <c r="G1973" s="6" t="str">
        <f t="shared" si="61"/>
        <v>61</v>
      </c>
      <c r="H1973" s="5">
        <v>30</v>
      </c>
      <c r="I1973" s="5">
        <v>260.80325680473373</v>
      </c>
      <c r="J1973" s="5">
        <v>16368.674877292406</v>
      </c>
      <c r="K1973" s="5">
        <v>50</v>
      </c>
      <c r="L1973" s="5">
        <v>254.24605917159766</v>
      </c>
      <c r="M1973" s="5">
        <v>15957.128497550237</v>
      </c>
      <c r="N1973" s="5">
        <v>40</v>
      </c>
      <c r="O1973" s="5">
        <v>6.5571976331360702</v>
      </c>
      <c r="P1973" s="5">
        <v>411.54637974216894</v>
      </c>
      <c r="Q1973" s="5">
        <v>2.5790754257907378</v>
      </c>
    </row>
    <row r="1974" spans="1:17" x14ac:dyDescent="0.2">
      <c r="A1974" s="4" t="s">
        <v>69</v>
      </c>
      <c r="B1974" s="4">
        <v>2015</v>
      </c>
      <c r="C1974" s="4" t="s">
        <v>54</v>
      </c>
      <c r="D1974" s="4">
        <v>1</v>
      </c>
      <c r="E1974" s="4">
        <v>6</v>
      </c>
      <c r="F1974" s="4">
        <v>1</v>
      </c>
      <c r="G1974" s="6" t="str">
        <f t="shared" si="61"/>
        <v>61</v>
      </c>
      <c r="H1974" s="5">
        <v>50</v>
      </c>
      <c r="I1974" s="5">
        <v>235.60547218934911</v>
      </c>
      <c r="J1974" s="5">
        <v>14787.197908597645</v>
      </c>
      <c r="K1974" s="5">
        <v>25</v>
      </c>
      <c r="L1974" s="5">
        <v>252.51010295857992</v>
      </c>
      <c r="M1974" s="5">
        <v>15848.175476026514</v>
      </c>
      <c r="N1974" s="5">
        <v>-100</v>
      </c>
      <c r="O1974" s="5">
        <v>-16.904630769230806</v>
      </c>
      <c r="P1974" s="5">
        <v>-1060.9775674288685</v>
      </c>
      <c r="Q1974" s="5">
        <v>-6.6946354110844233</v>
      </c>
    </row>
    <row r="1975" spans="1:17" x14ac:dyDescent="0.2">
      <c r="A1975" s="4" t="s">
        <v>69</v>
      </c>
      <c r="B1975" s="4">
        <v>2015</v>
      </c>
      <c r="C1975" s="4" t="s">
        <v>54</v>
      </c>
      <c r="D1975" s="4">
        <v>2</v>
      </c>
      <c r="E1975" s="4">
        <v>6</v>
      </c>
      <c r="F1975" s="4">
        <v>1</v>
      </c>
      <c r="G1975" s="6" t="str">
        <f t="shared" si="61"/>
        <v>61</v>
      </c>
      <c r="H1975" s="5">
        <v>30</v>
      </c>
      <c r="I1975" s="5">
        <v>251.91966796280644</v>
      </c>
      <c r="J1975" s="5">
        <v>15811.118275896426</v>
      </c>
      <c r="K1975" s="5">
        <v>30</v>
      </c>
      <c r="L1975" s="5">
        <v>226.03994657650043</v>
      </c>
      <c r="M1975" s="5">
        <v>14186.841223234769</v>
      </c>
      <c r="N1975" s="5">
        <v>0</v>
      </c>
      <c r="O1975" s="5">
        <v>25.879721386306016</v>
      </c>
      <c r="P1975" s="5">
        <v>1624.2770526616569</v>
      </c>
      <c r="Q1975" s="5">
        <v>11.449180456051529</v>
      </c>
    </row>
    <row r="1976" spans="1:17" x14ac:dyDescent="0.2">
      <c r="A1976" s="4" t="s">
        <v>69</v>
      </c>
      <c r="B1976" s="4">
        <v>2015</v>
      </c>
      <c r="C1976" s="4" t="s">
        <v>54</v>
      </c>
      <c r="D1976" s="4">
        <v>3</v>
      </c>
      <c r="E1976" s="4">
        <v>6</v>
      </c>
      <c r="F1976" s="4">
        <v>1</v>
      </c>
      <c r="G1976" s="6" t="str">
        <f t="shared" si="61"/>
        <v>61</v>
      </c>
      <c r="H1976" s="5">
        <v>30</v>
      </c>
      <c r="I1976" s="5">
        <v>250.03651724429412</v>
      </c>
      <c r="J1976" s="5">
        <v>15692.926953311269</v>
      </c>
      <c r="K1976" s="5">
        <v>25</v>
      </c>
      <c r="L1976" s="5">
        <v>253.72199518174139</v>
      </c>
      <c r="M1976" s="5">
        <v>15924.236910344036</v>
      </c>
      <c r="N1976" s="5">
        <v>-20</v>
      </c>
      <c r="O1976" s="5">
        <v>-3.6854779374472741</v>
      </c>
      <c r="P1976" s="5">
        <v>-231.30995703276676</v>
      </c>
      <c r="Q1976" s="5">
        <v>-1.4525654091626385</v>
      </c>
    </row>
    <row r="1977" spans="1:17" x14ac:dyDescent="0.2">
      <c r="A1977" s="4" t="s">
        <v>69</v>
      </c>
      <c r="B1977" s="4">
        <v>2015</v>
      </c>
      <c r="C1977" s="4" t="s">
        <v>54</v>
      </c>
      <c r="D1977" s="4">
        <v>4</v>
      </c>
      <c r="E1977" s="4">
        <v>6</v>
      </c>
      <c r="F1977" s="4">
        <v>1</v>
      </c>
      <c r="G1977" s="6" t="str">
        <f t="shared" si="61"/>
        <v>61</v>
      </c>
      <c r="H1977" s="5">
        <v>40</v>
      </c>
      <c r="I1977" s="5">
        <v>236.09538410819951</v>
      </c>
      <c r="J1977" s="5">
        <v>14817.946025076026</v>
      </c>
      <c r="K1977" s="5">
        <v>50</v>
      </c>
      <c r="L1977" s="5">
        <v>254.24605917159766</v>
      </c>
      <c r="M1977" s="5">
        <v>15957.128497550237</v>
      </c>
      <c r="N1977" s="5">
        <v>20</v>
      </c>
      <c r="O1977" s="5">
        <v>-18.150675063398154</v>
      </c>
      <c r="P1977" s="5">
        <v>-1139.182472474211</v>
      </c>
      <c r="Q1977" s="5">
        <v>-7.1390192329973399</v>
      </c>
    </row>
    <row r="1978" spans="1:17" x14ac:dyDescent="0.2">
      <c r="A1978" s="4" t="s">
        <v>69</v>
      </c>
      <c r="B1978" s="4">
        <v>2015</v>
      </c>
      <c r="C1978" s="4" t="s">
        <v>54</v>
      </c>
      <c r="D1978" s="4">
        <v>1</v>
      </c>
      <c r="E1978" s="4">
        <v>7</v>
      </c>
      <c r="F1978" s="4">
        <v>2</v>
      </c>
      <c r="G1978" s="6" t="str">
        <f t="shared" si="61"/>
        <v>72</v>
      </c>
      <c r="H1978" s="5">
        <v>50</v>
      </c>
      <c r="I1978" s="5">
        <v>223.66918529163146</v>
      </c>
      <c r="J1978" s="5">
        <v>14038.046222899527</v>
      </c>
      <c r="K1978" s="5">
        <v>25</v>
      </c>
      <c r="L1978" s="5">
        <v>252.51010295857992</v>
      </c>
      <c r="M1978" s="5">
        <v>15848.175476026514</v>
      </c>
      <c r="N1978" s="5">
        <v>-100</v>
      </c>
      <c r="O1978" s="5">
        <v>-28.840917666948457</v>
      </c>
      <c r="P1978" s="5">
        <v>-1810.1292531269864</v>
      </c>
      <c r="Q1978" s="5">
        <v>-11.421688609298675</v>
      </c>
    </row>
    <row r="1979" spans="1:17" x14ac:dyDescent="0.2">
      <c r="A1979" s="4" t="s">
        <v>69</v>
      </c>
      <c r="B1979" s="4">
        <v>2015</v>
      </c>
      <c r="C1979" s="4" t="s">
        <v>54</v>
      </c>
      <c r="D1979" s="4">
        <v>2</v>
      </c>
      <c r="E1979" s="4">
        <v>7</v>
      </c>
      <c r="F1979" s="4">
        <v>2</v>
      </c>
      <c r="G1979" s="6" t="str">
        <f t="shared" si="61"/>
        <v>72</v>
      </c>
      <c r="H1979" s="5">
        <v>35</v>
      </c>
      <c r="I1979" s="5">
        <v>239.27456449704141</v>
      </c>
      <c r="J1979" s="5">
        <v>15017.479461884981</v>
      </c>
      <c r="K1979" s="5">
        <v>30</v>
      </c>
      <c r="L1979" s="5">
        <v>226.03994657650043</v>
      </c>
      <c r="M1979" s="5">
        <v>14186.841223234769</v>
      </c>
      <c r="N1979" s="5">
        <v>-16.666666666666664</v>
      </c>
      <c r="O1979" s="5">
        <v>13.234617920540984</v>
      </c>
      <c r="P1979" s="5">
        <v>830.63823865021186</v>
      </c>
      <c r="Q1979" s="5">
        <v>5.8549907310572999</v>
      </c>
    </row>
    <row r="1980" spans="1:17" x14ac:dyDescent="0.2">
      <c r="A1980" s="4" t="s">
        <v>69</v>
      </c>
      <c r="B1980" s="4">
        <v>2015</v>
      </c>
      <c r="C1980" s="4" t="s">
        <v>54</v>
      </c>
      <c r="D1980" s="4">
        <v>3</v>
      </c>
      <c r="E1980" s="4">
        <v>7</v>
      </c>
      <c r="F1980" s="4">
        <v>2</v>
      </c>
      <c r="G1980" s="6" t="str">
        <f t="shared" si="61"/>
        <v>72</v>
      </c>
      <c r="H1980" s="5">
        <v>30</v>
      </c>
      <c r="I1980" s="5">
        <v>249.72896449704146</v>
      </c>
      <c r="J1980" s="5">
        <v>15673.624161662598</v>
      </c>
      <c r="K1980" s="5">
        <v>25</v>
      </c>
      <c r="L1980" s="5">
        <v>253.72199518174139</v>
      </c>
      <c r="M1980" s="5">
        <v>15924.236910344036</v>
      </c>
      <c r="N1980" s="5">
        <v>-20</v>
      </c>
      <c r="O1980" s="5">
        <v>-3.9930306846999315</v>
      </c>
      <c r="P1980" s="5">
        <v>-250.61274868143846</v>
      </c>
      <c r="Q1980" s="5">
        <v>-1.573781840174997</v>
      </c>
    </row>
    <row r="1981" spans="1:17" x14ac:dyDescent="0.2">
      <c r="A1981" s="4" t="s">
        <v>69</v>
      </c>
      <c r="B1981" s="4">
        <v>2015</v>
      </c>
      <c r="C1981" s="4" t="s">
        <v>54</v>
      </c>
      <c r="D1981" s="4">
        <v>4</v>
      </c>
      <c r="E1981" s="4">
        <v>7</v>
      </c>
      <c r="F1981" s="4">
        <v>2</v>
      </c>
      <c r="G1981" s="6" t="str">
        <f t="shared" si="61"/>
        <v>72</v>
      </c>
      <c r="H1981" s="5">
        <v>30</v>
      </c>
      <c r="I1981" s="5">
        <v>262.46464919695694</v>
      </c>
      <c r="J1981" s="5">
        <v>16472.948084019536</v>
      </c>
      <c r="K1981" s="5">
        <v>50</v>
      </c>
      <c r="L1981" s="5">
        <v>254.24605917159766</v>
      </c>
      <c r="M1981" s="5">
        <v>15957.128497550237</v>
      </c>
      <c r="N1981" s="5">
        <v>40</v>
      </c>
      <c r="O1981" s="5">
        <v>8.2185900253592763</v>
      </c>
      <c r="P1981" s="5">
        <v>515.81958646929888</v>
      </c>
      <c r="Q1981" s="5">
        <v>3.2325338894681979</v>
      </c>
    </row>
    <row r="1982" spans="1:17" x14ac:dyDescent="0.2">
      <c r="A1982" s="4" t="s">
        <v>69</v>
      </c>
      <c r="B1982" s="4">
        <v>2015</v>
      </c>
      <c r="C1982" s="4" t="s">
        <v>54</v>
      </c>
      <c r="D1982" s="4">
        <v>1</v>
      </c>
      <c r="E1982" s="4">
        <v>8</v>
      </c>
      <c r="F1982" s="4">
        <v>2</v>
      </c>
      <c r="G1982" s="6" t="str">
        <f t="shared" si="61"/>
        <v>82</v>
      </c>
      <c r="H1982" s="5">
        <v>40</v>
      </c>
      <c r="I1982" s="5">
        <v>264.85952865595937</v>
      </c>
      <c r="J1982" s="5">
        <v>16623.25680222725</v>
      </c>
      <c r="K1982" s="5">
        <v>25</v>
      </c>
      <c r="L1982" s="5">
        <v>252.51010295857992</v>
      </c>
      <c r="M1982" s="5">
        <v>15848.175476026514</v>
      </c>
      <c r="N1982" s="5">
        <v>-60</v>
      </c>
      <c r="O1982" s="5">
        <v>12.349425697379445</v>
      </c>
      <c r="P1982" s="5">
        <v>775.08132620073593</v>
      </c>
      <c r="Q1982" s="5">
        <v>4.8906659783846989</v>
      </c>
    </row>
    <row r="1983" spans="1:17" x14ac:dyDescent="0.2">
      <c r="A1983" s="4" t="s">
        <v>69</v>
      </c>
      <c r="B1983" s="4">
        <v>2015</v>
      </c>
      <c r="C1983" s="4" t="s">
        <v>54</v>
      </c>
      <c r="D1983" s="4">
        <v>2</v>
      </c>
      <c r="E1983" s="4">
        <v>8</v>
      </c>
      <c r="F1983" s="4">
        <v>2</v>
      </c>
      <c r="G1983" s="6" t="str">
        <f t="shared" si="61"/>
        <v>82</v>
      </c>
      <c r="H1983" s="5">
        <v>25</v>
      </c>
      <c r="I1983" s="5">
        <v>263.62894945054944</v>
      </c>
      <c r="J1983" s="5">
        <v>16546.022525436016</v>
      </c>
      <c r="K1983" s="5">
        <v>30</v>
      </c>
      <c r="L1983" s="5">
        <v>226.03994657650043</v>
      </c>
      <c r="M1983" s="5">
        <v>14186.841223234769</v>
      </c>
      <c r="N1983" s="5">
        <v>16.666666666666664</v>
      </c>
      <c r="O1983" s="5">
        <v>37.589002874049015</v>
      </c>
      <c r="P1983" s="5">
        <v>2359.1813022012466</v>
      </c>
      <c r="Q1983" s="5">
        <v>16.629362837567058</v>
      </c>
    </row>
    <row r="1984" spans="1:17" x14ac:dyDescent="0.2">
      <c r="A1984" s="4" t="s">
        <v>69</v>
      </c>
      <c r="B1984" s="4">
        <v>2015</v>
      </c>
      <c r="C1984" s="4" t="s">
        <v>54</v>
      </c>
      <c r="D1984" s="4">
        <v>3</v>
      </c>
      <c r="E1984" s="4">
        <v>8</v>
      </c>
      <c r="F1984" s="4">
        <v>2</v>
      </c>
      <c r="G1984" s="6" t="str">
        <f t="shared" si="61"/>
        <v>82</v>
      </c>
      <c r="H1984" s="5">
        <v>40</v>
      </c>
      <c r="I1984" s="5">
        <v>219.3559904480135</v>
      </c>
      <c r="J1984" s="5">
        <v>13767.339158338382</v>
      </c>
      <c r="K1984" s="5">
        <v>25</v>
      </c>
      <c r="L1984" s="5">
        <v>253.72199518174139</v>
      </c>
      <c r="M1984" s="5">
        <v>15924.236910344036</v>
      </c>
      <c r="N1984" s="5">
        <v>-60</v>
      </c>
      <c r="O1984" s="5">
        <v>-34.366004733727891</v>
      </c>
      <c r="P1984" s="5">
        <v>-2156.8977520056542</v>
      </c>
      <c r="Q1984" s="5">
        <v>-13.544747947103076</v>
      </c>
    </row>
    <row r="1985" spans="1:17" x14ac:dyDescent="0.2">
      <c r="A1985" s="4" t="s">
        <v>69</v>
      </c>
      <c r="B1985" s="4">
        <v>2015</v>
      </c>
      <c r="C1985" s="4" t="s">
        <v>54</v>
      </c>
      <c r="D1985" s="4">
        <v>4</v>
      </c>
      <c r="E1985" s="4">
        <v>8</v>
      </c>
      <c r="F1985" s="4">
        <v>2</v>
      </c>
      <c r="G1985" s="6" t="str">
        <f t="shared" si="61"/>
        <v>82</v>
      </c>
      <c r="H1985" s="5">
        <v>40</v>
      </c>
      <c r="I1985" s="5">
        <v>243.97539915469147</v>
      </c>
      <c r="J1985" s="5">
        <v>15312.515785839296</v>
      </c>
      <c r="K1985" s="5">
        <v>50</v>
      </c>
      <c r="L1985" s="5">
        <v>254.24605917159766</v>
      </c>
      <c r="M1985" s="5">
        <v>15957.128497550237</v>
      </c>
      <c r="N1985" s="5">
        <v>20</v>
      </c>
      <c r="O1985" s="5">
        <v>-10.270660016906191</v>
      </c>
      <c r="P1985" s="5">
        <v>-644.61271171094086</v>
      </c>
      <c r="Q1985" s="5">
        <v>-4.0396535743251221</v>
      </c>
    </row>
    <row r="1986" spans="1:17" x14ac:dyDescent="0.2">
      <c r="A1986" s="4" t="s">
        <v>69</v>
      </c>
      <c r="B1986" s="4">
        <v>2015</v>
      </c>
      <c r="C1986" s="4" t="s">
        <v>54</v>
      </c>
      <c r="D1986" s="4">
        <v>1</v>
      </c>
      <c r="E1986" s="4">
        <v>9</v>
      </c>
      <c r="F1986" s="4">
        <v>2</v>
      </c>
      <c r="G1986" s="6" t="str">
        <f t="shared" ref="G1986:G2017" si="62">E1986&amp;F1986</f>
        <v>92</v>
      </c>
      <c r="H1986" s="5">
        <v>30</v>
      </c>
      <c r="I1986" s="5">
        <v>258.19794167371089</v>
      </c>
      <c r="J1986" s="5">
        <v>16205.158681769846</v>
      </c>
      <c r="K1986" s="5">
        <v>25</v>
      </c>
      <c r="L1986" s="5">
        <v>252.51010295857992</v>
      </c>
      <c r="M1986" s="5">
        <v>15848.175476026514</v>
      </c>
      <c r="N1986" s="5">
        <v>-20</v>
      </c>
      <c r="O1986" s="5">
        <v>5.6878387151309653</v>
      </c>
      <c r="P1986" s="5">
        <v>356.98320574333229</v>
      </c>
      <c r="Q1986" s="5">
        <v>2.2525192649673755</v>
      </c>
    </row>
    <row r="1987" spans="1:17" x14ac:dyDescent="0.2">
      <c r="A1987" s="4" t="s">
        <v>69</v>
      </c>
      <c r="B1987" s="4">
        <v>2015</v>
      </c>
      <c r="C1987" s="4" t="s">
        <v>54</v>
      </c>
      <c r="D1987" s="4">
        <v>2</v>
      </c>
      <c r="E1987" s="4">
        <v>9</v>
      </c>
      <c r="F1987" s="4">
        <v>2</v>
      </c>
      <c r="G1987" s="6" t="str">
        <f t="shared" si="62"/>
        <v>92</v>
      </c>
      <c r="H1987" s="5">
        <v>30</v>
      </c>
      <c r="I1987" s="5">
        <v>286.0066567202029</v>
      </c>
      <c r="J1987" s="5">
        <v>17950.504276484193</v>
      </c>
      <c r="K1987" s="5">
        <v>30</v>
      </c>
      <c r="L1987" s="5">
        <v>226.03994657650043</v>
      </c>
      <c r="M1987" s="5">
        <v>14186.841223234769</v>
      </c>
      <c r="N1987" s="5">
        <v>0</v>
      </c>
      <c r="O1987" s="5">
        <v>59.966710143702471</v>
      </c>
      <c r="P1987" s="5">
        <v>3763.6630532494237</v>
      </c>
      <c r="Q1987" s="5">
        <v>26.529253369562021</v>
      </c>
    </row>
    <row r="1988" spans="1:17" x14ac:dyDescent="0.2">
      <c r="A1988" s="4" t="s">
        <v>69</v>
      </c>
      <c r="B1988" s="4">
        <v>2015</v>
      </c>
      <c r="C1988" s="4" t="s">
        <v>54</v>
      </c>
      <c r="D1988" s="4">
        <v>3</v>
      </c>
      <c r="E1988" s="4">
        <v>9</v>
      </c>
      <c r="F1988" s="4">
        <v>2</v>
      </c>
      <c r="G1988" s="6" t="str">
        <f t="shared" si="62"/>
        <v>92</v>
      </c>
      <c r="H1988" s="5">
        <v>30</v>
      </c>
      <c r="I1988" s="5">
        <v>233.74579526627218</v>
      </c>
      <c r="J1988" s="5">
        <v>14670.479861041051</v>
      </c>
      <c r="K1988" s="5">
        <v>25</v>
      </c>
      <c r="L1988" s="5">
        <v>253.72199518174139</v>
      </c>
      <c r="M1988" s="5">
        <v>15924.236910344036</v>
      </c>
      <c r="N1988" s="5">
        <v>-20</v>
      </c>
      <c r="O1988" s="5">
        <v>-19.976199915469209</v>
      </c>
      <c r="P1988" s="5">
        <v>-1253.7570493029853</v>
      </c>
      <c r="Q1988" s="5">
        <v>-7.8732629787024333</v>
      </c>
    </row>
    <row r="1989" spans="1:17" x14ac:dyDescent="0.2">
      <c r="A1989" s="4" t="s">
        <v>69</v>
      </c>
      <c r="B1989" s="4">
        <v>2015</v>
      </c>
      <c r="C1989" s="4" t="s">
        <v>54</v>
      </c>
      <c r="D1989" s="4">
        <v>4</v>
      </c>
      <c r="E1989" s="4">
        <v>9</v>
      </c>
      <c r="F1989" s="4">
        <v>2</v>
      </c>
      <c r="G1989" s="6" t="str">
        <f t="shared" si="62"/>
        <v>92</v>
      </c>
      <c r="H1989" s="5">
        <v>20</v>
      </c>
      <c r="I1989" s="5">
        <v>267.3913846153846</v>
      </c>
      <c r="J1989" s="5">
        <v>16782.162513542793</v>
      </c>
      <c r="K1989" s="5">
        <v>50</v>
      </c>
      <c r="L1989" s="5">
        <v>254.24605917159766</v>
      </c>
      <c r="M1989" s="5">
        <v>15957.128497550237</v>
      </c>
      <c r="N1989" s="5">
        <v>60</v>
      </c>
      <c r="O1989" s="5">
        <v>13.14532544378693</v>
      </c>
      <c r="P1989" s="5">
        <v>825.03401599255631</v>
      </c>
      <c r="Q1989" s="5">
        <v>5.1703163017031342</v>
      </c>
    </row>
    <row r="1990" spans="1:17" x14ac:dyDescent="0.2">
      <c r="A1990" s="4" t="s">
        <v>69</v>
      </c>
      <c r="B1990" s="4">
        <v>2015</v>
      </c>
      <c r="C1990" s="4" t="s">
        <v>54</v>
      </c>
      <c r="D1990" s="4">
        <v>1</v>
      </c>
      <c r="E1990" s="4">
        <v>11</v>
      </c>
      <c r="F1990" s="4">
        <v>2</v>
      </c>
      <c r="G1990" s="6" t="str">
        <f t="shared" si="62"/>
        <v>112</v>
      </c>
      <c r="H1990" s="5">
        <v>15</v>
      </c>
      <c r="I1990" s="5">
        <v>232.86318055790366</v>
      </c>
      <c r="J1990" s="5">
        <v>14615.084719967266</v>
      </c>
      <c r="K1990" s="5">
        <v>25</v>
      </c>
      <c r="L1990" s="5">
        <v>252.51010295857992</v>
      </c>
      <c r="M1990" s="5">
        <v>15848.175476026514</v>
      </c>
      <c r="N1990" s="5">
        <v>40</v>
      </c>
      <c r="O1990" s="5">
        <v>-19.64692240067626</v>
      </c>
      <c r="P1990" s="5">
        <v>-1233.0907560592477</v>
      </c>
      <c r="Q1990" s="5">
        <v>-7.7806480495154799</v>
      </c>
    </row>
    <row r="1991" spans="1:17" x14ac:dyDescent="0.2">
      <c r="A1991" s="4" t="s">
        <v>69</v>
      </c>
      <c r="B1991" s="4">
        <v>2015</v>
      </c>
      <c r="C1991" s="4" t="s">
        <v>54</v>
      </c>
      <c r="D1991" s="4">
        <v>2</v>
      </c>
      <c r="E1991" s="4">
        <v>11</v>
      </c>
      <c r="F1991" s="4">
        <v>2</v>
      </c>
      <c r="G1991" s="6" t="str">
        <f t="shared" si="62"/>
        <v>112</v>
      </c>
      <c r="H1991" s="5">
        <v>15</v>
      </c>
      <c r="I1991" s="5">
        <v>246.67258427726122</v>
      </c>
      <c r="J1991" s="5">
        <v>15481.797975395193</v>
      </c>
      <c r="K1991" s="5">
        <v>30</v>
      </c>
      <c r="L1991" s="5">
        <v>226.03994657650043</v>
      </c>
      <c r="M1991" s="5">
        <v>14186.841223234769</v>
      </c>
      <c r="N1991" s="5">
        <v>50</v>
      </c>
      <c r="O1991" s="5">
        <v>20.632637700760796</v>
      </c>
      <c r="P1991" s="5">
        <v>1294.956752160424</v>
      </c>
      <c r="Q1991" s="5">
        <v>9.127872313391256</v>
      </c>
    </row>
    <row r="1992" spans="1:17" x14ac:dyDescent="0.2">
      <c r="A1992" s="4" t="s">
        <v>69</v>
      </c>
      <c r="B1992" s="4">
        <v>2015</v>
      </c>
      <c r="C1992" s="4" t="s">
        <v>54</v>
      </c>
      <c r="D1992" s="4">
        <v>3</v>
      </c>
      <c r="E1992" s="4">
        <v>11</v>
      </c>
      <c r="F1992" s="4">
        <v>2</v>
      </c>
      <c r="G1992" s="6" t="str">
        <f t="shared" si="62"/>
        <v>112</v>
      </c>
      <c r="H1992" s="5">
        <v>30</v>
      </c>
      <c r="I1992" s="5">
        <v>255.8052715131023</v>
      </c>
      <c r="J1992" s="5">
        <v>16054.988624741285</v>
      </c>
      <c r="K1992" s="5">
        <v>25</v>
      </c>
      <c r="L1992" s="5">
        <v>253.72199518174139</v>
      </c>
      <c r="M1992" s="5">
        <v>15924.236910344036</v>
      </c>
      <c r="N1992" s="5">
        <v>-20</v>
      </c>
      <c r="O1992" s="5">
        <v>2.0832763313609064</v>
      </c>
      <c r="P1992" s="5">
        <v>130.75171439724909</v>
      </c>
      <c r="Q1992" s="5">
        <v>0.8210862167738513</v>
      </c>
    </row>
    <row r="1993" spans="1:17" x14ac:dyDescent="0.2">
      <c r="A1993" s="4" t="s">
        <v>69</v>
      </c>
      <c r="B1993" s="4">
        <v>2015</v>
      </c>
      <c r="C1993" s="4" t="s">
        <v>54</v>
      </c>
      <c r="D1993" s="4">
        <v>4</v>
      </c>
      <c r="E1993" s="4">
        <v>11</v>
      </c>
      <c r="F1993" s="4">
        <v>2</v>
      </c>
      <c r="G1993" s="6" t="str">
        <f t="shared" si="62"/>
        <v>112</v>
      </c>
      <c r="H1993" s="5">
        <v>30</v>
      </c>
      <c r="I1993" s="5">
        <v>268.54021978021979</v>
      </c>
      <c r="J1993" s="5">
        <v>16854.266326705172</v>
      </c>
      <c r="K1993" s="5">
        <v>50</v>
      </c>
      <c r="L1993" s="5">
        <v>254.24605917159766</v>
      </c>
      <c r="M1993" s="5">
        <v>15957.128497550237</v>
      </c>
      <c r="N1993" s="5">
        <v>40</v>
      </c>
      <c r="O1993" s="5">
        <v>14.294160608622121</v>
      </c>
      <c r="P1993" s="5">
        <v>897.13782915493539</v>
      </c>
      <c r="Q1993" s="5">
        <v>5.622175877650327</v>
      </c>
    </row>
    <row r="1994" spans="1:17" x14ac:dyDescent="0.2">
      <c r="A1994" s="4" t="s">
        <v>69</v>
      </c>
      <c r="B1994" s="4">
        <v>2015</v>
      </c>
      <c r="C1994" s="4" t="s">
        <v>54</v>
      </c>
      <c r="D1994" s="4">
        <v>1</v>
      </c>
      <c r="E1994" s="4">
        <v>12</v>
      </c>
      <c r="F1994" s="4">
        <v>2</v>
      </c>
      <c r="G1994" s="6" t="str">
        <f t="shared" si="62"/>
        <v>122</v>
      </c>
      <c r="H1994" s="5">
        <v>15</v>
      </c>
      <c r="I1994" s="5">
        <v>268.54740000000004</v>
      </c>
      <c r="J1994" s="5">
        <v>16854.716975537438</v>
      </c>
      <c r="K1994" s="5">
        <v>25</v>
      </c>
      <c r="L1994" s="5">
        <v>252.51010295857992</v>
      </c>
      <c r="M1994" s="5">
        <v>15848.175476026514</v>
      </c>
      <c r="N1994" s="5">
        <v>40</v>
      </c>
      <c r="O1994" s="5">
        <v>16.037297041420118</v>
      </c>
      <c r="P1994" s="5">
        <v>1006.541499510924</v>
      </c>
      <c r="Q1994" s="5">
        <v>6.3511506484359437</v>
      </c>
    </row>
    <row r="1995" spans="1:17" x14ac:dyDescent="0.2">
      <c r="A1995" s="4" t="s">
        <v>69</v>
      </c>
      <c r="B1995" s="4">
        <v>2015</v>
      </c>
      <c r="C1995" s="4" t="s">
        <v>54</v>
      </c>
      <c r="D1995" s="4">
        <v>2</v>
      </c>
      <c r="E1995" s="4">
        <v>12</v>
      </c>
      <c r="F1995" s="4">
        <v>2</v>
      </c>
      <c r="G1995" s="6" t="str">
        <f t="shared" si="62"/>
        <v>122</v>
      </c>
      <c r="H1995" s="5">
        <v>40</v>
      </c>
      <c r="I1995" s="5">
        <v>254.97365477599325</v>
      </c>
      <c r="J1995" s="5">
        <v>16002.794245886405</v>
      </c>
      <c r="K1995" s="5">
        <v>30</v>
      </c>
      <c r="L1995" s="5">
        <v>226.03994657650043</v>
      </c>
      <c r="M1995" s="5">
        <v>14186.841223234769</v>
      </c>
      <c r="N1995" s="5">
        <v>-33.333333333333329</v>
      </c>
      <c r="O1995" s="5">
        <v>28.933708199492827</v>
      </c>
      <c r="P1995" s="5">
        <v>1815.9530226516363</v>
      </c>
      <c r="Q1995" s="5">
        <v>12.800263244488313</v>
      </c>
    </row>
    <row r="1996" spans="1:17" x14ac:dyDescent="0.2">
      <c r="A1996" s="4" t="s">
        <v>69</v>
      </c>
      <c r="B1996" s="4">
        <v>2015</v>
      </c>
      <c r="C1996" s="4" t="s">
        <v>54</v>
      </c>
      <c r="D1996" s="4">
        <v>3</v>
      </c>
      <c r="E1996" s="4">
        <v>12</v>
      </c>
      <c r="F1996" s="4">
        <v>2</v>
      </c>
      <c r="G1996" s="6" t="str">
        <f t="shared" si="62"/>
        <v>122</v>
      </c>
      <c r="H1996" s="5">
        <v>40</v>
      </c>
      <c r="I1996" s="5">
        <v>257.56442535925612</v>
      </c>
      <c r="J1996" s="5">
        <v>16165.39758864617</v>
      </c>
      <c r="K1996" s="5">
        <v>25</v>
      </c>
      <c r="L1996" s="5">
        <v>253.72199518174139</v>
      </c>
      <c r="M1996" s="5">
        <v>15924.236910344036</v>
      </c>
      <c r="N1996" s="5">
        <v>-60</v>
      </c>
      <c r="O1996" s="5">
        <v>3.8424301775147285</v>
      </c>
      <c r="P1996" s="5">
        <v>241.16067830213433</v>
      </c>
      <c r="Q1996" s="5">
        <v>1.5144253357941542</v>
      </c>
    </row>
    <row r="1997" spans="1:17" x14ac:dyDescent="0.2">
      <c r="A1997" s="4" t="s">
        <v>69</v>
      </c>
      <c r="B1997" s="4">
        <v>2015</v>
      </c>
      <c r="C1997" s="4" t="s">
        <v>54</v>
      </c>
      <c r="D1997" s="4">
        <v>4</v>
      </c>
      <c r="E1997" s="4">
        <v>12</v>
      </c>
      <c r="F1997" s="4">
        <v>2</v>
      </c>
      <c r="G1997" s="6" t="str">
        <f t="shared" si="62"/>
        <v>122</v>
      </c>
      <c r="H1997" s="5">
        <v>35</v>
      </c>
      <c r="I1997" s="5">
        <v>256.23433567202034</v>
      </c>
      <c r="J1997" s="5">
        <v>16081.917781243677</v>
      </c>
      <c r="K1997" s="5">
        <v>50</v>
      </c>
      <c r="L1997" s="5">
        <v>254.24605917159766</v>
      </c>
      <c r="M1997" s="5">
        <v>15957.128497550237</v>
      </c>
      <c r="N1997" s="5">
        <v>30</v>
      </c>
      <c r="O1997" s="5">
        <v>1.9882765004226712</v>
      </c>
      <c r="P1997" s="5">
        <v>124.78928369344067</v>
      </c>
      <c r="Q1997" s="5">
        <v>0.78202844398099891</v>
      </c>
    </row>
    <row r="1998" spans="1:17" x14ac:dyDescent="0.2">
      <c r="A1998" s="4" t="s">
        <v>69</v>
      </c>
      <c r="B1998" s="4">
        <v>2015</v>
      </c>
      <c r="C1998" s="4" t="s">
        <v>54</v>
      </c>
      <c r="D1998" s="4">
        <v>1</v>
      </c>
      <c r="E1998" s="4">
        <v>13</v>
      </c>
      <c r="F1998" s="4">
        <v>2</v>
      </c>
      <c r="G1998" s="6" t="str">
        <f t="shared" si="62"/>
        <v>132</v>
      </c>
      <c r="H1998" s="5">
        <v>30</v>
      </c>
      <c r="I1998" s="5">
        <v>252.71013651732883</v>
      </c>
      <c r="J1998" s="5">
        <v>15860.730090289479</v>
      </c>
      <c r="K1998" s="5">
        <v>25</v>
      </c>
      <c r="L1998" s="5">
        <v>252.51010295857992</v>
      </c>
      <c r="M1998" s="5">
        <v>15848.175476026514</v>
      </c>
      <c r="N1998" s="5">
        <v>-20</v>
      </c>
      <c r="O1998" s="5">
        <v>0.20003355874891326</v>
      </c>
      <c r="P1998" s="5">
        <v>12.554614262964606</v>
      </c>
      <c r="Q1998" s="5">
        <v>7.9218041735819575E-2</v>
      </c>
    </row>
    <row r="1999" spans="1:17" x14ac:dyDescent="0.2">
      <c r="A1999" s="4" t="s">
        <v>69</v>
      </c>
      <c r="B1999" s="4">
        <v>2015</v>
      </c>
      <c r="C1999" s="4" t="s">
        <v>54</v>
      </c>
      <c r="D1999" s="4">
        <v>2</v>
      </c>
      <c r="E1999" s="4">
        <v>13</v>
      </c>
      <c r="F1999" s="4">
        <v>2</v>
      </c>
      <c r="G1999" s="6" t="str">
        <f t="shared" si="62"/>
        <v>132</v>
      </c>
      <c r="H1999" s="5">
        <v>50</v>
      </c>
      <c r="I1999" s="5">
        <v>242.40283896872364</v>
      </c>
      <c r="J1999" s="5">
        <v>15213.817914024166</v>
      </c>
      <c r="K1999" s="5">
        <v>30</v>
      </c>
      <c r="L1999" s="5">
        <v>226.03994657650043</v>
      </c>
      <c r="M1999" s="5">
        <v>14186.841223234769</v>
      </c>
      <c r="N1999" s="5">
        <v>-66.666666666666657</v>
      </c>
      <c r="O1999" s="5">
        <v>16.362892392223216</v>
      </c>
      <c r="P1999" s="5">
        <v>1026.9766907893973</v>
      </c>
      <c r="Q1999" s="5">
        <v>7.2389383558296734</v>
      </c>
    </row>
    <row r="2000" spans="1:17" x14ac:dyDescent="0.2">
      <c r="A2000" s="4" t="s">
        <v>69</v>
      </c>
      <c r="B2000" s="4">
        <v>2015</v>
      </c>
      <c r="C2000" s="4" t="s">
        <v>54</v>
      </c>
      <c r="D2000" s="4">
        <v>3</v>
      </c>
      <c r="E2000" s="4">
        <v>13</v>
      </c>
      <c r="F2000" s="4">
        <v>2</v>
      </c>
      <c r="G2000" s="6" t="str">
        <f t="shared" si="62"/>
        <v>132</v>
      </c>
      <c r="H2000" s="5">
        <v>75</v>
      </c>
      <c r="I2000" s="5">
        <v>249.55516635672021</v>
      </c>
      <c r="J2000" s="5">
        <v>15662.716148902133</v>
      </c>
      <c r="K2000" s="5">
        <v>25</v>
      </c>
      <c r="L2000" s="5">
        <v>253.72199518174139</v>
      </c>
      <c r="M2000" s="5">
        <v>15924.236910344036</v>
      </c>
      <c r="N2000" s="5">
        <v>-200</v>
      </c>
      <c r="O2000" s="5">
        <v>-4.1668288250211845</v>
      </c>
      <c r="P2000" s="5">
        <v>-261.52076144190323</v>
      </c>
      <c r="Q2000" s="5">
        <v>-1.6422812779934532</v>
      </c>
    </row>
    <row r="2001" spans="1:17" x14ac:dyDescent="0.2">
      <c r="A2001" s="4" t="s">
        <v>69</v>
      </c>
      <c r="B2001" s="4">
        <v>2015</v>
      </c>
      <c r="C2001" s="4" t="s">
        <v>54</v>
      </c>
      <c r="D2001" s="4">
        <v>4</v>
      </c>
      <c r="E2001" s="4">
        <v>13</v>
      </c>
      <c r="F2001" s="4">
        <v>2</v>
      </c>
      <c r="G2001" s="6" t="str">
        <f t="shared" si="62"/>
        <v>132</v>
      </c>
      <c r="H2001" s="5">
        <v>25</v>
      </c>
      <c r="I2001" s="5">
        <v>241.36106272189355</v>
      </c>
      <c r="J2001" s="5">
        <v>15148.433390501843</v>
      </c>
      <c r="K2001" s="5">
        <v>50</v>
      </c>
      <c r="L2001" s="5">
        <v>254.24605917159766</v>
      </c>
      <c r="M2001" s="5">
        <v>15957.128497550237</v>
      </c>
      <c r="N2001" s="5">
        <v>50</v>
      </c>
      <c r="O2001" s="5">
        <v>-12.884996449704119</v>
      </c>
      <c r="P2001" s="5">
        <v>-808.69510704839377</v>
      </c>
      <c r="Q2001" s="5">
        <v>-5.0679237631792331</v>
      </c>
    </row>
    <row r="2002" spans="1:17" x14ac:dyDescent="0.2">
      <c r="A2002" s="4" t="s">
        <v>69</v>
      </c>
      <c r="B2002" s="4">
        <v>2015</v>
      </c>
      <c r="C2002" s="4" t="s">
        <v>54</v>
      </c>
      <c r="D2002" s="4">
        <v>1</v>
      </c>
      <c r="E2002" s="4">
        <v>14</v>
      </c>
      <c r="F2002" s="4">
        <v>2</v>
      </c>
      <c r="G2002" s="6" t="str">
        <f t="shared" si="62"/>
        <v>142</v>
      </c>
      <c r="H2002" s="5" t="s">
        <v>97</v>
      </c>
      <c r="I2002" s="5">
        <v>228.89297928994088</v>
      </c>
      <c r="J2002" s="5">
        <v>14365.904803470468</v>
      </c>
      <c r="K2002" s="5">
        <v>25</v>
      </c>
      <c r="L2002" s="5">
        <v>252.51010295857992</v>
      </c>
      <c r="M2002" s="5">
        <v>15848.175476026514</v>
      </c>
      <c r="N2002" s="5" t="s">
        <v>97</v>
      </c>
      <c r="O2002" s="5">
        <v>-23.617123668639039</v>
      </c>
      <c r="P2002" s="5">
        <v>-1482.2706725560456</v>
      </c>
      <c r="Q2002" s="5">
        <v>-9.3529420771386071</v>
      </c>
    </row>
    <row r="2003" spans="1:17" x14ac:dyDescent="0.2">
      <c r="A2003" s="4" t="s">
        <v>69</v>
      </c>
      <c r="B2003" s="4">
        <v>2015</v>
      </c>
      <c r="C2003" s="4" t="s">
        <v>54</v>
      </c>
      <c r="D2003" s="4">
        <v>2</v>
      </c>
      <c r="E2003" s="4">
        <v>14</v>
      </c>
      <c r="F2003" s="4">
        <v>2</v>
      </c>
      <c r="G2003" s="6" t="str">
        <f t="shared" si="62"/>
        <v>142</v>
      </c>
      <c r="H2003" s="5">
        <v>25</v>
      </c>
      <c r="I2003" s="5">
        <v>233.11043786982245</v>
      </c>
      <c r="J2003" s="5">
        <v>14630.603216934742</v>
      </c>
      <c r="K2003" s="5">
        <v>30</v>
      </c>
      <c r="L2003" s="5">
        <v>226.03994657650043</v>
      </c>
      <c r="M2003" s="5">
        <v>14186.841223234769</v>
      </c>
      <c r="N2003" s="5">
        <v>16.666666666666664</v>
      </c>
      <c r="O2003" s="5">
        <v>7.0704912933220214</v>
      </c>
      <c r="P2003" s="5">
        <v>443.76199369997266</v>
      </c>
      <c r="Q2003" s="5">
        <v>3.127983084586814</v>
      </c>
    </row>
    <row r="2004" spans="1:17" x14ac:dyDescent="0.2">
      <c r="A2004" s="4" t="s">
        <v>69</v>
      </c>
      <c r="B2004" s="4">
        <v>2015</v>
      </c>
      <c r="C2004" s="4" t="s">
        <v>54</v>
      </c>
      <c r="D2004" s="4">
        <v>3</v>
      </c>
      <c r="E2004" s="4">
        <v>14</v>
      </c>
      <c r="F2004" s="4">
        <v>2</v>
      </c>
      <c r="G2004" s="6" t="str">
        <f t="shared" si="62"/>
        <v>142</v>
      </c>
      <c r="H2004" s="5">
        <v>30</v>
      </c>
      <c r="I2004" s="5">
        <v>241.15771521555368</v>
      </c>
      <c r="J2004" s="5">
        <v>15135.670784470134</v>
      </c>
      <c r="K2004" s="5">
        <v>25</v>
      </c>
      <c r="L2004" s="5">
        <v>253.72199518174139</v>
      </c>
      <c r="M2004" s="5">
        <v>15924.236910344036</v>
      </c>
      <c r="N2004" s="5">
        <v>-20</v>
      </c>
      <c r="O2004" s="5">
        <v>-12.564279966187712</v>
      </c>
      <c r="P2004" s="5">
        <v>-788.56612587390191</v>
      </c>
      <c r="Q2004" s="5">
        <v>-4.9519869009337993</v>
      </c>
    </row>
    <row r="2005" spans="1:17" x14ac:dyDescent="0.2">
      <c r="A2005" s="4" t="s">
        <v>69</v>
      </c>
      <c r="B2005" s="4">
        <v>2015</v>
      </c>
      <c r="C2005" s="4" t="s">
        <v>54</v>
      </c>
      <c r="D2005" s="4">
        <v>4</v>
      </c>
      <c r="E2005" s="4">
        <v>14</v>
      </c>
      <c r="F2005" s="4">
        <v>2</v>
      </c>
      <c r="G2005" s="6" t="str">
        <f t="shared" si="62"/>
        <v>142</v>
      </c>
      <c r="H2005" s="5">
        <v>30</v>
      </c>
      <c r="I2005" s="5">
        <v>241.43249670329672</v>
      </c>
      <c r="J2005" s="5">
        <v>15152.916768627963</v>
      </c>
      <c r="K2005" s="5">
        <v>50</v>
      </c>
      <c r="L2005" s="5">
        <v>254.24605917159766</v>
      </c>
      <c r="M2005" s="5">
        <v>15957.128497550237</v>
      </c>
      <c r="N2005" s="5">
        <v>40</v>
      </c>
      <c r="O2005" s="5">
        <v>-12.813562468300944</v>
      </c>
      <c r="P2005" s="5">
        <v>-804.21172892227332</v>
      </c>
      <c r="Q2005" s="5">
        <v>-5.0398273664697077</v>
      </c>
    </row>
    <row r="2006" spans="1:17" x14ac:dyDescent="0.2">
      <c r="A2006" s="4" t="s">
        <v>69</v>
      </c>
      <c r="B2006" s="4">
        <v>2015</v>
      </c>
      <c r="C2006" s="4" t="s">
        <v>54</v>
      </c>
      <c r="D2006" s="4">
        <v>1</v>
      </c>
      <c r="E2006" s="4">
        <v>15</v>
      </c>
      <c r="F2006" s="4">
        <v>3</v>
      </c>
      <c r="G2006" s="6" t="str">
        <f t="shared" si="62"/>
        <v>153</v>
      </c>
      <c r="H2006" s="5">
        <v>25</v>
      </c>
      <c r="I2006" s="5">
        <v>266.50987455621305</v>
      </c>
      <c r="J2006" s="5">
        <v>16726.836703058591</v>
      </c>
      <c r="K2006" s="5">
        <v>25</v>
      </c>
      <c r="L2006" s="5">
        <v>252.51010295857992</v>
      </c>
      <c r="M2006" s="5">
        <v>15848.175476026514</v>
      </c>
      <c r="N2006" s="5">
        <v>0</v>
      </c>
      <c r="O2006" s="5">
        <v>13.999771597633128</v>
      </c>
      <c r="P2006" s="5">
        <v>878.66122703207657</v>
      </c>
      <c r="Q2006" s="5">
        <v>5.5442421644133395</v>
      </c>
    </row>
    <row r="2007" spans="1:17" x14ac:dyDescent="0.2">
      <c r="A2007" s="4" t="s">
        <v>69</v>
      </c>
      <c r="B2007" s="4">
        <v>2015</v>
      </c>
      <c r="C2007" s="4" t="s">
        <v>54</v>
      </c>
      <c r="D2007" s="4">
        <v>2</v>
      </c>
      <c r="E2007" s="4">
        <v>15</v>
      </c>
      <c r="F2007" s="4">
        <v>3</v>
      </c>
      <c r="G2007" s="6" t="str">
        <f t="shared" si="62"/>
        <v>153</v>
      </c>
      <c r="H2007" s="5">
        <v>30</v>
      </c>
      <c r="I2007" s="5">
        <v>244.57264615384611</v>
      </c>
      <c r="J2007" s="5">
        <v>15350.000524605117</v>
      </c>
      <c r="K2007" s="5">
        <v>30</v>
      </c>
      <c r="L2007" s="5">
        <v>226.03994657650043</v>
      </c>
      <c r="M2007" s="5">
        <v>14186.841223234769</v>
      </c>
      <c r="N2007" s="5">
        <v>0</v>
      </c>
      <c r="O2007" s="5">
        <v>18.532699577345682</v>
      </c>
      <c r="P2007" s="5">
        <v>1163.1593013703477</v>
      </c>
      <c r="Q2007" s="5">
        <v>8.1988603598760346</v>
      </c>
    </row>
    <row r="2008" spans="1:17" x14ac:dyDescent="0.2">
      <c r="A2008" s="4" t="s">
        <v>69</v>
      </c>
      <c r="B2008" s="4">
        <v>2015</v>
      </c>
      <c r="C2008" s="4" t="s">
        <v>54</v>
      </c>
      <c r="D2008" s="4">
        <v>3</v>
      </c>
      <c r="E2008" s="4">
        <v>15</v>
      </c>
      <c r="F2008" s="4">
        <v>3</v>
      </c>
      <c r="G2008" s="6" t="str">
        <f t="shared" si="62"/>
        <v>153</v>
      </c>
      <c r="H2008" s="5">
        <v>25</v>
      </c>
      <c r="I2008" s="5">
        <v>257.82374175824174</v>
      </c>
      <c r="J2008" s="5">
        <v>16181.67294454989</v>
      </c>
      <c r="K2008" s="5">
        <v>25</v>
      </c>
      <c r="L2008" s="5">
        <v>253.72199518174139</v>
      </c>
      <c r="M2008" s="5">
        <v>15924.236910344036</v>
      </c>
      <c r="N2008" s="5">
        <v>0</v>
      </c>
      <c r="O2008" s="5">
        <v>4.1017465765003465</v>
      </c>
      <c r="P2008" s="5">
        <v>257.4360342058535</v>
      </c>
      <c r="Q2008" s="5">
        <v>1.6166302702933832</v>
      </c>
    </row>
    <row r="2009" spans="1:17" x14ac:dyDescent="0.2">
      <c r="A2009" s="4" t="s">
        <v>69</v>
      </c>
      <c r="B2009" s="4">
        <v>2015</v>
      </c>
      <c r="C2009" s="4" t="s">
        <v>54</v>
      </c>
      <c r="D2009" s="4">
        <v>4</v>
      </c>
      <c r="E2009" s="4">
        <v>15</v>
      </c>
      <c r="F2009" s="4">
        <v>3</v>
      </c>
      <c r="G2009" s="6" t="str">
        <f t="shared" si="62"/>
        <v>153</v>
      </c>
      <c r="H2009" s="5">
        <v>30</v>
      </c>
      <c r="I2009" s="5">
        <v>250.880561284869</v>
      </c>
      <c r="J2009" s="5">
        <v>15745.90130129892</v>
      </c>
      <c r="K2009" s="5">
        <v>50</v>
      </c>
      <c r="L2009" s="5">
        <v>254.24605917159766</v>
      </c>
      <c r="M2009" s="5">
        <v>15957.128497550237</v>
      </c>
      <c r="N2009" s="5">
        <v>40</v>
      </c>
      <c r="O2009" s="5">
        <v>-3.3654978867286616</v>
      </c>
      <c r="P2009" s="5">
        <v>-211.22719625131685</v>
      </c>
      <c r="Q2009" s="5">
        <v>-1.3237168346657406</v>
      </c>
    </row>
    <row r="2010" spans="1:17" x14ac:dyDescent="0.2">
      <c r="A2010" s="4" t="s">
        <v>69</v>
      </c>
      <c r="B2010" s="4">
        <v>2015</v>
      </c>
      <c r="C2010" s="4" t="s">
        <v>54</v>
      </c>
      <c r="D2010" s="4">
        <v>1</v>
      </c>
      <c r="E2010" s="4">
        <v>16</v>
      </c>
      <c r="F2010" s="4">
        <v>3</v>
      </c>
      <c r="G2010" s="6" t="str">
        <f t="shared" si="62"/>
        <v>163</v>
      </c>
      <c r="H2010" s="5">
        <v>25</v>
      </c>
      <c r="I2010" s="5">
        <v>252.63962307692307</v>
      </c>
      <c r="J2010" s="5">
        <v>15856.304487654672</v>
      </c>
      <c r="K2010" s="5">
        <v>25</v>
      </c>
      <c r="L2010" s="5">
        <v>252.51010295857992</v>
      </c>
      <c r="M2010" s="5">
        <v>15848.175476026514</v>
      </c>
      <c r="N2010" s="5">
        <v>0</v>
      </c>
      <c r="O2010" s="5">
        <v>0.12952011834315158</v>
      </c>
      <c r="P2010" s="5">
        <v>8.1290116281579685</v>
      </c>
      <c r="Q2010" s="5">
        <v>5.1293044050747034E-2</v>
      </c>
    </row>
    <row r="2011" spans="1:17" x14ac:dyDescent="0.2">
      <c r="A2011" s="4" t="s">
        <v>69</v>
      </c>
      <c r="B2011" s="4">
        <v>2015</v>
      </c>
      <c r="C2011" s="4" t="s">
        <v>54</v>
      </c>
      <c r="D2011" s="4">
        <v>2</v>
      </c>
      <c r="E2011" s="4">
        <v>16</v>
      </c>
      <c r="F2011" s="4">
        <v>3</v>
      </c>
      <c r="G2011" s="6" t="str">
        <f t="shared" si="62"/>
        <v>163</v>
      </c>
      <c r="H2011" s="5">
        <v>35</v>
      </c>
      <c r="I2011" s="5">
        <v>212.25374049027897</v>
      </c>
      <c r="J2011" s="5">
        <v>13321.583910188005</v>
      </c>
      <c r="K2011" s="5">
        <v>30</v>
      </c>
      <c r="L2011" s="5">
        <v>226.03994657650043</v>
      </c>
      <c r="M2011" s="5">
        <v>14186.841223234769</v>
      </c>
      <c r="N2011" s="5">
        <v>-16.666666666666664</v>
      </c>
      <c r="O2011" s="5">
        <v>-13.786206086221455</v>
      </c>
      <c r="P2011" s="5">
        <v>-865.25731304676447</v>
      </c>
      <c r="Q2011" s="5">
        <v>-6.0990131589664429</v>
      </c>
    </row>
    <row r="2012" spans="1:17" x14ac:dyDescent="0.2">
      <c r="A2012" s="4" t="s">
        <v>69</v>
      </c>
      <c r="B2012" s="4">
        <v>2015</v>
      </c>
      <c r="C2012" s="4" t="s">
        <v>54</v>
      </c>
      <c r="D2012" s="4">
        <v>3</v>
      </c>
      <c r="E2012" s="4">
        <v>16</v>
      </c>
      <c r="F2012" s="4">
        <v>3</v>
      </c>
      <c r="G2012" s="6" t="str">
        <f t="shared" si="62"/>
        <v>163</v>
      </c>
      <c r="H2012" s="5">
        <v>30</v>
      </c>
      <c r="I2012" s="5">
        <v>249.52156661031276</v>
      </c>
      <c r="J2012" s="5">
        <v>15660.607343469099</v>
      </c>
      <c r="K2012" s="5">
        <v>25</v>
      </c>
      <c r="L2012" s="5">
        <v>253.72199518174139</v>
      </c>
      <c r="M2012" s="5">
        <v>15924.236910344036</v>
      </c>
      <c r="N2012" s="5">
        <v>-20</v>
      </c>
      <c r="O2012" s="5">
        <v>-4.2004285714286311</v>
      </c>
      <c r="P2012" s="5">
        <v>-263.62956687493715</v>
      </c>
      <c r="Q2012" s="5">
        <v>-1.6555240188852576</v>
      </c>
    </row>
    <row r="2013" spans="1:17" x14ac:dyDescent="0.2">
      <c r="A2013" s="4" t="s">
        <v>69</v>
      </c>
      <c r="B2013" s="4">
        <v>2015</v>
      </c>
      <c r="C2013" s="4" t="s">
        <v>54</v>
      </c>
      <c r="D2013" s="4">
        <v>4</v>
      </c>
      <c r="E2013" s="4">
        <v>16</v>
      </c>
      <c r="F2013" s="4">
        <v>3</v>
      </c>
      <c r="G2013" s="6" t="str">
        <f t="shared" si="62"/>
        <v>163</v>
      </c>
      <c r="H2013" s="5">
        <v>25</v>
      </c>
      <c r="I2013" s="5">
        <v>241.45118368554523</v>
      </c>
      <c r="J2013" s="5">
        <v>15154.089611101677</v>
      </c>
      <c r="K2013" s="5">
        <v>50</v>
      </c>
      <c r="L2013" s="5">
        <v>254.24605917159766</v>
      </c>
      <c r="M2013" s="5">
        <v>15957.128497550237</v>
      </c>
      <c r="N2013" s="5">
        <v>50</v>
      </c>
      <c r="O2013" s="5">
        <v>-12.794875486052433</v>
      </c>
      <c r="P2013" s="5">
        <v>-803.03888644855942</v>
      </c>
      <c r="Q2013" s="5">
        <v>-5.0324774070212142</v>
      </c>
    </row>
    <row r="2014" spans="1:17" x14ac:dyDescent="0.2">
      <c r="A2014" s="4" t="s">
        <v>69</v>
      </c>
      <c r="B2014" s="4">
        <v>2015</v>
      </c>
      <c r="C2014" s="4" t="s">
        <v>54</v>
      </c>
      <c r="D2014" s="4">
        <v>1</v>
      </c>
      <c r="E2014" s="4">
        <v>17</v>
      </c>
      <c r="F2014" s="4">
        <v>3</v>
      </c>
      <c r="G2014" s="6" t="str">
        <f t="shared" si="62"/>
        <v>173</v>
      </c>
      <c r="H2014" s="5">
        <v>50</v>
      </c>
      <c r="I2014" s="5">
        <v>263.79022823330513</v>
      </c>
      <c r="J2014" s="5">
        <v>16556.14479151458</v>
      </c>
      <c r="K2014" s="5">
        <v>25</v>
      </c>
      <c r="L2014" s="5">
        <v>252.51010295857992</v>
      </c>
      <c r="M2014" s="5">
        <v>15848.175476026514</v>
      </c>
      <c r="N2014" s="5">
        <v>-100</v>
      </c>
      <c r="O2014" s="5">
        <v>11.280125274725208</v>
      </c>
      <c r="P2014" s="5">
        <v>707.96931548806606</v>
      </c>
      <c r="Q2014" s="5">
        <v>4.4671976061787619</v>
      </c>
    </row>
    <row r="2015" spans="1:17" x14ac:dyDescent="0.2">
      <c r="A2015" s="4" t="s">
        <v>69</v>
      </c>
      <c r="B2015" s="4">
        <v>2015</v>
      </c>
      <c r="C2015" s="4" t="s">
        <v>54</v>
      </c>
      <c r="D2015" s="4">
        <v>2</v>
      </c>
      <c r="E2015" s="4">
        <v>17</v>
      </c>
      <c r="F2015" s="4">
        <v>3</v>
      </c>
      <c r="G2015" s="6" t="str">
        <f t="shared" si="62"/>
        <v>173</v>
      </c>
      <c r="H2015" s="5">
        <v>50</v>
      </c>
      <c r="I2015" s="5">
        <v>234.18783905325446</v>
      </c>
      <c r="J2015" s="5">
        <v>14698.223651970999</v>
      </c>
      <c r="K2015" s="5">
        <v>30</v>
      </c>
      <c r="L2015" s="5">
        <v>226.03994657650043</v>
      </c>
      <c r="M2015" s="5">
        <v>14186.841223234769</v>
      </c>
      <c r="N2015" s="5">
        <v>-66.666666666666657</v>
      </c>
      <c r="O2015" s="5">
        <v>8.1478924767540377</v>
      </c>
      <c r="P2015" s="5">
        <v>511.38242873622949</v>
      </c>
      <c r="Q2015" s="5">
        <v>3.604625023213083</v>
      </c>
    </row>
    <row r="2016" spans="1:17" x14ac:dyDescent="0.2">
      <c r="A2016" s="4" t="s">
        <v>69</v>
      </c>
      <c r="B2016" s="4">
        <v>2015</v>
      </c>
      <c r="C2016" s="4" t="s">
        <v>54</v>
      </c>
      <c r="D2016" s="4">
        <v>3</v>
      </c>
      <c r="E2016" s="4">
        <v>17</v>
      </c>
      <c r="F2016" s="4">
        <v>3</v>
      </c>
      <c r="G2016" s="6" t="str">
        <f t="shared" si="62"/>
        <v>173</v>
      </c>
      <c r="H2016" s="5">
        <v>30</v>
      </c>
      <c r="I2016" s="5">
        <v>248.20767844463231</v>
      </c>
      <c r="J2016" s="5">
        <v>15578.144384713765</v>
      </c>
      <c r="K2016" s="5">
        <v>25</v>
      </c>
      <c r="L2016" s="5">
        <v>253.72199518174139</v>
      </c>
      <c r="M2016" s="5">
        <v>15924.236910344036</v>
      </c>
      <c r="N2016" s="5">
        <v>-20</v>
      </c>
      <c r="O2016" s="5">
        <v>-5.514316737109084</v>
      </c>
      <c r="P2016" s="5">
        <v>-346.09252563027076</v>
      </c>
      <c r="Q2016" s="5">
        <v>-2.1733696099777102</v>
      </c>
    </row>
    <row r="2017" spans="1:17" x14ac:dyDescent="0.2">
      <c r="A2017" s="4" t="s">
        <v>69</v>
      </c>
      <c r="B2017" s="4">
        <v>2015</v>
      </c>
      <c r="C2017" s="4" t="s">
        <v>54</v>
      </c>
      <c r="D2017" s="4">
        <v>4</v>
      </c>
      <c r="E2017" s="4">
        <v>17</v>
      </c>
      <c r="F2017" s="4">
        <v>3</v>
      </c>
      <c r="G2017" s="6" t="str">
        <f t="shared" si="62"/>
        <v>173</v>
      </c>
      <c r="H2017" s="5">
        <v>50</v>
      </c>
      <c r="I2017" s="5">
        <v>244.93754860524089</v>
      </c>
      <c r="J2017" s="5">
        <v>15372.902729362784</v>
      </c>
      <c r="K2017" s="5">
        <v>50</v>
      </c>
      <c r="L2017" s="5">
        <v>254.24605917159766</v>
      </c>
      <c r="M2017" s="5">
        <v>15957.128497550237</v>
      </c>
      <c r="N2017" s="5">
        <v>0</v>
      </c>
      <c r="O2017" s="5">
        <v>-9.3085105663567731</v>
      </c>
      <c r="P2017" s="5">
        <v>-584.22576818745256</v>
      </c>
      <c r="Q2017" s="5">
        <v>-3.6612211794693752</v>
      </c>
    </row>
  </sheetData>
  <pageMargins left="0.75" right="0.75" top="1" bottom="1" header="0.5" footer="0.5"/>
  <pageSetup orientation="portrait" horizontalDpi="4294967292" verticalDpi="429496729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5C6E9B-37D1-4949-BD0E-93AAEEA52870}">
  <dimension ref="A1:F20"/>
  <sheetViews>
    <sheetView tabSelected="1" workbookViewId="0">
      <selection activeCell="B2" sqref="B2"/>
    </sheetView>
  </sheetViews>
  <sheetFormatPr baseColWidth="10" defaultColWidth="11" defaultRowHeight="16" x14ac:dyDescent="0.2"/>
  <cols>
    <col min="1" max="1" width="44.5" bestFit="1" customWidth="1"/>
    <col min="2" max="2" width="12" bestFit="1" customWidth="1"/>
    <col min="5" max="5" width="14.1640625" customWidth="1"/>
  </cols>
  <sheetData>
    <row r="1" spans="1:6" x14ac:dyDescent="0.2">
      <c r="A1" t="s">
        <v>122</v>
      </c>
      <c r="B1" t="s">
        <v>121</v>
      </c>
      <c r="E1" t="s">
        <v>120</v>
      </c>
      <c r="F1" t="s">
        <v>119</v>
      </c>
    </row>
    <row r="2" spans="1:6" x14ac:dyDescent="0.2">
      <c r="A2" s="38" t="s">
        <v>124</v>
      </c>
      <c r="B2" t="s">
        <v>125</v>
      </c>
      <c r="E2">
        <v>12</v>
      </c>
      <c r="F2" t="s">
        <v>118</v>
      </c>
    </row>
    <row r="3" spans="1:6" x14ac:dyDescent="0.2">
      <c r="A3" s="38" t="s">
        <v>126</v>
      </c>
      <c r="B3" t="s">
        <v>127</v>
      </c>
      <c r="E3">
        <v>13</v>
      </c>
      <c r="F3" t="s">
        <v>117</v>
      </c>
    </row>
    <row r="4" spans="1:6" x14ac:dyDescent="0.2">
      <c r="A4" s="38" t="s">
        <v>128</v>
      </c>
      <c r="E4">
        <v>21</v>
      </c>
      <c r="F4" t="s">
        <v>116</v>
      </c>
    </row>
    <row r="5" spans="1:6" x14ac:dyDescent="0.2">
      <c r="A5" s="38" t="s">
        <v>129</v>
      </c>
      <c r="E5">
        <v>22</v>
      </c>
      <c r="F5" t="s">
        <v>115</v>
      </c>
    </row>
    <row r="6" spans="1:6" x14ac:dyDescent="0.2">
      <c r="A6" s="38" t="s">
        <v>130</v>
      </c>
      <c r="E6">
        <v>23</v>
      </c>
      <c r="F6" t="s">
        <v>114</v>
      </c>
    </row>
    <row r="7" spans="1:6" x14ac:dyDescent="0.2">
      <c r="A7" s="38" t="s">
        <v>131</v>
      </c>
      <c r="E7" t="s">
        <v>113</v>
      </c>
    </row>
    <row r="8" spans="1:6" x14ac:dyDescent="0.2">
      <c r="A8" s="38" t="s">
        <v>132</v>
      </c>
    </row>
    <row r="9" spans="1:6" x14ac:dyDescent="0.2">
      <c r="A9" s="38" t="s">
        <v>133</v>
      </c>
    </row>
    <row r="10" spans="1:6" x14ac:dyDescent="0.2">
      <c r="A10" s="38" t="s">
        <v>134</v>
      </c>
    </row>
    <row r="11" spans="1:6" x14ac:dyDescent="0.2">
      <c r="A11" s="38" t="s">
        <v>135</v>
      </c>
    </row>
    <row r="12" spans="1:6" x14ac:dyDescent="0.2">
      <c r="A12" s="38" t="s">
        <v>136</v>
      </c>
    </row>
    <row r="13" spans="1:6" x14ac:dyDescent="0.2">
      <c r="A13" s="38" t="s">
        <v>137</v>
      </c>
    </row>
    <row r="14" spans="1:6" x14ac:dyDescent="0.2">
      <c r="A14" s="38" t="s">
        <v>138</v>
      </c>
    </row>
    <row r="15" spans="1:6" x14ac:dyDescent="0.2">
      <c r="A15" s="38" t="s">
        <v>139</v>
      </c>
    </row>
    <row r="16" spans="1:6" x14ac:dyDescent="0.2">
      <c r="A16" s="38" t="s">
        <v>140</v>
      </c>
    </row>
    <row r="17" spans="1:1" x14ac:dyDescent="0.2">
      <c r="A17" s="38" t="s">
        <v>141</v>
      </c>
    </row>
    <row r="18" spans="1:1" x14ac:dyDescent="0.2">
      <c r="A18" s="38" t="s">
        <v>142</v>
      </c>
    </row>
    <row r="19" spans="1:1" x14ac:dyDescent="0.2">
      <c r="A19" s="38" t="s">
        <v>143</v>
      </c>
    </row>
    <row r="20" spans="1:1" x14ac:dyDescent="0.2">
      <c r="A20" s="38" t="s">
        <v>144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E89181-412A-AA44-9564-587D9A854BAC}">
  <dimension ref="A1:Z438"/>
  <sheetViews>
    <sheetView workbookViewId="0">
      <selection activeCell="D9" sqref="D9"/>
    </sheetView>
  </sheetViews>
  <sheetFormatPr baseColWidth="10" defaultRowHeight="16" x14ac:dyDescent="0.2"/>
  <sheetData>
    <row r="1" spans="1:26" s="39" customFormat="1" x14ac:dyDescent="0.2">
      <c r="A1" s="39" t="s">
        <v>123</v>
      </c>
    </row>
    <row r="2" spans="1:26" x14ac:dyDescent="0.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1" t="s">
        <v>19</v>
      </c>
      <c r="U2" s="1" t="s">
        <v>20</v>
      </c>
      <c r="V2" s="1" t="s">
        <v>21</v>
      </c>
      <c r="W2" s="1" t="s">
        <v>22</v>
      </c>
      <c r="X2" s="1" t="s">
        <v>23</v>
      </c>
      <c r="Y2" s="1" t="s">
        <v>24</v>
      </c>
      <c r="Z2" s="1" t="s">
        <v>25</v>
      </c>
    </row>
    <row r="3" spans="1:26" x14ac:dyDescent="0.2">
      <c r="A3">
        <v>1</v>
      </c>
      <c r="B3">
        <v>2015</v>
      </c>
      <c r="C3" t="s">
        <v>26</v>
      </c>
      <c r="D3" t="s">
        <v>27</v>
      </c>
      <c r="E3">
        <v>4</v>
      </c>
      <c r="F3" s="2">
        <v>31</v>
      </c>
      <c r="G3" s="2" t="s">
        <v>28</v>
      </c>
      <c r="H3" s="2" t="s">
        <v>29</v>
      </c>
      <c r="I3" s="2" t="s">
        <v>30</v>
      </c>
      <c r="J3" s="2">
        <v>11</v>
      </c>
      <c r="K3" s="3">
        <v>212.18</v>
      </c>
      <c r="L3" s="3">
        <v>254.92</v>
      </c>
      <c r="M3" s="3">
        <v>868.14</v>
      </c>
      <c r="N3" s="3">
        <v>13318.538600000002</v>
      </c>
      <c r="O3" s="3">
        <v>16000</v>
      </c>
      <c r="P3" s="3">
        <v>3419739</v>
      </c>
      <c r="Q3" s="3">
        <v>18.725000000000001</v>
      </c>
      <c r="R3" s="3">
        <v>40.627499999999998</v>
      </c>
      <c r="S3" s="3">
        <v>385.81</v>
      </c>
      <c r="T3" s="1">
        <f t="shared" ref="T3:T66" si="0">K3-L3</f>
        <v>-42.739999999999981</v>
      </c>
      <c r="U3" s="1">
        <f t="shared" ref="U3:U66" si="1">(2*M3)/E3</f>
        <v>434.07</v>
      </c>
      <c r="V3" s="1">
        <f t="shared" ref="V3:V66" si="2">N3-O3</f>
        <v>-2681.4613999999983</v>
      </c>
      <c r="W3" s="1">
        <f t="shared" ref="W3:W66" si="3">(2*P3)/E3</f>
        <v>1709869.5</v>
      </c>
      <c r="X3" s="1">
        <f t="shared" ref="X3:X66" si="4">Q3-R3</f>
        <v>-21.902499999999996</v>
      </c>
      <c r="Y3" s="1">
        <f t="shared" ref="Y3:Y66" si="5">(2*S3)/E3</f>
        <v>192.905</v>
      </c>
      <c r="Z3">
        <f t="shared" ref="Z3:Z66" si="6">IF(Q3&lt;5,0,1)</f>
        <v>1</v>
      </c>
    </row>
    <row r="4" spans="1:26" x14ac:dyDescent="0.2">
      <c r="A4">
        <f t="shared" ref="A4:A67" si="7">A3+1</f>
        <v>2</v>
      </c>
      <c r="B4">
        <v>2015</v>
      </c>
      <c r="C4" t="s">
        <v>26</v>
      </c>
      <c r="D4" t="s">
        <v>27</v>
      </c>
      <c r="E4">
        <v>4</v>
      </c>
      <c r="F4" s="2">
        <v>173</v>
      </c>
      <c r="G4" s="2" t="s">
        <v>31</v>
      </c>
      <c r="H4" s="2" t="s">
        <v>32</v>
      </c>
      <c r="I4" s="2" t="s">
        <v>33</v>
      </c>
      <c r="J4" s="2">
        <v>311</v>
      </c>
      <c r="K4" s="3">
        <v>215.22</v>
      </c>
      <c r="L4" s="3">
        <v>254.92</v>
      </c>
      <c r="M4" s="3">
        <v>868.14</v>
      </c>
      <c r="N4" s="3">
        <v>13509.359400000001</v>
      </c>
      <c r="O4" s="3">
        <v>16000</v>
      </c>
      <c r="P4" s="3">
        <v>3419739</v>
      </c>
      <c r="Q4" s="3">
        <v>5.9474999999999998</v>
      </c>
      <c r="R4" s="3">
        <v>40.627499999999998</v>
      </c>
      <c r="S4" s="3">
        <v>385.81</v>
      </c>
      <c r="T4" s="1">
        <f t="shared" si="0"/>
        <v>-39.699999999999989</v>
      </c>
      <c r="U4" s="1">
        <f t="shared" si="1"/>
        <v>434.07</v>
      </c>
      <c r="V4" s="1">
        <f t="shared" si="2"/>
        <v>-2490.6405999999988</v>
      </c>
      <c r="W4" s="1">
        <f t="shared" si="3"/>
        <v>1709869.5</v>
      </c>
      <c r="X4" s="1">
        <f t="shared" si="4"/>
        <v>-34.68</v>
      </c>
      <c r="Y4" s="1">
        <f t="shared" si="5"/>
        <v>192.905</v>
      </c>
      <c r="Z4">
        <f t="shared" si="6"/>
        <v>1</v>
      </c>
    </row>
    <row r="5" spans="1:26" x14ac:dyDescent="0.2">
      <c r="A5">
        <f t="shared" si="7"/>
        <v>3</v>
      </c>
      <c r="B5">
        <v>2015</v>
      </c>
      <c r="C5" t="s">
        <v>34</v>
      </c>
      <c r="D5" t="s">
        <v>35</v>
      </c>
      <c r="E5">
        <v>4</v>
      </c>
      <c r="F5" s="2">
        <v>183</v>
      </c>
      <c r="G5" s="2" t="s">
        <v>36</v>
      </c>
      <c r="H5" s="2" t="s">
        <v>37</v>
      </c>
      <c r="I5" s="2" t="s">
        <v>33</v>
      </c>
      <c r="J5" s="2">
        <v>11</v>
      </c>
      <c r="K5" s="3">
        <v>93.6875</v>
      </c>
      <c r="L5" s="3">
        <v>127.58</v>
      </c>
      <c r="M5" s="3">
        <v>1197.8900000000001</v>
      </c>
      <c r="N5" s="3">
        <v>5880.7643750000007</v>
      </c>
      <c r="O5" s="3">
        <v>8007.33</v>
      </c>
      <c r="P5" s="3">
        <v>4718559</v>
      </c>
      <c r="Q5" s="3">
        <v>0</v>
      </c>
      <c r="R5" s="3">
        <v>0</v>
      </c>
      <c r="S5" s="3">
        <v>0</v>
      </c>
      <c r="T5" s="1">
        <f t="shared" si="0"/>
        <v>-33.892499999999998</v>
      </c>
      <c r="U5" s="1">
        <f t="shared" si="1"/>
        <v>598.94500000000005</v>
      </c>
      <c r="V5" s="1">
        <f t="shared" si="2"/>
        <v>-2126.5656249999993</v>
      </c>
      <c r="W5" s="1">
        <f t="shared" si="3"/>
        <v>2359279.5</v>
      </c>
      <c r="X5" s="1">
        <f t="shared" si="4"/>
        <v>0</v>
      </c>
      <c r="Y5" s="1">
        <f t="shared" si="5"/>
        <v>0</v>
      </c>
      <c r="Z5">
        <f t="shared" si="6"/>
        <v>0</v>
      </c>
    </row>
    <row r="6" spans="1:26" x14ac:dyDescent="0.2">
      <c r="A6">
        <f t="shared" si="7"/>
        <v>4</v>
      </c>
      <c r="B6">
        <v>2015</v>
      </c>
      <c r="C6" t="s">
        <v>26</v>
      </c>
      <c r="D6" t="s">
        <v>27</v>
      </c>
      <c r="E6">
        <v>4</v>
      </c>
      <c r="F6" s="2">
        <v>61</v>
      </c>
      <c r="G6" s="2" t="s">
        <v>38</v>
      </c>
      <c r="H6" s="2" t="s">
        <v>39</v>
      </c>
      <c r="I6" s="2" t="s">
        <v>30</v>
      </c>
      <c r="J6" s="2">
        <v>311</v>
      </c>
      <c r="K6" s="3">
        <v>222.35</v>
      </c>
      <c r="L6" s="3">
        <v>254.92</v>
      </c>
      <c r="M6" s="3">
        <v>868.14</v>
      </c>
      <c r="N6" s="3">
        <v>13956.9095</v>
      </c>
      <c r="O6" s="3">
        <v>16000</v>
      </c>
      <c r="P6" s="3">
        <v>3419739</v>
      </c>
      <c r="Q6" s="3">
        <v>26.35</v>
      </c>
      <c r="R6" s="3">
        <v>40.627499999999998</v>
      </c>
      <c r="S6" s="3">
        <v>385.81</v>
      </c>
      <c r="T6" s="1">
        <f t="shared" si="0"/>
        <v>-32.569999999999993</v>
      </c>
      <c r="U6" s="1">
        <f t="shared" si="1"/>
        <v>434.07</v>
      </c>
      <c r="V6" s="1">
        <f t="shared" si="2"/>
        <v>-2043.0905000000002</v>
      </c>
      <c r="W6" s="1">
        <f t="shared" si="3"/>
        <v>1709869.5</v>
      </c>
      <c r="X6" s="1">
        <f t="shared" si="4"/>
        <v>-14.277499999999996</v>
      </c>
      <c r="Y6" s="1">
        <f t="shared" si="5"/>
        <v>192.905</v>
      </c>
      <c r="Z6">
        <f t="shared" si="6"/>
        <v>1</v>
      </c>
    </row>
    <row r="7" spans="1:26" x14ac:dyDescent="0.2">
      <c r="A7">
        <f t="shared" si="7"/>
        <v>5</v>
      </c>
      <c r="B7">
        <v>2015</v>
      </c>
      <c r="C7" t="s">
        <v>34</v>
      </c>
      <c r="D7" t="s">
        <v>35</v>
      </c>
      <c r="E7">
        <v>4</v>
      </c>
      <c r="F7" s="2">
        <v>112</v>
      </c>
      <c r="G7" s="2" t="s">
        <v>40</v>
      </c>
      <c r="H7" s="2" t="s">
        <v>39</v>
      </c>
      <c r="I7" s="2" t="s">
        <v>41</v>
      </c>
      <c r="J7" s="2">
        <v>311</v>
      </c>
      <c r="K7" s="3">
        <v>97.047499999999999</v>
      </c>
      <c r="L7" s="3">
        <v>127.58</v>
      </c>
      <c r="M7" s="3">
        <v>1197.8900000000001</v>
      </c>
      <c r="N7" s="3">
        <v>6091.6715750000003</v>
      </c>
      <c r="O7" s="3">
        <v>8007.33</v>
      </c>
      <c r="P7" s="3">
        <v>4718559</v>
      </c>
      <c r="Q7" s="3">
        <v>0</v>
      </c>
      <c r="R7" s="3">
        <v>0</v>
      </c>
      <c r="S7" s="3">
        <v>0</v>
      </c>
      <c r="T7" s="1">
        <f t="shared" si="0"/>
        <v>-30.532499999999999</v>
      </c>
      <c r="U7" s="1">
        <f t="shared" si="1"/>
        <v>598.94500000000005</v>
      </c>
      <c r="V7" s="1">
        <f t="shared" si="2"/>
        <v>-1915.6584249999996</v>
      </c>
      <c r="W7" s="1">
        <f t="shared" si="3"/>
        <v>2359279.5</v>
      </c>
      <c r="X7" s="1">
        <f t="shared" si="4"/>
        <v>0</v>
      </c>
      <c r="Y7" s="1">
        <f t="shared" si="5"/>
        <v>0</v>
      </c>
      <c r="Z7">
        <f t="shared" si="6"/>
        <v>0</v>
      </c>
    </row>
    <row r="8" spans="1:26" x14ac:dyDescent="0.2">
      <c r="A8">
        <f t="shared" si="7"/>
        <v>6</v>
      </c>
      <c r="B8">
        <v>2015</v>
      </c>
      <c r="C8" t="s">
        <v>26</v>
      </c>
      <c r="D8" t="s">
        <v>27</v>
      </c>
      <c r="E8">
        <v>4</v>
      </c>
      <c r="F8" s="2">
        <v>92</v>
      </c>
      <c r="G8" s="2" t="s">
        <v>42</v>
      </c>
      <c r="H8" s="2" t="s">
        <v>43</v>
      </c>
      <c r="I8" s="2" t="s">
        <v>41</v>
      </c>
      <c r="J8" s="2">
        <v>311</v>
      </c>
      <c r="K8" s="3">
        <v>225.65</v>
      </c>
      <c r="L8" s="3">
        <v>254.92</v>
      </c>
      <c r="M8" s="3">
        <v>868.14</v>
      </c>
      <c r="N8" s="3">
        <v>14164.050500000001</v>
      </c>
      <c r="O8" s="3">
        <v>16000</v>
      </c>
      <c r="P8" s="3">
        <v>3419739</v>
      </c>
      <c r="Q8" s="3">
        <v>7.41</v>
      </c>
      <c r="R8" s="3">
        <v>40.627499999999998</v>
      </c>
      <c r="S8" s="3">
        <v>385.81</v>
      </c>
      <c r="T8" s="1">
        <f t="shared" si="0"/>
        <v>-29.269999999999982</v>
      </c>
      <c r="U8" s="1">
        <f t="shared" si="1"/>
        <v>434.07</v>
      </c>
      <c r="V8" s="1">
        <f t="shared" si="2"/>
        <v>-1835.9494999999988</v>
      </c>
      <c r="W8" s="1">
        <f t="shared" si="3"/>
        <v>1709869.5</v>
      </c>
      <c r="X8" s="1">
        <f t="shared" si="4"/>
        <v>-33.217500000000001</v>
      </c>
      <c r="Y8" s="1">
        <f t="shared" si="5"/>
        <v>192.905</v>
      </c>
      <c r="Z8">
        <f t="shared" si="6"/>
        <v>1</v>
      </c>
    </row>
    <row r="9" spans="1:26" x14ac:dyDescent="0.2">
      <c r="A9">
        <f t="shared" si="7"/>
        <v>7</v>
      </c>
      <c r="B9">
        <v>2015</v>
      </c>
      <c r="C9" t="s">
        <v>26</v>
      </c>
      <c r="D9" t="s">
        <v>27</v>
      </c>
      <c r="E9">
        <v>4</v>
      </c>
      <c r="F9" s="2">
        <v>193</v>
      </c>
      <c r="G9" s="2" t="s">
        <v>40</v>
      </c>
      <c r="H9" s="2" t="s">
        <v>39</v>
      </c>
      <c r="I9" s="2" t="s">
        <v>33</v>
      </c>
      <c r="J9" s="2">
        <v>311</v>
      </c>
      <c r="K9" s="3">
        <v>225.9</v>
      </c>
      <c r="L9" s="3">
        <v>254.92</v>
      </c>
      <c r="M9" s="3">
        <v>868.14</v>
      </c>
      <c r="N9" s="3">
        <v>14179.743</v>
      </c>
      <c r="O9" s="3">
        <v>16000</v>
      </c>
      <c r="P9" s="3">
        <v>3419739</v>
      </c>
      <c r="Q9" s="3">
        <v>23.077500000000001</v>
      </c>
      <c r="R9" s="3">
        <v>40.627499999999998</v>
      </c>
      <c r="S9" s="3">
        <v>385.81</v>
      </c>
      <c r="T9" s="1">
        <f t="shared" si="0"/>
        <v>-29.019999999999982</v>
      </c>
      <c r="U9" s="1">
        <f t="shared" si="1"/>
        <v>434.07</v>
      </c>
      <c r="V9" s="1">
        <f t="shared" si="2"/>
        <v>-1820.2569999999996</v>
      </c>
      <c r="W9" s="1">
        <f t="shared" si="3"/>
        <v>1709869.5</v>
      </c>
      <c r="X9" s="1">
        <f t="shared" si="4"/>
        <v>-17.549999999999997</v>
      </c>
      <c r="Y9" s="1">
        <f t="shared" si="5"/>
        <v>192.905</v>
      </c>
      <c r="Z9">
        <f t="shared" si="6"/>
        <v>1</v>
      </c>
    </row>
    <row r="10" spans="1:26" x14ac:dyDescent="0.2">
      <c r="A10">
        <f t="shared" si="7"/>
        <v>8</v>
      </c>
      <c r="B10">
        <v>2015</v>
      </c>
      <c r="C10" t="s">
        <v>26</v>
      </c>
      <c r="D10" t="s">
        <v>27</v>
      </c>
      <c r="E10">
        <v>4</v>
      </c>
      <c r="F10" s="2">
        <v>153</v>
      </c>
      <c r="G10" s="2" t="s">
        <v>44</v>
      </c>
      <c r="H10" s="2" t="s">
        <v>45</v>
      </c>
      <c r="I10" s="2" t="s">
        <v>33</v>
      </c>
      <c r="J10" s="2">
        <v>3711</v>
      </c>
      <c r="K10" s="3">
        <v>226.02</v>
      </c>
      <c r="L10" s="3">
        <v>254.92</v>
      </c>
      <c r="M10" s="3">
        <v>868.14</v>
      </c>
      <c r="N10" s="3">
        <v>14187.2754</v>
      </c>
      <c r="O10" s="3">
        <v>16000</v>
      </c>
      <c r="P10" s="3">
        <v>3419739</v>
      </c>
      <c r="Q10" s="3">
        <v>22.067499999999999</v>
      </c>
      <c r="R10" s="3">
        <v>40.627499999999998</v>
      </c>
      <c r="S10" s="3">
        <v>385.81</v>
      </c>
      <c r="T10" s="1">
        <f t="shared" si="0"/>
        <v>-28.899999999999977</v>
      </c>
      <c r="U10" s="1">
        <f t="shared" si="1"/>
        <v>434.07</v>
      </c>
      <c r="V10" s="1">
        <f t="shared" si="2"/>
        <v>-1812.7245999999996</v>
      </c>
      <c r="W10" s="1">
        <f t="shared" si="3"/>
        <v>1709869.5</v>
      </c>
      <c r="X10" s="1">
        <f t="shared" si="4"/>
        <v>-18.559999999999999</v>
      </c>
      <c r="Y10" s="1">
        <f t="shared" si="5"/>
        <v>192.905</v>
      </c>
      <c r="Z10">
        <f t="shared" si="6"/>
        <v>1</v>
      </c>
    </row>
    <row r="11" spans="1:26" x14ac:dyDescent="0.2">
      <c r="A11">
        <f t="shared" si="7"/>
        <v>9</v>
      </c>
      <c r="B11">
        <v>2015</v>
      </c>
      <c r="C11" t="s">
        <v>26</v>
      </c>
      <c r="D11" t="s">
        <v>27</v>
      </c>
      <c r="E11">
        <v>4</v>
      </c>
      <c r="F11" s="2">
        <v>82</v>
      </c>
      <c r="G11" s="2" t="s">
        <v>31</v>
      </c>
      <c r="H11" s="2" t="s">
        <v>46</v>
      </c>
      <c r="I11" s="2" t="s">
        <v>41</v>
      </c>
      <c r="J11" s="2">
        <v>311</v>
      </c>
      <c r="K11" s="3">
        <v>229.45</v>
      </c>
      <c r="L11" s="3">
        <v>254.92</v>
      </c>
      <c r="M11" s="3">
        <v>868.14</v>
      </c>
      <c r="N11" s="3">
        <v>14402.576499999999</v>
      </c>
      <c r="O11" s="3">
        <v>16000</v>
      </c>
      <c r="P11" s="3">
        <v>3419739</v>
      </c>
      <c r="Q11" s="3">
        <v>31.32</v>
      </c>
      <c r="R11" s="3">
        <v>40.627499999999998</v>
      </c>
      <c r="S11" s="3">
        <v>385.81</v>
      </c>
      <c r="T11" s="1">
        <f t="shared" si="0"/>
        <v>-25.47</v>
      </c>
      <c r="U11" s="1">
        <f t="shared" si="1"/>
        <v>434.07</v>
      </c>
      <c r="V11" s="1">
        <f t="shared" si="2"/>
        <v>-1597.4235000000008</v>
      </c>
      <c r="W11" s="1">
        <f t="shared" si="3"/>
        <v>1709869.5</v>
      </c>
      <c r="X11" s="1">
        <f t="shared" si="4"/>
        <v>-9.3074999999999974</v>
      </c>
      <c r="Y11" s="1">
        <f t="shared" si="5"/>
        <v>192.905</v>
      </c>
      <c r="Z11">
        <f t="shared" si="6"/>
        <v>1</v>
      </c>
    </row>
    <row r="12" spans="1:26" x14ac:dyDescent="0.2">
      <c r="A12">
        <f t="shared" si="7"/>
        <v>10</v>
      </c>
      <c r="B12">
        <v>2015</v>
      </c>
      <c r="C12" t="s">
        <v>26</v>
      </c>
      <c r="D12" t="s">
        <v>27</v>
      </c>
      <c r="E12">
        <v>4</v>
      </c>
      <c r="F12" s="2">
        <v>72</v>
      </c>
      <c r="G12" s="2" t="s">
        <v>47</v>
      </c>
      <c r="H12" s="2" t="s">
        <v>48</v>
      </c>
      <c r="I12" s="2" t="s">
        <v>41</v>
      </c>
      <c r="J12" s="2">
        <v>311</v>
      </c>
      <c r="K12" s="3">
        <v>229.95</v>
      </c>
      <c r="L12" s="3">
        <v>254.92</v>
      </c>
      <c r="M12" s="3">
        <v>868.14</v>
      </c>
      <c r="N12" s="3">
        <v>14433.961499999999</v>
      </c>
      <c r="O12" s="3">
        <v>16000</v>
      </c>
      <c r="P12" s="3">
        <v>3419739</v>
      </c>
      <c r="Q12" s="3">
        <v>20.862500000000001</v>
      </c>
      <c r="R12" s="3">
        <v>40.627499999999998</v>
      </c>
      <c r="S12" s="3">
        <v>385.81</v>
      </c>
      <c r="T12" s="1">
        <f t="shared" si="0"/>
        <v>-24.97</v>
      </c>
      <c r="U12" s="1">
        <f t="shared" si="1"/>
        <v>434.07</v>
      </c>
      <c r="V12" s="1">
        <f t="shared" si="2"/>
        <v>-1566.0385000000006</v>
      </c>
      <c r="W12" s="1">
        <f t="shared" si="3"/>
        <v>1709869.5</v>
      </c>
      <c r="X12" s="1">
        <f t="shared" si="4"/>
        <v>-19.764999999999997</v>
      </c>
      <c r="Y12" s="1">
        <f t="shared" si="5"/>
        <v>192.905</v>
      </c>
      <c r="Z12">
        <f t="shared" si="6"/>
        <v>1</v>
      </c>
    </row>
    <row r="13" spans="1:26" x14ac:dyDescent="0.2">
      <c r="A13">
        <f t="shared" si="7"/>
        <v>11</v>
      </c>
      <c r="B13">
        <v>2015</v>
      </c>
      <c r="C13" t="s">
        <v>34</v>
      </c>
      <c r="D13" t="s">
        <v>35</v>
      </c>
      <c r="E13">
        <v>4</v>
      </c>
      <c r="F13" s="2">
        <v>132</v>
      </c>
      <c r="G13" s="2" t="s">
        <v>49</v>
      </c>
      <c r="H13" s="2" t="s">
        <v>46</v>
      </c>
      <c r="I13" s="2" t="s">
        <v>41</v>
      </c>
      <c r="J13" s="2">
        <v>3</v>
      </c>
      <c r="K13" s="3">
        <v>105.12</v>
      </c>
      <c r="L13" s="3">
        <v>127.58</v>
      </c>
      <c r="M13" s="3">
        <v>1197.8900000000001</v>
      </c>
      <c r="N13" s="3">
        <v>6598.3824000000004</v>
      </c>
      <c r="O13" s="3">
        <v>8007.33</v>
      </c>
      <c r="P13" s="3">
        <v>4718559</v>
      </c>
      <c r="Q13" s="3">
        <v>0</v>
      </c>
      <c r="R13" s="3">
        <v>0</v>
      </c>
      <c r="S13" s="3">
        <v>0</v>
      </c>
      <c r="T13" s="1">
        <f t="shared" si="0"/>
        <v>-22.459999999999994</v>
      </c>
      <c r="U13" s="1">
        <f t="shared" si="1"/>
        <v>598.94500000000005</v>
      </c>
      <c r="V13" s="1">
        <f t="shared" si="2"/>
        <v>-1408.9475999999995</v>
      </c>
      <c r="W13" s="1">
        <f t="shared" si="3"/>
        <v>2359279.5</v>
      </c>
      <c r="X13" s="1">
        <f t="shared" si="4"/>
        <v>0</v>
      </c>
      <c r="Y13" s="1">
        <f t="shared" si="5"/>
        <v>0</v>
      </c>
      <c r="Z13">
        <f t="shared" si="6"/>
        <v>0</v>
      </c>
    </row>
    <row r="14" spans="1:26" x14ac:dyDescent="0.2">
      <c r="A14">
        <f t="shared" si="7"/>
        <v>12</v>
      </c>
      <c r="B14">
        <v>2015</v>
      </c>
      <c r="C14" t="s">
        <v>26</v>
      </c>
      <c r="D14" t="s">
        <v>27</v>
      </c>
      <c r="E14">
        <v>4</v>
      </c>
      <c r="F14" s="2">
        <v>132</v>
      </c>
      <c r="G14" s="2" t="s">
        <v>49</v>
      </c>
      <c r="H14" s="2" t="s">
        <v>46</v>
      </c>
      <c r="I14" s="2" t="s">
        <v>41</v>
      </c>
      <c r="J14" s="2">
        <v>3</v>
      </c>
      <c r="K14" s="3">
        <v>233.17</v>
      </c>
      <c r="L14" s="3">
        <v>254.92</v>
      </c>
      <c r="M14" s="3">
        <v>868.14</v>
      </c>
      <c r="N14" s="3">
        <v>14636.080900000001</v>
      </c>
      <c r="O14" s="3">
        <v>16000</v>
      </c>
      <c r="P14" s="3">
        <v>3419739</v>
      </c>
      <c r="Q14" s="3">
        <v>45.1325</v>
      </c>
      <c r="R14" s="3">
        <v>40.627499999999998</v>
      </c>
      <c r="S14" s="3">
        <v>385.81</v>
      </c>
      <c r="T14" s="1">
        <f t="shared" si="0"/>
        <v>-21.75</v>
      </c>
      <c r="U14" s="1">
        <f t="shared" si="1"/>
        <v>434.07</v>
      </c>
      <c r="V14" s="1">
        <f t="shared" si="2"/>
        <v>-1363.9190999999992</v>
      </c>
      <c r="W14" s="1">
        <f t="shared" si="3"/>
        <v>1709869.5</v>
      </c>
      <c r="X14" s="1">
        <f t="shared" si="4"/>
        <v>4.5050000000000026</v>
      </c>
      <c r="Y14" s="1">
        <f t="shared" si="5"/>
        <v>192.905</v>
      </c>
      <c r="Z14">
        <f t="shared" si="6"/>
        <v>1</v>
      </c>
    </row>
    <row r="15" spans="1:26" x14ac:dyDescent="0.2">
      <c r="A15">
        <f t="shared" si="7"/>
        <v>13</v>
      </c>
      <c r="B15">
        <v>2014</v>
      </c>
      <c r="C15" t="s">
        <v>50</v>
      </c>
      <c r="D15" t="s">
        <v>51</v>
      </c>
      <c r="E15">
        <v>4</v>
      </c>
      <c r="F15" s="2">
        <v>193</v>
      </c>
      <c r="G15" s="2" t="s">
        <v>40</v>
      </c>
      <c r="H15" s="2" t="s">
        <v>39</v>
      </c>
      <c r="I15" s="2" t="s">
        <v>33</v>
      </c>
      <c r="J15" s="2">
        <v>311</v>
      </c>
      <c r="K15" s="3">
        <v>173.4</v>
      </c>
      <c r="L15" s="3">
        <v>194.15</v>
      </c>
      <c r="M15" s="3">
        <v>198.36</v>
      </c>
      <c r="N15" s="3">
        <v>10884.318000000001</v>
      </c>
      <c r="O15" s="3">
        <v>12185</v>
      </c>
      <c r="P15" s="3">
        <v>781361</v>
      </c>
      <c r="Q15" s="3">
        <v>4.8324999999999996</v>
      </c>
      <c r="R15" s="3">
        <v>12.085000000000001</v>
      </c>
      <c r="S15" s="3">
        <v>2.2498</v>
      </c>
      <c r="T15" s="1">
        <f t="shared" si="0"/>
        <v>-20.75</v>
      </c>
      <c r="U15" s="1">
        <f t="shared" si="1"/>
        <v>99.18</v>
      </c>
      <c r="V15" s="1">
        <f t="shared" si="2"/>
        <v>-1300.6819999999989</v>
      </c>
      <c r="W15" s="1">
        <f t="shared" si="3"/>
        <v>390680.5</v>
      </c>
      <c r="X15" s="1">
        <f t="shared" si="4"/>
        <v>-7.2525000000000013</v>
      </c>
      <c r="Y15" s="1">
        <f t="shared" si="5"/>
        <v>1.1249</v>
      </c>
      <c r="Z15">
        <f t="shared" si="6"/>
        <v>0</v>
      </c>
    </row>
    <row r="16" spans="1:26" x14ac:dyDescent="0.2">
      <c r="A16">
        <f t="shared" si="7"/>
        <v>14</v>
      </c>
      <c r="B16">
        <v>2014</v>
      </c>
      <c r="C16" t="s">
        <v>52</v>
      </c>
      <c r="D16" t="s">
        <v>53</v>
      </c>
      <c r="E16">
        <v>4</v>
      </c>
      <c r="F16" s="2">
        <v>82</v>
      </c>
      <c r="G16" s="2" t="s">
        <v>31</v>
      </c>
      <c r="H16" s="2" t="s">
        <v>46</v>
      </c>
      <c r="I16" s="2" t="s">
        <v>41</v>
      </c>
      <c r="J16" s="2">
        <v>311</v>
      </c>
      <c r="K16" s="3">
        <v>172.6</v>
      </c>
      <c r="L16" s="3">
        <v>190.74</v>
      </c>
      <c r="M16" s="3">
        <v>134.78</v>
      </c>
      <c r="N16" s="3">
        <v>10834.102000000001</v>
      </c>
      <c r="O16" s="3">
        <v>11971</v>
      </c>
      <c r="P16" s="3">
        <v>530904</v>
      </c>
      <c r="Q16" s="3">
        <v>3.75</v>
      </c>
      <c r="R16" s="3">
        <v>4</v>
      </c>
      <c r="S16" s="3">
        <v>1.1295999999999999</v>
      </c>
      <c r="T16" s="1">
        <f t="shared" si="0"/>
        <v>-18.140000000000015</v>
      </c>
      <c r="U16" s="1">
        <f t="shared" si="1"/>
        <v>67.39</v>
      </c>
      <c r="V16" s="1">
        <f t="shared" si="2"/>
        <v>-1136.8979999999992</v>
      </c>
      <c r="W16" s="1">
        <f t="shared" si="3"/>
        <v>265452</v>
      </c>
      <c r="X16" s="1">
        <f t="shared" si="4"/>
        <v>-0.25</v>
      </c>
      <c r="Y16" s="1">
        <f t="shared" si="5"/>
        <v>0.56479999999999997</v>
      </c>
      <c r="Z16">
        <f t="shared" si="6"/>
        <v>0</v>
      </c>
    </row>
    <row r="17" spans="1:26" x14ac:dyDescent="0.2">
      <c r="A17">
        <f t="shared" si="7"/>
        <v>15</v>
      </c>
      <c r="B17">
        <v>2014</v>
      </c>
      <c r="C17" t="s">
        <v>54</v>
      </c>
      <c r="D17" t="s">
        <v>55</v>
      </c>
      <c r="E17">
        <v>4</v>
      </c>
      <c r="F17" s="2">
        <v>153</v>
      </c>
      <c r="G17" s="2" t="s">
        <v>44</v>
      </c>
      <c r="H17" s="2" t="s">
        <v>45</v>
      </c>
      <c r="I17" s="2" t="s">
        <v>33</v>
      </c>
      <c r="J17" s="2">
        <v>3711</v>
      </c>
      <c r="K17" s="3">
        <v>181.61</v>
      </c>
      <c r="L17" s="3">
        <v>199.21</v>
      </c>
      <c r="M17" s="3">
        <v>340.41</v>
      </c>
      <c r="N17" s="3">
        <v>11399.659700000002</v>
      </c>
      <c r="O17" s="3">
        <v>12503</v>
      </c>
      <c r="P17" s="3">
        <v>1340951</v>
      </c>
      <c r="Q17" s="3">
        <v>0.375</v>
      </c>
      <c r="R17" s="3">
        <v>1.0625</v>
      </c>
      <c r="S17" s="3">
        <v>15.753399999999999</v>
      </c>
      <c r="T17" s="1">
        <f t="shared" si="0"/>
        <v>-17.599999999999994</v>
      </c>
      <c r="U17" s="1">
        <f t="shared" si="1"/>
        <v>170.20500000000001</v>
      </c>
      <c r="V17" s="1">
        <f t="shared" si="2"/>
        <v>-1103.340299999998</v>
      </c>
      <c r="W17" s="1">
        <f t="shared" si="3"/>
        <v>670475.5</v>
      </c>
      <c r="X17" s="1">
        <f t="shared" si="4"/>
        <v>-0.6875</v>
      </c>
      <c r="Y17" s="1">
        <f t="shared" si="5"/>
        <v>7.8766999999999996</v>
      </c>
      <c r="Z17">
        <f t="shared" si="6"/>
        <v>0</v>
      </c>
    </row>
    <row r="18" spans="1:26" x14ac:dyDescent="0.2">
      <c r="A18">
        <f t="shared" si="7"/>
        <v>16</v>
      </c>
      <c r="B18">
        <v>2015</v>
      </c>
      <c r="C18" t="s">
        <v>56</v>
      </c>
      <c r="D18" t="s">
        <v>57</v>
      </c>
      <c r="E18">
        <v>5</v>
      </c>
      <c r="F18" s="2">
        <v>92</v>
      </c>
      <c r="G18" s="2" t="s">
        <v>42</v>
      </c>
      <c r="H18" s="2" t="s">
        <v>43</v>
      </c>
      <c r="I18" s="2" t="s">
        <v>41</v>
      </c>
      <c r="J18" s="2">
        <v>311</v>
      </c>
      <c r="K18" s="3">
        <v>145.41</v>
      </c>
      <c r="L18" s="3">
        <v>162.91</v>
      </c>
      <c r="M18" s="3">
        <v>731.14</v>
      </c>
      <c r="N18" s="3">
        <v>9127.3857000000007</v>
      </c>
      <c r="O18" s="3">
        <v>10225</v>
      </c>
      <c r="P18" s="3">
        <v>2880279</v>
      </c>
      <c r="Q18" s="3">
        <v>4.4080000000000004</v>
      </c>
      <c r="R18" s="3">
        <v>9.2360000000000007</v>
      </c>
      <c r="S18" s="3">
        <v>10.812099999999999</v>
      </c>
      <c r="T18" s="1">
        <f t="shared" si="0"/>
        <v>-17.5</v>
      </c>
      <c r="U18" s="1">
        <f t="shared" si="1"/>
        <v>292.45600000000002</v>
      </c>
      <c r="V18" s="1">
        <f t="shared" si="2"/>
        <v>-1097.6142999999993</v>
      </c>
      <c r="W18" s="1">
        <f t="shared" si="3"/>
        <v>1152111.6000000001</v>
      </c>
      <c r="X18" s="1">
        <f t="shared" si="4"/>
        <v>-4.8280000000000003</v>
      </c>
      <c r="Y18" s="1">
        <f t="shared" si="5"/>
        <v>4.32484</v>
      </c>
      <c r="Z18">
        <f t="shared" si="6"/>
        <v>0</v>
      </c>
    </row>
    <row r="19" spans="1:26" x14ac:dyDescent="0.2">
      <c r="A19">
        <f t="shared" si="7"/>
        <v>17</v>
      </c>
      <c r="B19">
        <v>2014</v>
      </c>
      <c r="C19" t="s">
        <v>54</v>
      </c>
      <c r="D19" t="s">
        <v>55</v>
      </c>
      <c r="E19">
        <v>4</v>
      </c>
      <c r="F19" s="2">
        <v>92</v>
      </c>
      <c r="G19" s="2" t="s">
        <v>42</v>
      </c>
      <c r="H19" s="2" t="s">
        <v>43</v>
      </c>
      <c r="I19" s="2" t="s">
        <v>41</v>
      </c>
      <c r="J19" s="2">
        <v>311</v>
      </c>
      <c r="K19" s="3">
        <v>182.01</v>
      </c>
      <c r="L19" s="3">
        <v>199.21</v>
      </c>
      <c r="M19" s="3">
        <v>340.41</v>
      </c>
      <c r="N19" s="3">
        <v>11424.7677</v>
      </c>
      <c r="O19" s="3">
        <v>12503</v>
      </c>
      <c r="P19" s="3">
        <v>1340951</v>
      </c>
      <c r="Q19" s="3">
        <v>0.375</v>
      </c>
      <c r="R19" s="3">
        <v>1.0625</v>
      </c>
      <c r="S19" s="3">
        <v>15.753399999999999</v>
      </c>
      <c r="T19" s="1">
        <f t="shared" si="0"/>
        <v>-17.200000000000017</v>
      </c>
      <c r="U19" s="1">
        <f t="shared" si="1"/>
        <v>170.20500000000001</v>
      </c>
      <c r="V19" s="1">
        <f t="shared" si="2"/>
        <v>-1078.2322999999997</v>
      </c>
      <c r="W19" s="1">
        <f t="shared" si="3"/>
        <v>670475.5</v>
      </c>
      <c r="X19" s="1">
        <f t="shared" si="4"/>
        <v>-0.6875</v>
      </c>
      <c r="Y19" s="1">
        <f t="shared" si="5"/>
        <v>7.8766999999999996</v>
      </c>
      <c r="Z19">
        <f t="shared" si="6"/>
        <v>0</v>
      </c>
    </row>
    <row r="20" spans="1:26" x14ac:dyDescent="0.2">
      <c r="A20">
        <f t="shared" si="7"/>
        <v>18</v>
      </c>
      <c r="B20">
        <v>2014</v>
      </c>
      <c r="C20" t="s">
        <v>54</v>
      </c>
      <c r="D20" t="s">
        <v>55</v>
      </c>
      <c r="E20">
        <v>4</v>
      </c>
      <c r="F20" s="2">
        <v>72</v>
      </c>
      <c r="G20" s="2" t="s">
        <v>47</v>
      </c>
      <c r="H20" s="2" t="s">
        <v>48</v>
      </c>
      <c r="I20" s="2" t="s">
        <v>41</v>
      </c>
      <c r="J20" s="2">
        <v>311</v>
      </c>
      <c r="K20" s="3">
        <v>182.08</v>
      </c>
      <c r="L20" s="3">
        <v>199.21</v>
      </c>
      <c r="M20" s="3">
        <v>340.41</v>
      </c>
      <c r="N20" s="3">
        <v>11429.161600000001</v>
      </c>
      <c r="O20" s="3">
        <v>12503</v>
      </c>
      <c r="P20" s="3">
        <v>1340951</v>
      </c>
      <c r="Q20" s="3">
        <v>1.35</v>
      </c>
      <c r="R20" s="3">
        <v>1.0625</v>
      </c>
      <c r="S20" s="3">
        <v>15.753399999999999</v>
      </c>
      <c r="T20" s="1">
        <f t="shared" si="0"/>
        <v>-17.129999999999995</v>
      </c>
      <c r="U20" s="1">
        <f t="shared" si="1"/>
        <v>170.20500000000001</v>
      </c>
      <c r="V20" s="1">
        <f t="shared" si="2"/>
        <v>-1073.8383999999987</v>
      </c>
      <c r="W20" s="1">
        <f t="shared" si="3"/>
        <v>670475.5</v>
      </c>
      <c r="X20" s="1">
        <f t="shared" si="4"/>
        <v>0.28750000000000009</v>
      </c>
      <c r="Y20" s="1">
        <f t="shared" si="5"/>
        <v>7.8766999999999996</v>
      </c>
      <c r="Z20">
        <f t="shared" si="6"/>
        <v>0</v>
      </c>
    </row>
    <row r="21" spans="1:26" x14ac:dyDescent="0.2">
      <c r="A21">
        <f t="shared" si="7"/>
        <v>19</v>
      </c>
      <c r="B21">
        <v>2014</v>
      </c>
      <c r="C21" t="s">
        <v>54</v>
      </c>
      <c r="D21" t="s">
        <v>55</v>
      </c>
      <c r="E21">
        <v>4</v>
      </c>
      <c r="F21" s="2">
        <v>163</v>
      </c>
      <c r="G21" s="2" t="s">
        <v>58</v>
      </c>
      <c r="H21" s="2" t="s">
        <v>59</v>
      </c>
      <c r="I21" s="2" t="s">
        <v>33</v>
      </c>
      <c r="J21" s="2">
        <v>311</v>
      </c>
      <c r="K21" s="3">
        <v>182.53</v>
      </c>
      <c r="L21" s="3">
        <v>199.21</v>
      </c>
      <c r="M21" s="3">
        <v>340.41</v>
      </c>
      <c r="N21" s="3">
        <v>11457.408100000001</v>
      </c>
      <c r="O21" s="3">
        <v>12503</v>
      </c>
      <c r="P21" s="3">
        <v>1340951</v>
      </c>
      <c r="Q21" s="3">
        <v>5.6749999999999998</v>
      </c>
      <c r="R21" s="3">
        <v>1.0625</v>
      </c>
      <c r="S21" s="3">
        <v>15.753399999999999</v>
      </c>
      <c r="T21" s="1">
        <f t="shared" si="0"/>
        <v>-16.680000000000007</v>
      </c>
      <c r="U21" s="1">
        <f t="shared" si="1"/>
        <v>170.20500000000001</v>
      </c>
      <c r="V21" s="1">
        <f t="shared" si="2"/>
        <v>-1045.5918999999994</v>
      </c>
      <c r="W21" s="1">
        <f t="shared" si="3"/>
        <v>670475.5</v>
      </c>
      <c r="X21" s="1">
        <f t="shared" si="4"/>
        <v>4.6124999999999998</v>
      </c>
      <c r="Y21" s="1">
        <f t="shared" si="5"/>
        <v>7.8766999999999996</v>
      </c>
      <c r="Z21">
        <f t="shared" si="6"/>
        <v>1</v>
      </c>
    </row>
    <row r="22" spans="1:26" x14ac:dyDescent="0.2">
      <c r="A22">
        <f t="shared" si="7"/>
        <v>20</v>
      </c>
      <c r="B22">
        <v>2015</v>
      </c>
      <c r="C22" t="s">
        <v>60</v>
      </c>
      <c r="D22" t="s">
        <v>61</v>
      </c>
      <c r="E22">
        <v>6</v>
      </c>
      <c r="F22" s="2">
        <v>41</v>
      </c>
      <c r="G22" s="2" t="s">
        <v>31</v>
      </c>
      <c r="H22" s="2" t="s">
        <v>62</v>
      </c>
      <c r="I22" s="2" t="s">
        <v>30</v>
      </c>
      <c r="J22" s="2">
        <v>311</v>
      </c>
      <c r="K22" s="3">
        <v>247.31</v>
      </c>
      <c r="L22" s="3">
        <v>263.64</v>
      </c>
      <c r="M22" s="3">
        <v>207.31</v>
      </c>
      <c r="N22" s="3">
        <v>15523.648700000002</v>
      </c>
      <c r="O22" s="3">
        <v>16547</v>
      </c>
      <c r="P22" s="3">
        <v>816614</v>
      </c>
      <c r="Q22" s="3">
        <v>25.666699999999999</v>
      </c>
      <c r="R22" s="3">
        <v>25.5</v>
      </c>
      <c r="S22" s="3">
        <v>40.421999999999997</v>
      </c>
      <c r="T22" s="1">
        <f t="shared" si="0"/>
        <v>-16.329999999999984</v>
      </c>
      <c r="U22" s="1">
        <f t="shared" si="1"/>
        <v>69.103333333333339</v>
      </c>
      <c r="V22" s="1">
        <f t="shared" si="2"/>
        <v>-1023.3512999999984</v>
      </c>
      <c r="W22" s="1">
        <f t="shared" si="3"/>
        <v>272204.66666666669</v>
      </c>
      <c r="X22" s="1">
        <f t="shared" si="4"/>
        <v>0.16669999999999874</v>
      </c>
      <c r="Y22" s="1">
        <f t="shared" si="5"/>
        <v>13.473999999999998</v>
      </c>
      <c r="Z22">
        <f t="shared" si="6"/>
        <v>1</v>
      </c>
    </row>
    <row r="23" spans="1:26" x14ac:dyDescent="0.2">
      <c r="A23">
        <f t="shared" si="7"/>
        <v>21</v>
      </c>
      <c r="B23">
        <v>2015</v>
      </c>
      <c r="C23" t="s">
        <v>34</v>
      </c>
      <c r="D23" t="s">
        <v>35</v>
      </c>
      <c r="E23">
        <v>4</v>
      </c>
      <c r="F23" s="2">
        <v>142</v>
      </c>
      <c r="G23" s="2" t="s">
        <v>63</v>
      </c>
      <c r="H23" s="2" t="s">
        <v>46</v>
      </c>
      <c r="I23" s="2" t="s">
        <v>41</v>
      </c>
      <c r="J23" s="2">
        <v>3</v>
      </c>
      <c r="K23" s="3">
        <v>111.32</v>
      </c>
      <c r="L23" s="3">
        <v>127.58</v>
      </c>
      <c r="M23" s="3">
        <v>1197.8900000000001</v>
      </c>
      <c r="N23" s="3">
        <v>6987.5563999999995</v>
      </c>
      <c r="O23" s="3">
        <v>8007.33</v>
      </c>
      <c r="P23" s="3">
        <v>4718559</v>
      </c>
      <c r="Q23" s="3">
        <v>0</v>
      </c>
      <c r="R23" s="3">
        <v>0</v>
      </c>
      <c r="S23" s="3">
        <v>0</v>
      </c>
      <c r="T23" s="1">
        <f t="shared" si="0"/>
        <v>-16.260000000000005</v>
      </c>
      <c r="U23" s="1">
        <f t="shared" si="1"/>
        <v>598.94500000000005</v>
      </c>
      <c r="V23" s="1">
        <f t="shared" si="2"/>
        <v>-1019.7736000000004</v>
      </c>
      <c r="W23" s="1">
        <f t="shared" si="3"/>
        <v>2359279.5</v>
      </c>
      <c r="X23" s="1">
        <f t="shared" si="4"/>
        <v>0</v>
      </c>
      <c r="Y23" s="1">
        <f t="shared" si="5"/>
        <v>0</v>
      </c>
      <c r="Z23">
        <f t="shared" si="6"/>
        <v>0</v>
      </c>
    </row>
    <row r="24" spans="1:26" x14ac:dyDescent="0.2">
      <c r="A24">
        <f t="shared" si="7"/>
        <v>22</v>
      </c>
      <c r="B24">
        <v>2014</v>
      </c>
      <c r="C24" t="s">
        <v>50</v>
      </c>
      <c r="D24" t="s">
        <v>51</v>
      </c>
      <c r="E24">
        <v>4</v>
      </c>
      <c r="F24" s="2">
        <v>82</v>
      </c>
      <c r="G24" s="2" t="s">
        <v>31</v>
      </c>
      <c r="H24" s="2" t="s">
        <v>46</v>
      </c>
      <c r="I24" s="2" t="s">
        <v>41</v>
      </c>
      <c r="J24" s="2">
        <v>311</v>
      </c>
      <c r="K24" s="3">
        <v>178.91</v>
      </c>
      <c r="L24" s="3">
        <v>194.15</v>
      </c>
      <c r="M24" s="3">
        <v>198.36</v>
      </c>
      <c r="N24" s="3">
        <v>11230.180700000001</v>
      </c>
      <c r="O24" s="3">
        <v>12185</v>
      </c>
      <c r="P24" s="3">
        <v>781361</v>
      </c>
      <c r="Q24" s="3">
        <v>8.75</v>
      </c>
      <c r="R24" s="3">
        <v>12.085000000000001</v>
      </c>
      <c r="S24" s="3">
        <v>2.2498</v>
      </c>
      <c r="T24" s="1">
        <f t="shared" si="0"/>
        <v>-15.240000000000009</v>
      </c>
      <c r="U24" s="1">
        <f t="shared" si="1"/>
        <v>99.18</v>
      </c>
      <c r="V24" s="1">
        <f t="shared" si="2"/>
        <v>-954.8192999999992</v>
      </c>
      <c r="W24" s="1">
        <f t="shared" si="3"/>
        <v>390680.5</v>
      </c>
      <c r="X24" s="1">
        <f t="shared" si="4"/>
        <v>-3.3350000000000009</v>
      </c>
      <c r="Y24" s="1">
        <f t="shared" si="5"/>
        <v>1.1249</v>
      </c>
      <c r="Z24">
        <f t="shared" si="6"/>
        <v>1</v>
      </c>
    </row>
    <row r="25" spans="1:26" x14ac:dyDescent="0.2">
      <c r="A25">
        <f t="shared" si="7"/>
        <v>23</v>
      </c>
      <c r="B25">
        <v>2015</v>
      </c>
      <c r="C25" t="s">
        <v>64</v>
      </c>
      <c r="D25" t="s">
        <v>65</v>
      </c>
      <c r="E25">
        <v>4</v>
      </c>
      <c r="F25" s="2">
        <v>41</v>
      </c>
      <c r="G25" s="2" t="s">
        <v>31</v>
      </c>
      <c r="H25" s="2" t="s">
        <v>62</v>
      </c>
      <c r="I25" s="2" t="s">
        <v>30</v>
      </c>
      <c r="J25" s="2">
        <v>311</v>
      </c>
      <c r="K25" s="3">
        <v>201.47</v>
      </c>
      <c r="L25" s="3">
        <v>216.3</v>
      </c>
      <c r="M25" s="3">
        <v>218.38</v>
      </c>
      <c r="N25" s="3">
        <v>12646.2719</v>
      </c>
      <c r="O25" s="3">
        <v>13576</v>
      </c>
      <c r="P25" s="3">
        <v>860223</v>
      </c>
      <c r="Q25" s="3">
        <v>5</v>
      </c>
      <c r="R25" s="3">
        <v>7</v>
      </c>
      <c r="S25" s="3">
        <v>3.3643000000000001</v>
      </c>
      <c r="T25" s="1">
        <f t="shared" si="0"/>
        <v>-14.830000000000013</v>
      </c>
      <c r="U25" s="1">
        <f t="shared" si="1"/>
        <v>109.19</v>
      </c>
      <c r="V25" s="1">
        <f t="shared" si="2"/>
        <v>-929.72810000000027</v>
      </c>
      <c r="W25" s="1">
        <f t="shared" si="3"/>
        <v>430111.5</v>
      </c>
      <c r="X25" s="1">
        <f t="shared" si="4"/>
        <v>-2</v>
      </c>
      <c r="Y25" s="1">
        <f t="shared" si="5"/>
        <v>1.68215</v>
      </c>
      <c r="Z25">
        <f t="shared" si="6"/>
        <v>1</v>
      </c>
    </row>
    <row r="26" spans="1:26" x14ac:dyDescent="0.2">
      <c r="A26">
        <f t="shared" si="7"/>
        <v>24</v>
      </c>
      <c r="B26">
        <v>2014</v>
      </c>
      <c r="C26" t="s">
        <v>52</v>
      </c>
      <c r="D26" t="s">
        <v>53</v>
      </c>
      <c r="E26">
        <v>4</v>
      </c>
      <c r="F26" s="2">
        <v>102</v>
      </c>
      <c r="G26" s="2" t="s">
        <v>36</v>
      </c>
      <c r="H26" s="2" t="s">
        <v>29</v>
      </c>
      <c r="I26" s="2" t="s">
        <v>41</v>
      </c>
      <c r="J26" s="2">
        <v>11</v>
      </c>
      <c r="K26" s="3">
        <v>175.93</v>
      </c>
      <c r="L26" s="3">
        <v>190.74</v>
      </c>
      <c r="M26" s="3">
        <v>134.78</v>
      </c>
      <c r="N26" s="3">
        <v>11043.126100000001</v>
      </c>
      <c r="O26" s="3">
        <v>11971</v>
      </c>
      <c r="P26" s="3">
        <v>530904</v>
      </c>
      <c r="Q26" s="3">
        <v>3.25</v>
      </c>
      <c r="R26" s="3">
        <v>4</v>
      </c>
      <c r="S26" s="3">
        <v>1.1295999999999999</v>
      </c>
      <c r="T26" s="1">
        <f t="shared" si="0"/>
        <v>-14.810000000000002</v>
      </c>
      <c r="U26" s="1">
        <f t="shared" si="1"/>
        <v>67.39</v>
      </c>
      <c r="V26" s="1">
        <f t="shared" si="2"/>
        <v>-927.87389999999868</v>
      </c>
      <c r="W26" s="1">
        <f t="shared" si="3"/>
        <v>265452</v>
      </c>
      <c r="X26" s="1">
        <f t="shared" si="4"/>
        <v>-0.75</v>
      </c>
      <c r="Y26" s="1">
        <f t="shared" si="5"/>
        <v>0.56479999999999997</v>
      </c>
      <c r="Z26">
        <f t="shared" si="6"/>
        <v>0</v>
      </c>
    </row>
    <row r="27" spans="1:26" x14ac:dyDescent="0.2">
      <c r="A27">
        <f t="shared" si="7"/>
        <v>25</v>
      </c>
      <c r="B27">
        <v>2015</v>
      </c>
      <c r="C27" t="s">
        <v>34</v>
      </c>
      <c r="D27" t="s">
        <v>35</v>
      </c>
      <c r="E27">
        <v>4</v>
      </c>
      <c r="F27" s="2">
        <v>173</v>
      </c>
      <c r="G27" s="2" t="s">
        <v>31</v>
      </c>
      <c r="H27" s="2" t="s">
        <v>32</v>
      </c>
      <c r="I27" s="2" t="s">
        <v>33</v>
      </c>
      <c r="J27" s="2">
        <v>311</v>
      </c>
      <c r="K27" s="3">
        <v>114.53</v>
      </c>
      <c r="L27" s="3">
        <v>127.58</v>
      </c>
      <c r="M27" s="3">
        <v>1197.8900000000001</v>
      </c>
      <c r="N27" s="3">
        <v>7189.0481</v>
      </c>
      <c r="O27" s="3">
        <v>8007.33</v>
      </c>
      <c r="P27" s="3">
        <v>4718559</v>
      </c>
      <c r="Q27" s="3">
        <v>0</v>
      </c>
      <c r="R27" s="3">
        <v>0</v>
      </c>
      <c r="S27" s="3">
        <v>0</v>
      </c>
      <c r="T27" s="1">
        <f t="shared" si="0"/>
        <v>-13.049999999999997</v>
      </c>
      <c r="U27" s="1">
        <f t="shared" si="1"/>
        <v>598.94500000000005</v>
      </c>
      <c r="V27" s="1">
        <f t="shared" si="2"/>
        <v>-818.28189999999995</v>
      </c>
      <c r="W27" s="1">
        <f t="shared" si="3"/>
        <v>2359279.5</v>
      </c>
      <c r="X27" s="1">
        <f t="shared" si="4"/>
        <v>0</v>
      </c>
      <c r="Y27" s="1">
        <f t="shared" si="5"/>
        <v>0</v>
      </c>
      <c r="Z27">
        <f t="shared" si="6"/>
        <v>0</v>
      </c>
    </row>
    <row r="28" spans="1:26" x14ac:dyDescent="0.2">
      <c r="A28">
        <f t="shared" si="7"/>
        <v>26</v>
      </c>
      <c r="B28">
        <v>2015</v>
      </c>
      <c r="C28" t="s">
        <v>56</v>
      </c>
      <c r="D28" t="s">
        <v>57</v>
      </c>
      <c r="E28">
        <v>5</v>
      </c>
      <c r="F28" s="2">
        <v>102</v>
      </c>
      <c r="G28" s="2" t="s">
        <v>36</v>
      </c>
      <c r="H28" s="2" t="s">
        <v>29</v>
      </c>
      <c r="I28" s="2" t="s">
        <v>41</v>
      </c>
      <c r="J28" s="2">
        <v>11</v>
      </c>
      <c r="K28" s="3">
        <v>150.05000000000001</v>
      </c>
      <c r="L28" s="3">
        <v>162.91</v>
      </c>
      <c r="M28" s="3">
        <v>731.14</v>
      </c>
      <c r="N28" s="3">
        <v>9418.6385000000009</v>
      </c>
      <c r="O28" s="3">
        <v>10225</v>
      </c>
      <c r="P28" s="3">
        <v>2880279</v>
      </c>
      <c r="Q28" s="3">
        <v>2.1139999999999999</v>
      </c>
      <c r="R28" s="3">
        <v>9.2360000000000007</v>
      </c>
      <c r="S28" s="3">
        <v>10.812099999999999</v>
      </c>
      <c r="T28" s="1">
        <f t="shared" si="0"/>
        <v>-12.859999999999985</v>
      </c>
      <c r="U28" s="1">
        <f t="shared" si="1"/>
        <v>292.45600000000002</v>
      </c>
      <c r="V28" s="1">
        <f t="shared" si="2"/>
        <v>-806.36149999999907</v>
      </c>
      <c r="W28" s="1">
        <f t="shared" si="3"/>
        <v>1152111.6000000001</v>
      </c>
      <c r="X28" s="1">
        <f t="shared" si="4"/>
        <v>-7.1220000000000008</v>
      </c>
      <c r="Y28" s="1">
        <f t="shared" si="5"/>
        <v>4.32484</v>
      </c>
      <c r="Z28">
        <f t="shared" si="6"/>
        <v>0</v>
      </c>
    </row>
    <row r="29" spans="1:26" x14ac:dyDescent="0.2">
      <c r="A29">
        <f t="shared" si="7"/>
        <v>27</v>
      </c>
      <c r="B29">
        <v>2015</v>
      </c>
      <c r="C29" t="s">
        <v>60</v>
      </c>
      <c r="D29" t="s">
        <v>61</v>
      </c>
      <c r="E29">
        <v>6</v>
      </c>
      <c r="F29" s="2">
        <v>102</v>
      </c>
      <c r="G29" s="2" t="s">
        <v>36</v>
      </c>
      <c r="H29" s="2" t="s">
        <v>29</v>
      </c>
      <c r="I29" s="2" t="s">
        <v>41</v>
      </c>
      <c r="J29" s="2">
        <v>11</v>
      </c>
      <c r="K29" s="3">
        <v>251.19</v>
      </c>
      <c r="L29" s="3">
        <v>263.64</v>
      </c>
      <c r="M29" s="3">
        <v>207.31</v>
      </c>
      <c r="N29" s="3">
        <v>15767.196300000001</v>
      </c>
      <c r="O29" s="3">
        <v>16547</v>
      </c>
      <c r="P29" s="3">
        <v>816614</v>
      </c>
      <c r="Q29" s="3">
        <v>22.166699999999999</v>
      </c>
      <c r="R29" s="3">
        <v>25.5</v>
      </c>
      <c r="S29" s="3">
        <v>40.421999999999997</v>
      </c>
      <c r="T29" s="1">
        <f t="shared" si="0"/>
        <v>-12.449999999999989</v>
      </c>
      <c r="U29" s="1">
        <f t="shared" si="1"/>
        <v>69.103333333333339</v>
      </c>
      <c r="V29" s="1">
        <f t="shared" si="2"/>
        <v>-779.80369999999857</v>
      </c>
      <c r="W29" s="1">
        <f t="shared" si="3"/>
        <v>272204.66666666669</v>
      </c>
      <c r="X29" s="1">
        <f t="shared" si="4"/>
        <v>-3.3333000000000013</v>
      </c>
      <c r="Y29" s="1">
        <f t="shared" si="5"/>
        <v>13.473999999999998</v>
      </c>
      <c r="Z29">
        <f t="shared" si="6"/>
        <v>1</v>
      </c>
    </row>
    <row r="30" spans="1:26" x14ac:dyDescent="0.2">
      <c r="A30">
        <f t="shared" si="7"/>
        <v>28</v>
      </c>
      <c r="B30">
        <v>2015</v>
      </c>
      <c r="C30" t="s">
        <v>34</v>
      </c>
      <c r="D30" t="s">
        <v>35</v>
      </c>
      <c r="E30">
        <v>4</v>
      </c>
      <c r="F30" s="2">
        <v>51</v>
      </c>
      <c r="G30" s="2" t="s">
        <v>36</v>
      </c>
      <c r="H30" s="2" t="s">
        <v>66</v>
      </c>
      <c r="I30" s="2" t="s">
        <v>30</v>
      </c>
      <c r="J30" s="2">
        <v>11</v>
      </c>
      <c r="K30" s="3">
        <v>115.48</v>
      </c>
      <c r="L30" s="3">
        <v>127.58</v>
      </c>
      <c r="M30" s="3">
        <v>1197.8900000000001</v>
      </c>
      <c r="N30" s="3">
        <v>7248.6796000000004</v>
      </c>
      <c r="O30" s="3">
        <v>8007.33</v>
      </c>
      <c r="P30" s="3">
        <v>4718559</v>
      </c>
      <c r="Q30" s="3">
        <v>0</v>
      </c>
      <c r="R30" s="3">
        <v>0</v>
      </c>
      <c r="S30" s="3">
        <v>0</v>
      </c>
      <c r="T30" s="1">
        <f t="shared" si="0"/>
        <v>-12.099999999999994</v>
      </c>
      <c r="U30" s="1">
        <f t="shared" si="1"/>
        <v>598.94500000000005</v>
      </c>
      <c r="V30" s="1">
        <f t="shared" si="2"/>
        <v>-758.65039999999954</v>
      </c>
      <c r="W30" s="1">
        <f t="shared" si="3"/>
        <v>2359279.5</v>
      </c>
      <c r="X30" s="1">
        <f t="shared" si="4"/>
        <v>0</v>
      </c>
      <c r="Y30" s="1">
        <f t="shared" si="5"/>
        <v>0</v>
      </c>
      <c r="Z30">
        <f t="shared" si="6"/>
        <v>0</v>
      </c>
    </row>
    <row r="31" spans="1:26" x14ac:dyDescent="0.2">
      <c r="A31">
        <f t="shared" si="7"/>
        <v>29</v>
      </c>
      <c r="B31">
        <v>2014</v>
      </c>
      <c r="C31" t="s">
        <v>50</v>
      </c>
      <c r="D31" t="s">
        <v>51</v>
      </c>
      <c r="E31">
        <v>4</v>
      </c>
      <c r="F31" s="2">
        <v>183</v>
      </c>
      <c r="G31" s="2" t="s">
        <v>36</v>
      </c>
      <c r="H31" s="2" t="s">
        <v>37</v>
      </c>
      <c r="I31" s="2" t="s">
        <v>33</v>
      </c>
      <c r="J31" s="2">
        <v>11</v>
      </c>
      <c r="K31" s="3">
        <v>182.37</v>
      </c>
      <c r="L31" s="3">
        <v>194.15</v>
      </c>
      <c r="M31" s="3">
        <v>198.36</v>
      </c>
      <c r="N31" s="3">
        <v>11447.3649</v>
      </c>
      <c r="O31" s="3">
        <v>12185</v>
      </c>
      <c r="P31" s="3">
        <v>781361</v>
      </c>
      <c r="Q31" s="3">
        <v>7.0824999999999996</v>
      </c>
      <c r="R31" s="3">
        <v>12.085000000000001</v>
      </c>
      <c r="S31" s="3">
        <v>2.2498</v>
      </c>
      <c r="T31" s="1">
        <f t="shared" si="0"/>
        <v>-11.780000000000001</v>
      </c>
      <c r="U31" s="1">
        <f t="shared" si="1"/>
        <v>99.18</v>
      </c>
      <c r="V31" s="1">
        <f t="shared" si="2"/>
        <v>-737.63509999999951</v>
      </c>
      <c r="W31" s="1">
        <f t="shared" si="3"/>
        <v>390680.5</v>
      </c>
      <c r="X31" s="1">
        <f t="shared" si="4"/>
        <v>-5.0025000000000013</v>
      </c>
      <c r="Y31" s="1">
        <f t="shared" si="5"/>
        <v>1.1249</v>
      </c>
      <c r="Z31">
        <f t="shared" si="6"/>
        <v>1</v>
      </c>
    </row>
    <row r="32" spans="1:26" x14ac:dyDescent="0.2">
      <c r="A32">
        <f t="shared" si="7"/>
        <v>30</v>
      </c>
      <c r="B32">
        <v>2014</v>
      </c>
      <c r="C32" t="s">
        <v>54</v>
      </c>
      <c r="D32" t="s">
        <v>55</v>
      </c>
      <c r="E32">
        <v>4</v>
      </c>
      <c r="F32" s="2">
        <v>102</v>
      </c>
      <c r="G32" s="2" t="s">
        <v>36</v>
      </c>
      <c r="H32" s="2" t="s">
        <v>29</v>
      </c>
      <c r="I32" s="2" t="s">
        <v>41</v>
      </c>
      <c r="J32" s="2">
        <v>11</v>
      </c>
      <c r="K32" s="3">
        <v>187.59</v>
      </c>
      <c r="L32" s="3">
        <v>199.21</v>
      </c>
      <c r="M32" s="3">
        <v>340.41</v>
      </c>
      <c r="N32" s="3">
        <v>11775.024300000001</v>
      </c>
      <c r="O32" s="3">
        <v>12503</v>
      </c>
      <c r="P32" s="3">
        <v>1340951</v>
      </c>
      <c r="Q32" s="3">
        <v>0.92500000000000004</v>
      </c>
      <c r="R32" s="3">
        <v>1.0625</v>
      </c>
      <c r="S32" s="3">
        <v>15.753399999999999</v>
      </c>
      <c r="T32" s="1">
        <f t="shared" si="0"/>
        <v>-11.620000000000005</v>
      </c>
      <c r="U32" s="1">
        <f t="shared" si="1"/>
        <v>170.20500000000001</v>
      </c>
      <c r="V32" s="1">
        <f t="shared" si="2"/>
        <v>-727.97569999999905</v>
      </c>
      <c r="W32" s="1">
        <f t="shared" si="3"/>
        <v>670475.5</v>
      </c>
      <c r="X32" s="1">
        <f t="shared" si="4"/>
        <v>-0.13749999999999996</v>
      </c>
      <c r="Y32" s="1">
        <f t="shared" si="5"/>
        <v>7.8766999999999996</v>
      </c>
      <c r="Z32">
        <f t="shared" si="6"/>
        <v>0</v>
      </c>
    </row>
    <row r="33" spans="1:26" x14ac:dyDescent="0.2">
      <c r="A33">
        <f t="shared" si="7"/>
        <v>31</v>
      </c>
      <c r="B33">
        <v>2014</v>
      </c>
      <c r="C33" t="s">
        <v>67</v>
      </c>
      <c r="D33" t="s">
        <v>68</v>
      </c>
      <c r="E33">
        <v>4</v>
      </c>
      <c r="F33" s="2">
        <v>31</v>
      </c>
      <c r="G33" s="2" t="s">
        <v>28</v>
      </c>
      <c r="H33" s="2" t="s">
        <v>29</v>
      </c>
      <c r="I33" s="2" t="s">
        <v>30</v>
      </c>
      <c r="J33" s="2">
        <v>11</v>
      </c>
      <c r="K33" s="3">
        <v>174.02</v>
      </c>
      <c r="L33" s="3">
        <v>184.84</v>
      </c>
      <c r="M33" s="1">
        <v>153.71</v>
      </c>
      <c r="N33" s="3">
        <v>10923.235400000001</v>
      </c>
      <c r="O33" s="3">
        <v>11601</v>
      </c>
      <c r="P33" s="1">
        <v>605499</v>
      </c>
      <c r="Q33" s="3">
        <v>23.42</v>
      </c>
      <c r="R33" s="3">
        <v>35.222499999999997</v>
      </c>
      <c r="S33" s="3">
        <v>66.884600000000006</v>
      </c>
      <c r="T33" s="1">
        <f t="shared" si="0"/>
        <v>-10.819999999999993</v>
      </c>
      <c r="U33" s="1">
        <f t="shared" si="1"/>
        <v>76.855000000000004</v>
      </c>
      <c r="V33" s="1">
        <f t="shared" si="2"/>
        <v>-677.76459999999861</v>
      </c>
      <c r="W33" s="1">
        <f t="shared" si="3"/>
        <v>302749.5</v>
      </c>
      <c r="X33" s="1">
        <f t="shared" si="4"/>
        <v>-11.802499999999995</v>
      </c>
      <c r="Y33" s="1">
        <f t="shared" si="5"/>
        <v>33.442300000000003</v>
      </c>
      <c r="Z33">
        <f t="shared" si="6"/>
        <v>1</v>
      </c>
    </row>
    <row r="34" spans="1:26" x14ac:dyDescent="0.2">
      <c r="A34">
        <f t="shared" si="7"/>
        <v>32</v>
      </c>
      <c r="B34">
        <v>2015</v>
      </c>
      <c r="C34" t="s">
        <v>54</v>
      </c>
      <c r="D34" t="s">
        <v>69</v>
      </c>
      <c r="E34">
        <v>4</v>
      </c>
      <c r="F34" s="2">
        <v>142</v>
      </c>
      <c r="G34" s="2" t="s">
        <v>63</v>
      </c>
      <c r="H34" s="2" t="s">
        <v>46</v>
      </c>
      <c r="I34" s="2" t="s">
        <v>41</v>
      </c>
      <c r="J34" s="2">
        <v>3</v>
      </c>
      <c r="K34" s="3">
        <v>236.15</v>
      </c>
      <c r="L34" s="3">
        <v>246.63</v>
      </c>
      <c r="M34" s="3">
        <v>212.78</v>
      </c>
      <c r="N34" s="3">
        <v>14823.1355</v>
      </c>
      <c r="O34" s="3">
        <v>15479</v>
      </c>
      <c r="P34" s="3">
        <v>838171</v>
      </c>
      <c r="Q34" s="3">
        <v>28.890699999999999</v>
      </c>
      <c r="R34" s="3">
        <v>32.5</v>
      </c>
      <c r="S34" s="3">
        <v>207.72</v>
      </c>
      <c r="T34" s="1">
        <f t="shared" si="0"/>
        <v>-10.47999999999999</v>
      </c>
      <c r="U34" s="1">
        <f t="shared" si="1"/>
        <v>106.39</v>
      </c>
      <c r="V34" s="1">
        <f t="shared" si="2"/>
        <v>-655.86449999999968</v>
      </c>
      <c r="W34" s="1">
        <f t="shared" si="3"/>
        <v>419085.5</v>
      </c>
      <c r="X34" s="1">
        <f t="shared" si="4"/>
        <v>-3.6093000000000011</v>
      </c>
      <c r="Y34" s="1">
        <f t="shared" si="5"/>
        <v>103.86</v>
      </c>
      <c r="Z34">
        <f t="shared" si="6"/>
        <v>1</v>
      </c>
    </row>
    <row r="35" spans="1:26" x14ac:dyDescent="0.2">
      <c r="A35">
        <f t="shared" si="7"/>
        <v>33</v>
      </c>
      <c r="B35">
        <v>2014</v>
      </c>
      <c r="C35" t="s">
        <v>64</v>
      </c>
      <c r="D35" t="s">
        <v>70</v>
      </c>
      <c r="E35">
        <v>4</v>
      </c>
      <c r="F35" s="2">
        <v>112</v>
      </c>
      <c r="G35" s="2" t="s">
        <v>40</v>
      </c>
      <c r="H35" s="2" t="s">
        <v>39</v>
      </c>
      <c r="I35" s="2" t="s">
        <v>41</v>
      </c>
      <c r="J35" s="2">
        <v>311</v>
      </c>
      <c r="K35" s="3">
        <v>203.7</v>
      </c>
      <c r="L35" s="3">
        <v>214.18</v>
      </c>
      <c r="M35" s="3">
        <v>106.85</v>
      </c>
      <c r="N35" s="3">
        <v>12786.249</v>
      </c>
      <c r="O35" s="3">
        <v>13442</v>
      </c>
      <c r="P35" s="3">
        <v>420908</v>
      </c>
      <c r="Q35" s="3">
        <v>5.5</v>
      </c>
      <c r="R35" s="3">
        <v>10</v>
      </c>
      <c r="S35" s="3">
        <v>6.2126000000000001</v>
      </c>
      <c r="T35" s="1">
        <f t="shared" si="0"/>
        <v>-10.480000000000018</v>
      </c>
      <c r="U35" s="1">
        <f t="shared" si="1"/>
        <v>53.424999999999997</v>
      </c>
      <c r="V35" s="1">
        <f t="shared" si="2"/>
        <v>-655.7510000000002</v>
      </c>
      <c r="W35" s="1">
        <f t="shared" si="3"/>
        <v>210454</v>
      </c>
      <c r="X35" s="1">
        <f t="shared" si="4"/>
        <v>-4.5</v>
      </c>
      <c r="Y35" s="1">
        <f t="shared" si="5"/>
        <v>3.1063000000000001</v>
      </c>
      <c r="Z35">
        <f t="shared" si="6"/>
        <v>1</v>
      </c>
    </row>
    <row r="36" spans="1:26" x14ac:dyDescent="0.2">
      <c r="A36">
        <f t="shared" si="7"/>
        <v>34</v>
      </c>
      <c r="B36">
        <v>2015</v>
      </c>
      <c r="C36" t="s">
        <v>60</v>
      </c>
      <c r="D36" t="s">
        <v>61</v>
      </c>
      <c r="E36">
        <v>6</v>
      </c>
      <c r="F36" s="2">
        <v>21</v>
      </c>
      <c r="G36" s="2" t="s">
        <v>71</v>
      </c>
      <c r="H36" s="2" t="s">
        <v>66</v>
      </c>
      <c r="I36" s="2" t="s">
        <v>30</v>
      </c>
      <c r="J36" s="2">
        <v>711</v>
      </c>
      <c r="K36" s="3">
        <v>253.28</v>
      </c>
      <c r="L36" s="3">
        <v>263.64</v>
      </c>
      <c r="M36" s="3">
        <v>207.31</v>
      </c>
      <c r="N36" s="3">
        <v>15898.385600000001</v>
      </c>
      <c r="O36" s="3">
        <v>16547</v>
      </c>
      <c r="P36" s="3">
        <v>816614</v>
      </c>
      <c r="Q36" s="3">
        <v>22.333300000000001</v>
      </c>
      <c r="R36" s="3">
        <v>25.5</v>
      </c>
      <c r="S36" s="3">
        <v>40.421999999999997</v>
      </c>
      <c r="T36" s="1">
        <f t="shared" si="0"/>
        <v>-10.359999999999985</v>
      </c>
      <c r="U36" s="1">
        <f t="shared" si="1"/>
        <v>69.103333333333339</v>
      </c>
      <c r="V36" s="1">
        <f t="shared" si="2"/>
        <v>-648.61439999999857</v>
      </c>
      <c r="W36" s="1">
        <f t="shared" si="3"/>
        <v>272204.66666666669</v>
      </c>
      <c r="X36" s="1">
        <f t="shared" si="4"/>
        <v>-3.1666999999999987</v>
      </c>
      <c r="Y36" s="1">
        <f t="shared" si="5"/>
        <v>13.473999999999998</v>
      </c>
      <c r="Z36">
        <f t="shared" si="6"/>
        <v>1</v>
      </c>
    </row>
    <row r="37" spans="1:26" x14ac:dyDescent="0.2">
      <c r="A37">
        <f t="shared" si="7"/>
        <v>35</v>
      </c>
      <c r="B37">
        <v>2014</v>
      </c>
      <c r="C37" t="s">
        <v>72</v>
      </c>
      <c r="D37" t="s">
        <v>73</v>
      </c>
      <c r="E37">
        <v>4</v>
      </c>
      <c r="F37" s="2">
        <v>163</v>
      </c>
      <c r="G37" s="2" t="s">
        <v>58</v>
      </c>
      <c r="H37" s="2" t="s">
        <v>59</v>
      </c>
      <c r="I37" s="2" t="s">
        <v>33</v>
      </c>
      <c r="J37" s="2">
        <v>311</v>
      </c>
      <c r="K37" s="3">
        <v>184.69</v>
      </c>
      <c r="L37" s="3">
        <v>194.83</v>
      </c>
      <c r="M37" s="3">
        <v>87.97</v>
      </c>
      <c r="N37" s="3">
        <v>11592.9913</v>
      </c>
      <c r="O37" s="3">
        <v>12228</v>
      </c>
      <c r="P37" s="3">
        <v>346541</v>
      </c>
      <c r="Q37" s="3">
        <v>4.95</v>
      </c>
      <c r="R37" s="3">
        <v>6.35</v>
      </c>
      <c r="S37" s="3">
        <v>1.4718</v>
      </c>
      <c r="T37" s="1">
        <f t="shared" si="0"/>
        <v>-10.140000000000015</v>
      </c>
      <c r="U37" s="1">
        <f t="shared" si="1"/>
        <v>43.984999999999999</v>
      </c>
      <c r="V37" s="1">
        <f t="shared" si="2"/>
        <v>-635.00870000000032</v>
      </c>
      <c r="W37" s="1">
        <f t="shared" si="3"/>
        <v>173270.5</v>
      </c>
      <c r="X37" s="1">
        <f t="shared" si="4"/>
        <v>-1.3999999999999995</v>
      </c>
      <c r="Y37" s="1">
        <f t="shared" si="5"/>
        <v>0.7359</v>
      </c>
      <c r="Z37">
        <f t="shared" si="6"/>
        <v>0</v>
      </c>
    </row>
    <row r="38" spans="1:26" x14ac:dyDescent="0.2">
      <c r="A38">
        <f t="shared" si="7"/>
        <v>36</v>
      </c>
      <c r="B38">
        <v>2015</v>
      </c>
      <c r="C38" t="s">
        <v>26</v>
      </c>
      <c r="D38" t="s">
        <v>27</v>
      </c>
      <c r="E38">
        <v>4</v>
      </c>
      <c r="F38" s="2">
        <v>183</v>
      </c>
      <c r="G38" s="2" t="s">
        <v>36</v>
      </c>
      <c r="H38" s="2" t="s">
        <v>37</v>
      </c>
      <c r="I38" s="2" t="s">
        <v>33</v>
      </c>
      <c r="J38" s="2">
        <v>11</v>
      </c>
      <c r="K38" s="3">
        <v>244.97</v>
      </c>
      <c r="L38" s="3">
        <v>254.92</v>
      </c>
      <c r="M38" s="3">
        <v>868.14</v>
      </c>
      <c r="N38" s="3">
        <v>15376.766900000001</v>
      </c>
      <c r="O38" s="3">
        <v>16000</v>
      </c>
      <c r="P38" s="3">
        <v>3419739</v>
      </c>
      <c r="Q38" s="3">
        <v>29.44</v>
      </c>
      <c r="R38" s="3">
        <v>40.627499999999998</v>
      </c>
      <c r="S38" s="3">
        <v>385.81</v>
      </c>
      <c r="T38" s="1">
        <f t="shared" si="0"/>
        <v>-9.9499999999999886</v>
      </c>
      <c r="U38" s="1">
        <f t="shared" si="1"/>
        <v>434.07</v>
      </c>
      <c r="V38" s="1">
        <f t="shared" si="2"/>
        <v>-623.23309999999947</v>
      </c>
      <c r="W38" s="1">
        <f t="shared" si="3"/>
        <v>1709869.5</v>
      </c>
      <c r="X38" s="1">
        <f t="shared" si="4"/>
        <v>-11.187499999999996</v>
      </c>
      <c r="Y38" s="1">
        <f t="shared" si="5"/>
        <v>192.905</v>
      </c>
      <c r="Z38">
        <f t="shared" si="6"/>
        <v>1</v>
      </c>
    </row>
    <row r="39" spans="1:26" x14ac:dyDescent="0.2">
      <c r="A39">
        <f t="shared" si="7"/>
        <v>37</v>
      </c>
      <c r="B39">
        <v>2014</v>
      </c>
      <c r="C39" t="s">
        <v>50</v>
      </c>
      <c r="D39" t="s">
        <v>51</v>
      </c>
      <c r="E39">
        <v>4</v>
      </c>
      <c r="F39" s="2">
        <v>72</v>
      </c>
      <c r="G39" s="2" t="s">
        <v>47</v>
      </c>
      <c r="H39" s="2" t="s">
        <v>48</v>
      </c>
      <c r="I39" s="2" t="s">
        <v>41</v>
      </c>
      <c r="J39" s="2">
        <v>311</v>
      </c>
      <c r="K39" s="3">
        <v>184.41</v>
      </c>
      <c r="L39" s="3">
        <v>194.15</v>
      </c>
      <c r="M39" s="3">
        <v>198.36</v>
      </c>
      <c r="N39" s="3">
        <v>11575.4157</v>
      </c>
      <c r="O39" s="3">
        <v>12185</v>
      </c>
      <c r="P39" s="3">
        <v>781361</v>
      </c>
      <c r="Q39" s="3">
        <v>7.3324999999999996</v>
      </c>
      <c r="R39" s="3">
        <v>12.085000000000001</v>
      </c>
      <c r="S39" s="3">
        <v>2.2498</v>
      </c>
      <c r="T39" s="1">
        <f t="shared" si="0"/>
        <v>-9.7400000000000091</v>
      </c>
      <c r="U39" s="1">
        <f t="shared" si="1"/>
        <v>99.18</v>
      </c>
      <c r="V39" s="1">
        <f t="shared" si="2"/>
        <v>-609.58430000000044</v>
      </c>
      <c r="W39" s="1">
        <f t="shared" si="3"/>
        <v>390680.5</v>
      </c>
      <c r="X39" s="1">
        <f t="shared" si="4"/>
        <v>-4.7525000000000013</v>
      </c>
      <c r="Y39" s="1">
        <f t="shared" si="5"/>
        <v>1.1249</v>
      </c>
      <c r="Z39">
        <f t="shared" si="6"/>
        <v>1</v>
      </c>
    </row>
    <row r="40" spans="1:26" x14ac:dyDescent="0.2">
      <c r="A40">
        <f t="shared" si="7"/>
        <v>38</v>
      </c>
      <c r="B40">
        <v>2014</v>
      </c>
      <c r="C40" t="s">
        <v>72</v>
      </c>
      <c r="D40" t="s">
        <v>73</v>
      </c>
      <c r="E40">
        <v>4</v>
      </c>
      <c r="F40" s="2">
        <v>183</v>
      </c>
      <c r="G40" s="2" t="s">
        <v>36</v>
      </c>
      <c r="H40" s="2" t="s">
        <v>37</v>
      </c>
      <c r="I40" s="2" t="s">
        <v>33</v>
      </c>
      <c r="J40" s="2">
        <v>11</v>
      </c>
      <c r="K40" s="3">
        <v>185.49</v>
      </c>
      <c r="L40" s="3">
        <v>194.83</v>
      </c>
      <c r="M40" s="3">
        <v>87.97</v>
      </c>
      <c r="N40" s="3">
        <v>11643.207300000002</v>
      </c>
      <c r="O40" s="3">
        <v>12228</v>
      </c>
      <c r="P40" s="3">
        <v>346541</v>
      </c>
      <c r="Q40" s="3">
        <v>5.6</v>
      </c>
      <c r="R40" s="3">
        <v>6.35</v>
      </c>
      <c r="S40" s="3">
        <v>1.4718</v>
      </c>
      <c r="T40" s="1">
        <f t="shared" si="0"/>
        <v>-9.3400000000000034</v>
      </c>
      <c r="U40" s="1">
        <f t="shared" si="1"/>
        <v>43.984999999999999</v>
      </c>
      <c r="V40" s="1">
        <f t="shared" si="2"/>
        <v>-584.79269999999815</v>
      </c>
      <c r="W40" s="1">
        <f t="shared" si="3"/>
        <v>173270.5</v>
      </c>
      <c r="X40" s="1">
        <f t="shared" si="4"/>
        <v>-0.75</v>
      </c>
      <c r="Y40" s="1">
        <f t="shared" si="5"/>
        <v>0.7359</v>
      </c>
      <c r="Z40">
        <f t="shared" si="6"/>
        <v>1</v>
      </c>
    </row>
    <row r="41" spans="1:26" x14ac:dyDescent="0.2">
      <c r="A41">
        <f t="shared" si="7"/>
        <v>39</v>
      </c>
      <c r="B41">
        <v>2014</v>
      </c>
      <c r="C41" t="s">
        <v>54</v>
      </c>
      <c r="D41" t="s">
        <v>55</v>
      </c>
      <c r="E41">
        <v>4</v>
      </c>
      <c r="F41" s="2">
        <v>61</v>
      </c>
      <c r="G41" s="2" t="s">
        <v>38</v>
      </c>
      <c r="H41" s="2" t="s">
        <v>39</v>
      </c>
      <c r="I41" s="2" t="s">
        <v>30</v>
      </c>
      <c r="J41" s="2">
        <v>311</v>
      </c>
      <c r="K41" s="3">
        <v>190.09</v>
      </c>
      <c r="L41" s="3">
        <v>199.21</v>
      </c>
      <c r="M41" s="3">
        <v>340.41</v>
      </c>
      <c r="N41" s="3">
        <v>11931.9493</v>
      </c>
      <c r="O41" s="3">
        <v>12503</v>
      </c>
      <c r="P41" s="3">
        <v>1340951</v>
      </c>
      <c r="Q41" s="3">
        <v>0.8</v>
      </c>
      <c r="R41" s="3">
        <v>1.0625</v>
      </c>
      <c r="S41" s="3">
        <v>15.753399999999999</v>
      </c>
      <c r="T41" s="1">
        <f t="shared" si="0"/>
        <v>-9.1200000000000045</v>
      </c>
      <c r="U41" s="1">
        <f t="shared" si="1"/>
        <v>170.20500000000001</v>
      </c>
      <c r="V41" s="1">
        <f t="shared" si="2"/>
        <v>-571.05069999999978</v>
      </c>
      <c r="W41" s="1">
        <f t="shared" si="3"/>
        <v>670475.5</v>
      </c>
      <c r="X41" s="1">
        <f t="shared" si="4"/>
        <v>-0.26249999999999996</v>
      </c>
      <c r="Y41" s="1">
        <f t="shared" si="5"/>
        <v>7.8766999999999996</v>
      </c>
      <c r="Z41">
        <f t="shared" si="6"/>
        <v>0</v>
      </c>
    </row>
    <row r="42" spans="1:26" x14ac:dyDescent="0.2">
      <c r="A42">
        <f t="shared" si="7"/>
        <v>40</v>
      </c>
      <c r="B42">
        <v>2014</v>
      </c>
      <c r="C42" t="s">
        <v>50</v>
      </c>
      <c r="D42" t="s">
        <v>51</v>
      </c>
      <c r="E42">
        <v>4</v>
      </c>
      <c r="F42" s="2">
        <v>163</v>
      </c>
      <c r="G42" s="2" t="s">
        <v>58</v>
      </c>
      <c r="H42" s="2" t="s">
        <v>59</v>
      </c>
      <c r="I42" s="2" t="s">
        <v>33</v>
      </c>
      <c r="J42" s="2">
        <v>311</v>
      </c>
      <c r="K42" s="3">
        <v>185.11</v>
      </c>
      <c r="L42" s="3">
        <v>194.15</v>
      </c>
      <c r="M42" s="3">
        <v>198.36</v>
      </c>
      <c r="N42" s="3">
        <v>11619.354700000002</v>
      </c>
      <c r="O42" s="3">
        <v>12185</v>
      </c>
      <c r="P42" s="3">
        <v>781361</v>
      </c>
      <c r="Q42" s="3">
        <v>4.3324999999999996</v>
      </c>
      <c r="R42" s="3">
        <v>12.085000000000001</v>
      </c>
      <c r="S42" s="3">
        <v>2.2498</v>
      </c>
      <c r="T42" s="1">
        <f t="shared" si="0"/>
        <v>-9.039999999999992</v>
      </c>
      <c r="U42" s="1">
        <f t="shared" si="1"/>
        <v>99.18</v>
      </c>
      <c r="V42" s="1">
        <f t="shared" si="2"/>
        <v>-565.64529999999831</v>
      </c>
      <c r="W42" s="1">
        <f t="shared" si="3"/>
        <v>390680.5</v>
      </c>
      <c r="X42" s="1">
        <f t="shared" si="4"/>
        <v>-7.7525000000000013</v>
      </c>
      <c r="Y42" s="1">
        <f t="shared" si="5"/>
        <v>1.1249</v>
      </c>
      <c r="Z42">
        <f t="shared" si="6"/>
        <v>0</v>
      </c>
    </row>
    <row r="43" spans="1:26" x14ac:dyDescent="0.2">
      <c r="A43">
        <f t="shared" si="7"/>
        <v>41</v>
      </c>
      <c r="B43">
        <v>2014</v>
      </c>
      <c r="C43" t="s">
        <v>52</v>
      </c>
      <c r="D43" t="s">
        <v>53</v>
      </c>
      <c r="E43">
        <v>4</v>
      </c>
      <c r="F43" s="2">
        <v>142</v>
      </c>
      <c r="G43" s="2" t="s">
        <v>63</v>
      </c>
      <c r="H43" s="2" t="s">
        <v>46</v>
      </c>
      <c r="I43" s="2" t="s">
        <v>41</v>
      </c>
      <c r="J43" s="2">
        <v>3</v>
      </c>
      <c r="K43" s="3">
        <v>181.98</v>
      </c>
      <c r="L43" s="3">
        <v>190.74</v>
      </c>
      <c r="M43" s="3">
        <v>134.78</v>
      </c>
      <c r="N43" s="3">
        <v>11422.884599999999</v>
      </c>
      <c r="O43" s="3">
        <v>11971</v>
      </c>
      <c r="P43" s="3">
        <v>530904</v>
      </c>
      <c r="Q43" s="3">
        <v>3</v>
      </c>
      <c r="R43" s="3">
        <v>4</v>
      </c>
      <c r="S43" s="3">
        <v>1.1295999999999999</v>
      </c>
      <c r="T43" s="1">
        <f t="shared" si="0"/>
        <v>-8.7600000000000193</v>
      </c>
      <c r="U43" s="1">
        <f t="shared" si="1"/>
        <v>67.39</v>
      </c>
      <c r="V43" s="1">
        <f t="shared" si="2"/>
        <v>-548.11540000000059</v>
      </c>
      <c r="W43" s="1">
        <f t="shared" si="3"/>
        <v>265452</v>
      </c>
      <c r="X43" s="1">
        <f t="shared" si="4"/>
        <v>-1</v>
      </c>
      <c r="Y43" s="1">
        <f t="shared" si="5"/>
        <v>0.56479999999999997</v>
      </c>
      <c r="Z43">
        <f t="shared" si="6"/>
        <v>0</v>
      </c>
    </row>
    <row r="44" spans="1:26" x14ac:dyDescent="0.2">
      <c r="A44">
        <f t="shared" si="7"/>
        <v>42</v>
      </c>
      <c r="B44">
        <v>2015</v>
      </c>
      <c r="C44" t="s">
        <v>72</v>
      </c>
      <c r="D44" t="s">
        <v>74</v>
      </c>
      <c r="E44">
        <v>4</v>
      </c>
      <c r="F44" s="2">
        <v>193</v>
      </c>
      <c r="G44" s="2" t="s">
        <v>40</v>
      </c>
      <c r="H44" s="2" t="s">
        <v>39</v>
      </c>
      <c r="I44" s="2" t="s">
        <v>33</v>
      </c>
      <c r="J44" s="2">
        <v>311</v>
      </c>
      <c r="K44" s="3">
        <v>165.81</v>
      </c>
      <c r="L44" s="3">
        <v>174.51</v>
      </c>
      <c r="M44" s="3">
        <v>222.67</v>
      </c>
      <c r="N44" s="3">
        <v>10407.893700000001</v>
      </c>
      <c r="O44" s="3">
        <v>10953</v>
      </c>
      <c r="P44" s="3">
        <v>877097</v>
      </c>
      <c r="Q44" s="3">
        <v>2.8</v>
      </c>
      <c r="R44" s="3">
        <v>13.05</v>
      </c>
      <c r="S44" s="3">
        <v>5.4372999999999996</v>
      </c>
      <c r="T44" s="1">
        <f t="shared" si="0"/>
        <v>-8.6999999999999886</v>
      </c>
      <c r="U44" s="1">
        <f t="shared" si="1"/>
        <v>111.33499999999999</v>
      </c>
      <c r="V44" s="1">
        <f t="shared" si="2"/>
        <v>-545.10629999999946</v>
      </c>
      <c r="W44" s="1">
        <f t="shared" si="3"/>
        <v>438548.5</v>
      </c>
      <c r="X44" s="1">
        <f t="shared" si="4"/>
        <v>-10.25</v>
      </c>
      <c r="Y44" s="1">
        <f t="shared" si="5"/>
        <v>2.7186499999999998</v>
      </c>
      <c r="Z44">
        <f t="shared" si="6"/>
        <v>0</v>
      </c>
    </row>
    <row r="45" spans="1:26" x14ac:dyDescent="0.2">
      <c r="A45">
        <f t="shared" si="7"/>
        <v>43</v>
      </c>
      <c r="B45">
        <v>2014</v>
      </c>
      <c r="C45" t="s">
        <v>52</v>
      </c>
      <c r="D45" t="s">
        <v>53</v>
      </c>
      <c r="E45">
        <v>4</v>
      </c>
      <c r="F45" s="2">
        <v>122</v>
      </c>
      <c r="G45" s="2" t="s">
        <v>75</v>
      </c>
      <c r="H45" s="2" t="s">
        <v>76</v>
      </c>
      <c r="I45" s="2" t="s">
        <v>41</v>
      </c>
      <c r="J45" s="2">
        <v>311</v>
      </c>
      <c r="K45" s="3">
        <v>182.04</v>
      </c>
      <c r="L45" s="3">
        <v>190.74</v>
      </c>
      <c r="M45" s="3">
        <v>134.78</v>
      </c>
      <c r="N45" s="3">
        <v>11426.650799999999</v>
      </c>
      <c r="O45" s="3">
        <v>11971</v>
      </c>
      <c r="P45" s="3">
        <v>530904</v>
      </c>
      <c r="Q45" s="3">
        <v>3</v>
      </c>
      <c r="R45" s="3">
        <v>4</v>
      </c>
      <c r="S45" s="3">
        <v>1.1295999999999999</v>
      </c>
      <c r="T45" s="1">
        <f t="shared" si="0"/>
        <v>-8.7000000000000171</v>
      </c>
      <c r="U45" s="1">
        <f t="shared" si="1"/>
        <v>67.39</v>
      </c>
      <c r="V45" s="1">
        <f t="shared" si="2"/>
        <v>-544.34920000000056</v>
      </c>
      <c r="W45" s="1">
        <f t="shared" si="3"/>
        <v>265452</v>
      </c>
      <c r="X45" s="1">
        <f t="shared" si="4"/>
        <v>-1</v>
      </c>
      <c r="Y45" s="1">
        <f t="shared" si="5"/>
        <v>0.56479999999999997</v>
      </c>
      <c r="Z45">
        <f t="shared" si="6"/>
        <v>0</v>
      </c>
    </row>
    <row r="46" spans="1:26" x14ac:dyDescent="0.2">
      <c r="A46">
        <f t="shared" si="7"/>
        <v>44</v>
      </c>
      <c r="B46">
        <v>2014</v>
      </c>
      <c r="C46" t="s">
        <v>72</v>
      </c>
      <c r="D46" t="s">
        <v>73</v>
      </c>
      <c r="E46">
        <v>4</v>
      </c>
      <c r="F46" s="2">
        <v>193</v>
      </c>
      <c r="G46" s="2" t="s">
        <v>40</v>
      </c>
      <c r="H46" s="2" t="s">
        <v>39</v>
      </c>
      <c r="I46" s="2" t="s">
        <v>33</v>
      </c>
      <c r="J46" s="2">
        <v>311</v>
      </c>
      <c r="K46" s="3">
        <v>186.19</v>
      </c>
      <c r="L46" s="3">
        <v>194.83</v>
      </c>
      <c r="M46" s="3">
        <v>87.97</v>
      </c>
      <c r="N46" s="3">
        <v>11687.1463</v>
      </c>
      <c r="O46" s="3">
        <v>12228</v>
      </c>
      <c r="P46" s="3">
        <v>346541</v>
      </c>
      <c r="Q46" s="3">
        <v>4.8499999999999996</v>
      </c>
      <c r="R46" s="3">
        <v>6.35</v>
      </c>
      <c r="S46" s="3">
        <v>1.4718</v>
      </c>
      <c r="T46" s="1">
        <f t="shared" si="0"/>
        <v>-8.6400000000000148</v>
      </c>
      <c r="U46" s="1">
        <f t="shared" si="1"/>
        <v>43.984999999999999</v>
      </c>
      <c r="V46" s="1">
        <f t="shared" si="2"/>
        <v>-540.85369999999966</v>
      </c>
      <c r="W46" s="1">
        <f t="shared" si="3"/>
        <v>173270.5</v>
      </c>
      <c r="X46" s="1">
        <f t="shared" si="4"/>
        <v>-1.5</v>
      </c>
      <c r="Y46" s="1">
        <f t="shared" si="5"/>
        <v>0.7359</v>
      </c>
      <c r="Z46">
        <f t="shared" si="6"/>
        <v>0</v>
      </c>
    </row>
    <row r="47" spans="1:26" x14ac:dyDescent="0.2">
      <c r="A47">
        <f t="shared" si="7"/>
        <v>45</v>
      </c>
      <c r="B47">
        <v>2015</v>
      </c>
      <c r="C47" t="s">
        <v>60</v>
      </c>
      <c r="D47" t="s">
        <v>61</v>
      </c>
      <c r="E47">
        <v>6</v>
      </c>
      <c r="F47" s="2">
        <v>153</v>
      </c>
      <c r="G47" s="2" t="s">
        <v>44</v>
      </c>
      <c r="H47" s="2" t="s">
        <v>45</v>
      </c>
      <c r="I47" s="2" t="s">
        <v>33</v>
      </c>
      <c r="J47" s="2">
        <v>3711</v>
      </c>
      <c r="K47" s="3">
        <v>255.16</v>
      </c>
      <c r="L47" s="3">
        <v>263.64</v>
      </c>
      <c r="M47" s="3">
        <v>207.31</v>
      </c>
      <c r="N47" s="3">
        <v>16016.3932</v>
      </c>
      <c r="O47" s="3">
        <v>16547</v>
      </c>
      <c r="P47" s="3">
        <v>816614</v>
      </c>
      <c r="Q47" s="3">
        <v>7.3333000000000004</v>
      </c>
      <c r="R47" s="3">
        <v>25.5</v>
      </c>
      <c r="S47" s="3">
        <v>40.421999999999997</v>
      </c>
      <c r="T47" s="1">
        <f t="shared" si="0"/>
        <v>-8.4799999999999898</v>
      </c>
      <c r="U47" s="1">
        <f t="shared" si="1"/>
        <v>69.103333333333339</v>
      </c>
      <c r="V47" s="1">
        <f t="shared" si="2"/>
        <v>-530.60679999999957</v>
      </c>
      <c r="W47" s="1">
        <f t="shared" si="3"/>
        <v>272204.66666666669</v>
      </c>
      <c r="X47" s="1">
        <f t="shared" si="4"/>
        <v>-18.166699999999999</v>
      </c>
      <c r="Y47" s="1">
        <f t="shared" si="5"/>
        <v>13.473999999999998</v>
      </c>
      <c r="Z47">
        <f t="shared" si="6"/>
        <v>1</v>
      </c>
    </row>
    <row r="48" spans="1:26" x14ac:dyDescent="0.2">
      <c r="A48">
        <f t="shared" si="7"/>
        <v>46</v>
      </c>
      <c r="B48">
        <v>2015</v>
      </c>
      <c r="C48" t="s">
        <v>34</v>
      </c>
      <c r="D48" t="s">
        <v>35</v>
      </c>
      <c r="E48">
        <v>4</v>
      </c>
      <c r="F48" s="2">
        <v>102</v>
      </c>
      <c r="G48" s="2" t="s">
        <v>36</v>
      </c>
      <c r="H48" s="2" t="s">
        <v>29</v>
      </c>
      <c r="I48" s="2" t="s">
        <v>41</v>
      </c>
      <c r="J48" s="2">
        <v>11</v>
      </c>
      <c r="K48" s="3">
        <v>119.14</v>
      </c>
      <c r="L48" s="3">
        <v>127.58</v>
      </c>
      <c r="M48" s="3">
        <v>1197.8900000000001</v>
      </c>
      <c r="N48" s="3">
        <v>7478.4178000000002</v>
      </c>
      <c r="O48" s="3">
        <v>8007.33</v>
      </c>
      <c r="P48" s="3">
        <v>4718559</v>
      </c>
      <c r="Q48" s="3">
        <v>0</v>
      </c>
      <c r="R48" s="3">
        <v>0</v>
      </c>
      <c r="S48" s="3">
        <v>0</v>
      </c>
      <c r="T48" s="1">
        <f t="shared" si="0"/>
        <v>-8.4399999999999977</v>
      </c>
      <c r="U48" s="1">
        <f t="shared" si="1"/>
        <v>598.94500000000005</v>
      </c>
      <c r="V48" s="1">
        <f t="shared" si="2"/>
        <v>-528.91219999999976</v>
      </c>
      <c r="W48" s="1">
        <f t="shared" si="3"/>
        <v>2359279.5</v>
      </c>
      <c r="X48" s="1">
        <f t="shared" si="4"/>
        <v>0</v>
      </c>
      <c r="Y48" s="1">
        <f t="shared" si="5"/>
        <v>0</v>
      </c>
      <c r="Z48">
        <f t="shared" si="6"/>
        <v>0</v>
      </c>
    </row>
    <row r="49" spans="1:26" x14ac:dyDescent="0.2">
      <c r="A49">
        <f t="shared" si="7"/>
        <v>47</v>
      </c>
      <c r="B49">
        <v>2014</v>
      </c>
      <c r="C49" t="s">
        <v>72</v>
      </c>
      <c r="D49" t="s">
        <v>73</v>
      </c>
      <c r="E49">
        <v>4</v>
      </c>
      <c r="F49" s="2">
        <v>72</v>
      </c>
      <c r="G49" s="2" t="s">
        <v>47</v>
      </c>
      <c r="H49" s="2" t="s">
        <v>48</v>
      </c>
      <c r="I49" s="2" t="s">
        <v>41</v>
      </c>
      <c r="J49" s="2">
        <v>311</v>
      </c>
      <c r="K49" s="3">
        <v>186.95</v>
      </c>
      <c r="L49" s="3">
        <v>194.83</v>
      </c>
      <c r="M49" s="3">
        <v>87.97</v>
      </c>
      <c r="N49" s="3">
        <v>11734.851500000001</v>
      </c>
      <c r="O49" s="3">
        <v>12228</v>
      </c>
      <c r="P49" s="3">
        <v>346541</v>
      </c>
      <c r="Q49" s="3">
        <v>4.8</v>
      </c>
      <c r="R49" s="3">
        <v>6.35</v>
      </c>
      <c r="S49" s="3">
        <v>1.4718</v>
      </c>
      <c r="T49" s="1">
        <f t="shared" si="0"/>
        <v>-7.8800000000000239</v>
      </c>
      <c r="U49" s="1">
        <f t="shared" si="1"/>
        <v>43.984999999999999</v>
      </c>
      <c r="V49" s="1">
        <f t="shared" si="2"/>
        <v>-493.14849999999933</v>
      </c>
      <c r="W49" s="1">
        <f t="shared" si="3"/>
        <v>173270.5</v>
      </c>
      <c r="X49" s="1">
        <f t="shared" si="4"/>
        <v>-1.5499999999999998</v>
      </c>
      <c r="Y49" s="1">
        <f t="shared" si="5"/>
        <v>0.7359</v>
      </c>
      <c r="Z49">
        <f t="shared" si="6"/>
        <v>0</v>
      </c>
    </row>
    <row r="50" spans="1:26" x14ac:dyDescent="0.2">
      <c r="A50">
        <f t="shared" si="7"/>
        <v>48</v>
      </c>
      <c r="B50">
        <v>2014</v>
      </c>
      <c r="C50" t="s">
        <v>54</v>
      </c>
      <c r="D50" t="s">
        <v>55</v>
      </c>
      <c r="E50">
        <v>4</v>
      </c>
      <c r="F50" s="2">
        <v>31</v>
      </c>
      <c r="G50" s="2" t="s">
        <v>28</v>
      </c>
      <c r="H50" s="2" t="s">
        <v>29</v>
      </c>
      <c r="I50" s="2" t="s">
        <v>30</v>
      </c>
      <c r="J50" s="2">
        <v>11</v>
      </c>
      <c r="K50" s="3">
        <v>191.36</v>
      </c>
      <c r="L50" s="3">
        <v>199.21</v>
      </c>
      <c r="M50" s="3">
        <v>340.41</v>
      </c>
      <c r="N50" s="3">
        <v>12011.667200000002</v>
      </c>
      <c r="O50" s="3">
        <v>12503</v>
      </c>
      <c r="P50" s="3">
        <v>1340951</v>
      </c>
      <c r="Q50" s="3">
        <v>4.2249999999999996</v>
      </c>
      <c r="R50" s="3">
        <v>1.0625</v>
      </c>
      <c r="S50" s="3">
        <v>15.753399999999999</v>
      </c>
      <c r="T50" s="1">
        <f t="shared" si="0"/>
        <v>-7.8499999999999943</v>
      </c>
      <c r="U50" s="1">
        <f t="shared" si="1"/>
        <v>170.20500000000001</v>
      </c>
      <c r="V50" s="1">
        <f t="shared" si="2"/>
        <v>-491.33279999999831</v>
      </c>
      <c r="W50" s="1">
        <f t="shared" si="3"/>
        <v>670475.5</v>
      </c>
      <c r="X50" s="1">
        <f t="shared" si="4"/>
        <v>3.1624999999999996</v>
      </c>
      <c r="Y50" s="1">
        <f t="shared" si="5"/>
        <v>7.8766999999999996</v>
      </c>
      <c r="Z50">
        <f t="shared" si="6"/>
        <v>0</v>
      </c>
    </row>
    <row r="51" spans="1:26" x14ac:dyDescent="0.2">
      <c r="A51">
        <f t="shared" si="7"/>
        <v>49</v>
      </c>
      <c r="B51">
        <v>2014</v>
      </c>
      <c r="C51" t="s">
        <v>54</v>
      </c>
      <c r="D51" t="s">
        <v>55</v>
      </c>
      <c r="E51">
        <v>4</v>
      </c>
      <c r="F51" s="2">
        <v>51</v>
      </c>
      <c r="G51" s="2" t="s">
        <v>36</v>
      </c>
      <c r="H51" s="2" t="s">
        <v>66</v>
      </c>
      <c r="I51" s="2" t="s">
        <v>30</v>
      </c>
      <c r="J51" s="2">
        <v>11</v>
      </c>
      <c r="K51" s="3">
        <v>191.41</v>
      </c>
      <c r="L51" s="3">
        <v>199.21</v>
      </c>
      <c r="M51" s="3">
        <v>340.41</v>
      </c>
      <c r="N51" s="3">
        <v>12014.805700000001</v>
      </c>
      <c r="O51" s="3">
        <v>12503</v>
      </c>
      <c r="P51" s="3">
        <v>1340951</v>
      </c>
      <c r="Q51" s="3">
        <v>1.575</v>
      </c>
      <c r="R51" s="3">
        <v>1.0625</v>
      </c>
      <c r="S51" s="3">
        <v>15.753399999999999</v>
      </c>
      <c r="T51" s="1">
        <f t="shared" si="0"/>
        <v>-7.8000000000000114</v>
      </c>
      <c r="U51" s="1">
        <f t="shared" si="1"/>
        <v>170.20500000000001</v>
      </c>
      <c r="V51" s="1">
        <f t="shared" si="2"/>
        <v>-488.1942999999992</v>
      </c>
      <c r="W51" s="1">
        <f t="shared" si="3"/>
        <v>670475.5</v>
      </c>
      <c r="X51" s="1">
        <f t="shared" si="4"/>
        <v>0.51249999999999996</v>
      </c>
      <c r="Y51" s="1">
        <f t="shared" si="5"/>
        <v>7.8766999999999996</v>
      </c>
      <c r="Z51">
        <f t="shared" si="6"/>
        <v>0</v>
      </c>
    </row>
    <row r="52" spans="1:26" x14ac:dyDescent="0.2">
      <c r="A52">
        <f t="shared" si="7"/>
        <v>50</v>
      </c>
      <c r="B52">
        <v>2015</v>
      </c>
      <c r="C52" t="s">
        <v>54</v>
      </c>
      <c r="D52" t="s">
        <v>69</v>
      </c>
      <c r="E52">
        <v>4</v>
      </c>
      <c r="F52" s="2">
        <v>163</v>
      </c>
      <c r="G52" s="2" t="s">
        <v>58</v>
      </c>
      <c r="H52" s="2" t="s">
        <v>59</v>
      </c>
      <c r="I52" s="2" t="s">
        <v>33</v>
      </c>
      <c r="J52" s="2">
        <v>311</v>
      </c>
      <c r="K52" s="3">
        <v>238.97</v>
      </c>
      <c r="L52" s="3">
        <v>246.63</v>
      </c>
      <c r="M52" s="3">
        <v>212.78</v>
      </c>
      <c r="N52" s="3">
        <v>15000.146900000002</v>
      </c>
      <c r="O52" s="3">
        <v>15479</v>
      </c>
      <c r="P52" s="3">
        <v>838171</v>
      </c>
      <c r="Q52" s="3">
        <v>28.75</v>
      </c>
      <c r="R52" s="3">
        <v>32.5</v>
      </c>
      <c r="S52" s="3">
        <v>207.72</v>
      </c>
      <c r="T52" s="1">
        <f t="shared" si="0"/>
        <v>-7.6599999999999966</v>
      </c>
      <c r="U52" s="1">
        <f t="shared" si="1"/>
        <v>106.39</v>
      </c>
      <c r="V52" s="1">
        <f t="shared" si="2"/>
        <v>-478.85309999999845</v>
      </c>
      <c r="W52" s="1">
        <f t="shared" si="3"/>
        <v>419085.5</v>
      </c>
      <c r="X52" s="1">
        <f t="shared" si="4"/>
        <v>-3.75</v>
      </c>
      <c r="Y52" s="1">
        <f t="shared" si="5"/>
        <v>103.86</v>
      </c>
      <c r="Z52">
        <f t="shared" si="6"/>
        <v>1</v>
      </c>
    </row>
    <row r="53" spans="1:26" x14ac:dyDescent="0.2">
      <c r="A53">
        <f t="shared" si="7"/>
        <v>51</v>
      </c>
      <c r="B53">
        <v>2014</v>
      </c>
      <c r="C53" t="s">
        <v>54</v>
      </c>
      <c r="D53" t="s">
        <v>55</v>
      </c>
      <c r="E53">
        <v>4</v>
      </c>
      <c r="F53" s="2">
        <v>193</v>
      </c>
      <c r="G53" s="2" t="s">
        <v>40</v>
      </c>
      <c r="H53" s="2" t="s">
        <v>39</v>
      </c>
      <c r="I53" s="2" t="s">
        <v>33</v>
      </c>
      <c r="J53" s="2">
        <v>311</v>
      </c>
      <c r="K53" s="3">
        <v>191.69</v>
      </c>
      <c r="L53" s="3">
        <v>199.21</v>
      </c>
      <c r="M53" s="3">
        <v>340.41</v>
      </c>
      <c r="N53" s="3">
        <v>12032.381300000001</v>
      </c>
      <c r="O53" s="3">
        <v>12503</v>
      </c>
      <c r="P53" s="3">
        <v>1340951</v>
      </c>
      <c r="Q53" s="3">
        <v>5.6624999999999996</v>
      </c>
      <c r="R53" s="3">
        <v>1.0625</v>
      </c>
      <c r="S53" s="3">
        <v>15.753399999999999</v>
      </c>
      <c r="T53" s="1">
        <f t="shared" si="0"/>
        <v>-7.5200000000000102</v>
      </c>
      <c r="U53" s="1">
        <f t="shared" si="1"/>
        <v>170.20500000000001</v>
      </c>
      <c r="V53" s="1">
        <f t="shared" si="2"/>
        <v>-470.61869999999908</v>
      </c>
      <c r="W53" s="1">
        <f t="shared" si="3"/>
        <v>670475.5</v>
      </c>
      <c r="X53" s="1">
        <f t="shared" si="4"/>
        <v>4.5999999999999996</v>
      </c>
      <c r="Y53" s="1">
        <f t="shared" si="5"/>
        <v>7.8766999999999996</v>
      </c>
      <c r="Z53">
        <f t="shared" si="6"/>
        <v>1</v>
      </c>
    </row>
    <row r="54" spans="1:26" x14ac:dyDescent="0.2">
      <c r="A54">
        <f t="shared" si="7"/>
        <v>52</v>
      </c>
      <c r="B54">
        <v>2014</v>
      </c>
      <c r="C54" t="s">
        <v>72</v>
      </c>
      <c r="D54" t="s">
        <v>73</v>
      </c>
      <c r="E54">
        <v>4</v>
      </c>
      <c r="F54" s="2">
        <v>82</v>
      </c>
      <c r="G54" s="2" t="s">
        <v>31</v>
      </c>
      <c r="H54" s="2" t="s">
        <v>46</v>
      </c>
      <c r="I54" s="2" t="s">
        <v>41</v>
      </c>
      <c r="J54" s="2">
        <v>311</v>
      </c>
      <c r="K54" s="3">
        <v>187.6</v>
      </c>
      <c r="L54" s="3">
        <v>194.83</v>
      </c>
      <c r="M54" s="3">
        <v>87.97</v>
      </c>
      <c r="N54" s="3">
        <v>11775.652</v>
      </c>
      <c r="O54" s="3">
        <v>12228</v>
      </c>
      <c r="P54" s="3">
        <v>346541</v>
      </c>
      <c r="Q54" s="3">
        <v>4.95</v>
      </c>
      <c r="R54" s="3">
        <v>6.35</v>
      </c>
      <c r="S54" s="3">
        <v>1.4718</v>
      </c>
      <c r="T54" s="1">
        <f t="shared" si="0"/>
        <v>-7.2300000000000182</v>
      </c>
      <c r="U54" s="1">
        <f t="shared" si="1"/>
        <v>43.984999999999999</v>
      </c>
      <c r="V54" s="1">
        <f t="shared" si="2"/>
        <v>-452.34799999999996</v>
      </c>
      <c r="W54" s="1">
        <f t="shared" si="3"/>
        <v>173270.5</v>
      </c>
      <c r="X54" s="1">
        <f t="shared" si="4"/>
        <v>-1.3999999999999995</v>
      </c>
      <c r="Y54" s="1">
        <f t="shared" si="5"/>
        <v>0.7359</v>
      </c>
      <c r="Z54">
        <f t="shared" si="6"/>
        <v>0</v>
      </c>
    </row>
    <row r="55" spans="1:26" x14ac:dyDescent="0.2">
      <c r="A55">
        <f t="shared" si="7"/>
        <v>53</v>
      </c>
      <c r="B55">
        <v>2015</v>
      </c>
      <c r="C55" t="s">
        <v>34</v>
      </c>
      <c r="D55" t="s">
        <v>35</v>
      </c>
      <c r="E55">
        <v>4</v>
      </c>
      <c r="F55" s="2">
        <v>122</v>
      </c>
      <c r="G55" s="2" t="s">
        <v>75</v>
      </c>
      <c r="H55" s="2" t="s">
        <v>76</v>
      </c>
      <c r="I55" s="2" t="s">
        <v>41</v>
      </c>
      <c r="J55" s="2">
        <v>311</v>
      </c>
      <c r="K55" s="3">
        <v>120.38</v>
      </c>
      <c r="L55" s="3">
        <v>127.58</v>
      </c>
      <c r="M55" s="3">
        <v>1197.8900000000001</v>
      </c>
      <c r="N55" s="3">
        <v>7556.2525999999998</v>
      </c>
      <c r="O55" s="3">
        <v>8007.33</v>
      </c>
      <c r="P55" s="3">
        <v>4718559</v>
      </c>
      <c r="Q55" s="3">
        <v>0</v>
      </c>
      <c r="R55" s="3">
        <v>0</v>
      </c>
      <c r="S55" s="3">
        <v>0</v>
      </c>
      <c r="T55" s="1">
        <f t="shared" si="0"/>
        <v>-7.2000000000000028</v>
      </c>
      <c r="U55" s="1">
        <f t="shared" si="1"/>
        <v>598.94500000000005</v>
      </c>
      <c r="V55" s="1">
        <f t="shared" si="2"/>
        <v>-451.07740000000013</v>
      </c>
      <c r="W55" s="1">
        <f t="shared" si="3"/>
        <v>2359279.5</v>
      </c>
      <c r="X55" s="1">
        <f t="shared" si="4"/>
        <v>0</v>
      </c>
      <c r="Y55" s="1">
        <f t="shared" si="5"/>
        <v>0</v>
      </c>
      <c r="Z55">
        <f t="shared" si="6"/>
        <v>0</v>
      </c>
    </row>
    <row r="56" spans="1:26" x14ac:dyDescent="0.2">
      <c r="A56">
        <f t="shared" si="7"/>
        <v>54</v>
      </c>
      <c r="B56">
        <v>2014</v>
      </c>
      <c r="C56" t="s">
        <v>50</v>
      </c>
      <c r="D56" t="s">
        <v>51</v>
      </c>
      <c r="E56">
        <v>4</v>
      </c>
      <c r="F56" s="2">
        <v>21</v>
      </c>
      <c r="G56" s="2" t="s">
        <v>71</v>
      </c>
      <c r="H56" s="2" t="s">
        <v>66</v>
      </c>
      <c r="I56" s="2" t="s">
        <v>30</v>
      </c>
      <c r="J56" s="2">
        <v>711</v>
      </c>
      <c r="K56" s="3">
        <v>186.95</v>
      </c>
      <c r="L56" s="3">
        <v>194.15</v>
      </c>
      <c r="M56" s="3">
        <v>198.36</v>
      </c>
      <c r="N56" s="3">
        <v>11734.851500000001</v>
      </c>
      <c r="O56" s="3">
        <v>12185</v>
      </c>
      <c r="P56" s="3">
        <v>781361</v>
      </c>
      <c r="Q56" s="3">
        <v>10.4175</v>
      </c>
      <c r="R56" s="3">
        <v>12.085000000000001</v>
      </c>
      <c r="S56" s="3">
        <v>2.2498</v>
      </c>
      <c r="T56" s="1">
        <f t="shared" si="0"/>
        <v>-7.2000000000000171</v>
      </c>
      <c r="U56" s="1">
        <f t="shared" si="1"/>
        <v>99.18</v>
      </c>
      <c r="V56" s="1">
        <f t="shared" si="2"/>
        <v>-450.14849999999933</v>
      </c>
      <c r="W56" s="1">
        <f t="shared" si="3"/>
        <v>390680.5</v>
      </c>
      <c r="X56" s="1">
        <f t="shared" si="4"/>
        <v>-1.6675000000000004</v>
      </c>
      <c r="Y56" s="1">
        <f t="shared" si="5"/>
        <v>1.1249</v>
      </c>
      <c r="Z56">
        <f t="shared" si="6"/>
        <v>1</v>
      </c>
    </row>
    <row r="57" spans="1:26" x14ac:dyDescent="0.2">
      <c r="A57">
        <f t="shared" si="7"/>
        <v>55</v>
      </c>
      <c r="B57">
        <v>2014</v>
      </c>
      <c r="C57" t="s">
        <v>52</v>
      </c>
      <c r="D57" t="s">
        <v>53</v>
      </c>
      <c r="E57">
        <v>4</v>
      </c>
      <c r="F57" s="2">
        <v>92</v>
      </c>
      <c r="G57" s="2" t="s">
        <v>42</v>
      </c>
      <c r="H57" s="2" t="s">
        <v>43</v>
      </c>
      <c r="I57" s="2" t="s">
        <v>41</v>
      </c>
      <c r="J57" s="2">
        <v>311</v>
      </c>
      <c r="K57" s="3">
        <v>183.76</v>
      </c>
      <c r="L57" s="3">
        <v>190.74</v>
      </c>
      <c r="M57" s="3">
        <v>134.78</v>
      </c>
      <c r="N57" s="3">
        <v>11534.6152</v>
      </c>
      <c r="O57" s="3">
        <v>11971</v>
      </c>
      <c r="P57" s="3">
        <v>530904</v>
      </c>
      <c r="Q57" s="3">
        <v>2.5</v>
      </c>
      <c r="R57" s="3">
        <v>4</v>
      </c>
      <c r="S57" s="3">
        <v>1.1295999999999999</v>
      </c>
      <c r="T57" s="1">
        <f t="shared" si="0"/>
        <v>-6.9800000000000182</v>
      </c>
      <c r="U57" s="1">
        <f t="shared" si="1"/>
        <v>67.39</v>
      </c>
      <c r="V57" s="1">
        <f t="shared" si="2"/>
        <v>-436.38479999999981</v>
      </c>
      <c r="W57" s="1">
        <f t="shared" si="3"/>
        <v>265452</v>
      </c>
      <c r="X57" s="1">
        <f t="shared" si="4"/>
        <v>-1.5</v>
      </c>
      <c r="Y57" s="1">
        <f t="shared" si="5"/>
        <v>0.56479999999999997</v>
      </c>
      <c r="Z57">
        <f t="shared" si="6"/>
        <v>0</v>
      </c>
    </row>
    <row r="58" spans="1:26" x14ac:dyDescent="0.2">
      <c r="A58">
        <f t="shared" si="7"/>
        <v>56</v>
      </c>
      <c r="B58">
        <v>2015</v>
      </c>
      <c r="C58" t="s">
        <v>60</v>
      </c>
      <c r="D58" t="s">
        <v>61</v>
      </c>
      <c r="E58">
        <v>6</v>
      </c>
      <c r="F58" s="2">
        <v>193</v>
      </c>
      <c r="G58" s="2" t="s">
        <v>40</v>
      </c>
      <c r="H58" s="2" t="s">
        <v>39</v>
      </c>
      <c r="I58" s="2" t="s">
        <v>33</v>
      </c>
      <c r="J58" s="2">
        <v>311</v>
      </c>
      <c r="K58" s="3">
        <v>256.98</v>
      </c>
      <c r="L58" s="3">
        <v>263.64</v>
      </c>
      <c r="M58" s="3">
        <v>207.31</v>
      </c>
      <c r="N58" s="3">
        <v>16130.634600000001</v>
      </c>
      <c r="O58" s="3">
        <v>16547</v>
      </c>
      <c r="P58" s="3">
        <v>816614</v>
      </c>
      <c r="Q58" s="3">
        <v>13.666700000000001</v>
      </c>
      <c r="R58" s="3">
        <v>25.5</v>
      </c>
      <c r="S58" s="3">
        <v>40.421999999999997</v>
      </c>
      <c r="T58" s="1">
        <f t="shared" si="0"/>
        <v>-6.6599999999999682</v>
      </c>
      <c r="U58" s="1">
        <f t="shared" si="1"/>
        <v>69.103333333333339</v>
      </c>
      <c r="V58" s="1">
        <f t="shared" si="2"/>
        <v>-416.36539999999877</v>
      </c>
      <c r="W58" s="1">
        <f t="shared" si="3"/>
        <v>272204.66666666669</v>
      </c>
      <c r="X58" s="1">
        <f t="shared" si="4"/>
        <v>-11.833299999999999</v>
      </c>
      <c r="Y58" s="1">
        <f t="shared" si="5"/>
        <v>13.473999999999998</v>
      </c>
      <c r="Z58">
        <f t="shared" si="6"/>
        <v>1</v>
      </c>
    </row>
    <row r="59" spans="1:26" x14ac:dyDescent="0.2">
      <c r="A59">
        <f t="shared" si="7"/>
        <v>57</v>
      </c>
      <c r="B59">
        <v>2014</v>
      </c>
      <c r="C59" t="s">
        <v>50</v>
      </c>
      <c r="D59" t="s">
        <v>77</v>
      </c>
      <c r="E59">
        <v>4</v>
      </c>
      <c r="F59" s="2">
        <v>163</v>
      </c>
      <c r="G59" s="2" t="s">
        <v>58</v>
      </c>
      <c r="H59" s="2" t="s">
        <v>59</v>
      </c>
      <c r="I59" s="2" t="s">
        <v>33</v>
      </c>
      <c r="J59" s="2">
        <v>311</v>
      </c>
      <c r="K59" s="3">
        <v>210.68</v>
      </c>
      <c r="L59" s="3">
        <v>217.17</v>
      </c>
      <c r="M59" s="3">
        <v>97.19</v>
      </c>
      <c r="N59" s="3">
        <v>13224.383600000001</v>
      </c>
      <c r="O59" s="3">
        <v>13630</v>
      </c>
      <c r="P59" s="3">
        <v>382849</v>
      </c>
      <c r="Q59" s="3">
        <v>10.664999999999999</v>
      </c>
      <c r="R59" s="3">
        <v>16.25</v>
      </c>
      <c r="S59" s="3">
        <v>60.879800000000003</v>
      </c>
      <c r="T59" s="1">
        <f t="shared" si="0"/>
        <v>-6.4899999999999807</v>
      </c>
      <c r="U59" s="1">
        <f t="shared" si="1"/>
        <v>48.594999999999999</v>
      </c>
      <c r="V59" s="1">
        <f t="shared" si="2"/>
        <v>-405.61639999999898</v>
      </c>
      <c r="W59" s="1">
        <f t="shared" si="3"/>
        <v>191424.5</v>
      </c>
      <c r="X59" s="1">
        <f t="shared" si="4"/>
        <v>-5.5850000000000009</v>
      </c>
      <c r="Y59" s="1">
        <f t="shared" si="5"/>
        <v>30.439900000000002</v>
      </c>
      <c r="Z59">
        <f t="shared" si="6"/>
        <v>1</v>
      </c>
    </row>
    <row r="60" spans="1:26" x14ac:dyDescent="0.2">
      <c r="A60">
        <f t="shared" si="7"/>
        <v>58</v>
      </c>
      <c r="B60">
        <v>2014</v>
      </c>
      <c r="C60" t="s">
        <v>64</v>
      </c>
      <c r="D60" t="s">
        <v>78</v>
      </c>
      <c r="E60">
        <v>4</v>
      </c>
      <c r="F60" s="2">
        <v>72</v>
      </c>
      <c r="G60" s="2" t="s">
        <v>47</v>
      </c>
      <c r="H60" s="2" t="s">
        <v>48</v>
      </c>
      <c r="I60" s="2" t="s">
        <v>41</v>
      </c>
      <c r="J60" s="2">
        <v>311</v>
      </c>
      <c r="K60" s="3">
        <v>188.91</v>
      </c>
      <c r="L60" s="3">
        <v>195.37</v>
      </c>
      <c r="M60" s="3">
        <v>228.55</v>
      </c>
      <c r="N60" s="3">
        <v>11857.8807</v>
      </c>
      <c r="O60" s="3">
        <v>12262</v>
      </c>
      <c r="P60" s="3">
        <v>900285</v>
      </c>
      <c r="Q60" s="3">
        <v>12</v>
      </c>
      <c r="R60" s="3">
        <v>15</v>
      </c>
      <c r="S60" s="3">
        <v>15.3675</v>
      </c>
      <c r="T60" s="1">
        <f t="shared" si="0"/>
        <v>-6.460000000000008</v>
      </c>
      <c r="U60" s="1">
        <f t="shared" si="1"/>
        <v>114.27500000000001</v>
      </c>
      <c r="V60" s="1">
        <f t="shared" si="2"/>
        <v>-404.11930000000029</v>
      </c>
      <c r="W60" s="1">
        <f t="shared" si="3"/>
        <v>450142.5</v>
      </c>
      <c r="X60" s="1">
        <f t="shared" si="4"/>
        <v>-3</v>
      </c>
      <c r="Y60" s="1">
        <f t="shared" si="5"/>
        <v>7.6837499999999999</v>
      </c>
      <c r="Z60">
        <f t="shared" si="6"/>
        <v>1</v>
      </c>
    </row>
    <row r="61" spans="1:26" x14ac:dyDescent="0.2">
      <c r="A61">
        <f t="shared" si="7"/>
        <v>59</v>
      </c>
      <c r="B61">
        <v>2014</v>
      </c>
      <c r="C61" t="s">
        <v>67</v>
      </c>
      <c r="D61" t="s">
        <v>68</v>
      </c>
      <c r="E61">
        <v>4</v>
      </c>
      <c r="F61" s="2">
        <v>41</v>
      </c>
      <c r="G61" s="2" t="s">
        <v>31</v>
      </c>
      <c r="H61" s="2" t="s">
        <v>62</v>
      </c>
      <c r="I61" s="2" t="s">
        <v>30</v>
      </c>
      <c r="J61" s="2">
        <v>311</v>
      </c>
      <c r="K61" s="3">
        <v>178.71</v>
      </c>
      <c r="L61" s="3">
        <v>184.84</v>
      </c>
      <c r="M61" s="1">
        <v>153.71</v>
      </c>
      <c r="N61" s="3">
        <v>11217.626700000001</v>
      </c>
      <c r="O61" s="3">
        <v>11601</v>
      </c>
      <c r="P61" s="1">
        <v>605499</v>
      </c>
      <c r="Q61" s="3">
        <v>36.884999999999998</v>
      </c>
      <c r="R61" s="3">
        <v>35.222499999999997</v>
      </c>
      <c r="S61" s="3">
        <v>66.884600000000006</v>
      </c>
      <c r="T61" s="1">
        <f t="shared" si="0"/>
        <v>-6.1299999999999955</v>
      </c>
      <c r="U61" s="1">
        <f t="shared" si="1"/>
        <v>76.855000000000004</v>
      </c>
      <c r="V61" s="1">
        <f t="shared" si="2"/>
        <v>-383.37329999999929</v>
      </c>
      <c r="W61" s="1">
        <f t="shared" si="3"/>
        <v>302749.5</v>
      </c>
      <c r="X61" s="1">
        <f t="shared" si="4"/>
        <v>1.6625000000000014</v>
      </c>
      <c r="Y61" s="1">
        <f t="shared" si="5"/>
        <v>33.442300000000003</v>
      </c>
      <c r="Z61">
        <f t="shared" si="6"/>
        <v>1</v>
      </c>
    </row>
    <row r="62" spans="1:26" x14ac:dyDescent="0.2">
      <c r="A62">
        <f t="shared" si="7"/>
        <v>60</v>
      </c>
      <c r="B62">
        <v>2015</v>
      </c>
      <c r="C62" t="s">
        <v>26</v>
      </c>
      <c r="D62" t="s">
        <v>27</v>
      </c>
      <c r="E62">
        <v>4</v>
      </c>
      <c r="F62" s="2">
        <v>112</v>
      </c>
      <c r="G62" s="2" t="s">
        <v>40</v>
      </c>
      <c r="H62" s="2" t="s">
        <v>39</v>
      </c>
      <c r="I62" s="2" t="s">
        <v>41</v>
      </c>
      <c r="J62" s="2">
        <v>311</v>
      </c>
      <c r="K62" s="3">
        <v>248.95</v>
      </c>
      <c r="L62" s="3">
        <v>254.92</v>
      </c>
      <c r="M62" s="3">
        <v>868.14</v>
      </c>
      <c r="N62" s="3">
        <v>15626.5915</v>
      </c>
      <c r="O62" s="3">
        <v>16000</v>
      </c>
      <c r="P62" s="3">
        <v>3419739</v>
      </c>
      <c r="Q62" s="3">
        <v>16.565000000000001</v>
      </c>
      <c r="R62" s="3">
        <v>40.627499999999998</v>
      </c>
      <c r="S62" s="3">
        <v>385.81</v>
      </c>
      <c r="T62" s="1">
        <f t="shared" si="0"/>
        <v>-5.9699999999999989</v>
      </c>
      <c r="U62" s="1">
        <f t="shared" si="1"/>
        <v>434.07</v>
      </c>
      <c r="V62" s="1">
        <f t="shared" si="2"/>
        <v>-373.40849999999955</v>
      </c>
      <c r="W62" s="1">
        <f t="shared" si="3"/>
        <v>1709869.5</v>
      </c>
      <c r="X62" s="1">
        <f t="shared" si="4"/>
        <v>-24.062499999999996</v>
      </c>
      <c r="Y62" s="1">
        <f t="shared" si="5"/>
        <v>192.905</v>
      </c>
      <c r="Z62">
        <f t="shared" si="6"/>
        <v>1</v>
      </c>
    </row>
    <row r="63" spans="1:26" x14ac:dyDescent="0.2">
      <c r="A63">
        <f t="shared" si="7"/>
        <v>61</v>
      </c>
      <c r="B63">
        <v>2015</v>
      </c>
      <c r="C63" t="s">
        <v>52</v>
      </c>
      <c r="D63" t="s">
        <v>79</v>
      </c>
      <c r="E63">
        <v>4</v>
      </c>
      <c r="F63" s="2">
        <v>102</v>
      </c>
      <c r="G63" s="2" t="s">
        <v>36</v>
      </c>
      <c r="H63" s="2" t="s">
        <v>29</v>
      </c>
      <c r="I63" s="2" t="s">
        <v>41</v>
      </c>
      <c r="J63" s="2">
        <v>11</v>
      </c>
      <c r="K63" s="3">
        <v>160.75</v>
      </c>
      <c r="L63" s="3">
        <v>166.53</v>
      </c>
      <c r="M63" s="3">
        <v>37.15</v>
      </c>
      <c r="N63" s="3">
        <v>10090.2775</v>
      </c>
      <c r="O63" s="3">
        <v>10452</v>
      </c>
      <c r="P63" s="3">
        <v>146343</v>
      </c>
      <c r="Q63" s="3">
        <v>51.25</v>
      </c>
      <c r="R63" s="3">
        <v>58.75</v>
      </c>
      <c r="S63" s="3">
        <v>35.233899999999998</v>
      </c>
      <c r="T63" s="1">
        <f t="shared" si="0"/>
        <v>-5.7800000000000011</v>
      </c>
      <c r="U63" s="1">
        <f t="shared" si="1"/>
        <v>18.574999999999999</v>
      </c>
      <c r="V63" s="1">
        <f t="shared" si="2"/>
        <v>-361.72249999999985</v>
      </c>
      <c r="W63" s="1">
        <f t="shared" si="3"/>
        <v>73171.5</v>
      </c>
      <c r="X63" s="1">
        <f t="shared" si="4"/>
        <v>-7.5</v>
      </c>
      <c r="Y63" s="1">
        <f t="shared" si="5"/>
        <v>17.616949999999999</v>
      </c>
      <c r="Z63">
        <f t="shared" si="6"/>
        <v>1</v>
      </c>
    </row>
    <row r="64" spans="1:26" x14ac:dyDescent="0.2">
      <c r="A64">
        <f t="shared" si="7"/>
        <v>62</v>
      </c>
      <c r="B64">
        <v>2015</v>
      </c>
      <c r="C64" t="s">
        <v>60</v>
      </c>
      <c r="D64" t="s">
        <v>61</v>
      </c>
      <c r="E64">
        <v>6</v>
      </c>
      <c r="F64" s="2">
        <v>82</v>
      </c>
      <c r="G64" s="2" t="s">
        <v>31</v>
      </c>
      <c r="H64" s="2" t="s">
        <v>46</v>
      </c>
      <c r="I64" s="2" t="s">
        <v>41</v>
      </c>
      <c r="J64" s="2">
        <v>311</v>
      </c>
      <c r="K64" s="3">
        <v>257.95</v>
      </c>
      <c r="L64" s="3">
        <v>263.64</v>
      </c>
      <c r="M64" s="3">
        <v>207.31</v>
      </c>
      <c r="N64" s="3">
        <v>16191.521500000001</v>
      </c>
      <c r="O64" s="3">
        <v>16547</v>
      </c>
      <c r="P64" s="3">
        <v>816614</v>
      </c>
      <c r="Q64" s="3">
        <v>13.5</v>
      </c>
      <c r="R64" s="3">
        <v>25.5</v>
      </c>
      <c r="S64" s="3">
        <v>40.421999999999997</v>
      </c>
      <c r="T64" s="1">
        <f t="shared" si="0"/>
        <v>-5.6899999999999977</v>
      </c>
      <c r="U64" s="1">
        <f t="shared" si="1"/>
        <v>69.103333333333339</v>
      </c>
      <c r="V64" s="1">
        <f t="shared" si="2"/>
        <v>-355.47849999999926</v>
      </c>
      <c r="W64" s="1">
        <f t="shared" si="3"/>
        <v>272204.66666666669</v>
      </c>
      <c r="X64" s="1">
        <f t="shared" si="4"/>
        <v>-12</v>
      </c>
      <c r="Y64" s="1">
        <f t="shared" si="5"/>
        <v>13.473999999999998</v>
      </c>
      <c r="Z64">
        <f t="shared" si="6"/>
        <v>1</v>
      </c>
    </row>
    <row r="65" spans="1:26" x14ac:dyDescent="0.2">
      <c r="A65">
        <f t="shared" si="7"/>
        <v>63</v>
      </c>
      <c r="B65">
        <v>2014</v>
      </c>
      <c r="C65" t="s">
        <v>50</v>
      </c>
      <c r="D65" t="s">
        <v>80</v>
      </c>
      <c r="E65">
        <v>4</v>
      </c>
      <c r="F65" s="2">
        <v>21</v>
      </c>
      <c r="G65" s="2" t="s">
        <v>71</v>
      </c>
      <c r="H65" s="2" t="s">
        <v>66</v>
      </c>
      <c r="I65" s="2" t="s">
        <v>30</v>
      </c>
      <c r="J65" s="2">
        <v>711</v>
      </c>
      <c r="K65" s="3">
        <v>206.64</v>
      </c>
      <c r="L65" s="3">
        <v>212.3</v>
      </c>
      <c r="M65" s="3">
        <v>100.21</v>
      </c>
      <c r="N65" s="3">
        <v>12970.792799999999</v>
      </c>
      <c r="O65" s="3">
        <v>13324</v>
      </c>
      <c r="P65" s="3">
        <v>394707</v>
      </c>
      <c r="Q65" s="3">
        <v>37.082500000000003</v>
      </c>
      <c r="R65" s="3">
        <v>23.75</v>
      </c>
      <c r="S65" s="3">
        <v>150.47</v>
      </c>
      <c r="T65" s="1">
        <f t="shared" si="0"/>
        <v>-5.660000000000025</v>
      </c>
      <c r="U65" s="1">
        <f t="shared" si="1"/>
        <v>50.104999999999997</v>
      </c>
      <c r="V65" s="1">
        <f t="shared" si="2"/>
        <v>-353.20720000000074</v>
      </c>
      <c r="W65" s="1">
        <f t="shared" si="3"/>
        <v>197353.5</v>
      </c>
      <c r="X65" s="1">
        <f t="shared" si="4"/>
        <v>13.332500000000003</v>
      </c>
      <c r="Y65" s="1">
        <f t="shared" si="5"/>
        <v>75.234999999999999</v>
      </c>
      <c r="Z65">
        <f t="shared" si="6"/>
        <v>1</v>
      </c>
    </row>
    <row r="66" spans="1:26" x14ac:dyDescent="0.2">
      <c r="A66">
        <f t="shared" si="7"/>
        <v>64</v>
      </c>
      <c r="B66">
        <v>2014</v>
      </c>
      <c r="C66" t="s">
        <v>67</v>
      </c>
      <c r="D66" t="s">
        <v>68</v>
      </c>
      <c r="E66">
        <v>4</v>
      </c>
      <c r="F66" s="2">
        <v>61</v>
      </c>
      <c r="G66" s="2" t="s">
        <v>38</v>
      </c>
      <c r="H66" s="2" t="s">
        <v>39</v>
      </c>
      <c r="I66" s="2" t="s">
        <v>30</v>
      </c>
      <c r="J66" s="2">
        <v>311</v>
      </c>
      <c r="K66" s="3">
        <v>179.3</v>
      </c>
      <c r="L66" s="3">
        <v>184.84</v>
      </c>
      <c r="M66" s="1">
        <v>153.71</v>
      </c>
      <c r="N66" s="3">
        <v>11254.661000000002</v>
      </c>
      <c r="O66" s="3">
        <v>11601</v>
      </c>
      <c r="P66" s="1">
        <v>605499</v>
      </c>
      <c r="Q66" s="3">
        <v>41.62</v>
      </c>
      <c r="R66" s="3">
        <v>35.222499999999997</v>
      </c>
      <c r="S66" s="3">
        <v>66.884600000000006</v>
      </c>
      <c r="T66" s="1">
        <f t="shared" si="0"/>
        <v>-5.539999999999992</v>
      </c>
      <c r="U66" s="1">
        <f t="shared" si="1"/>
        <v>76.855000000000004</v>
      </c>
      <c r="V66" s="1">
        <f t="shared" si="2"/>
        <v>-346.33899999999812</v>
      </c>
      <c r="W66" s="1">
        <f t="shared" si="3"/>
        <v>302749.5</v>
      </c>
      <c r="X66" s="1">
        <f t="shared" si="4"/>
        <v>6.3975000000000009</v>
      </c>
      <c r="Y66" s="1">
        <f t="shared" si="5"/>
        <v>33.442300000000003</v>
      </c>
      <c r="Z66">
        <f t="shared" si="6"/>
        <v>1</v>
      </c>
    </row>
    <row r="67" spans="1:26" x14ac:dyDescent="0.2">
      <c r="A67">
        <f t="shared" si="7"/>
        <v>65</v>
      </c>
      <c r="B67">
        <v>2014</v>
      </c>
      <c r="C67" t="s">
        <v>50</v>
      </c>
      <c r="D67" t="s">
        <v>77</v>
      </c>
      <c r="E67">
        <v>4</v>
      </c>
      <c r="F67" s="2">
        <v>102</v>
      </c>
      <c r="G67" s="2" t="s">
        <v>36</v>
      </c>
      <c r="H67" s="2" t="s">
        <v>29</v>
      </c>
      <c r="I67" s="2" t="s">
        <v>41</v>
      </c>
      <c r="J67" s="2">
        <v>11</v>
      </c>
      <c r="K67" s="3">
        <v>211.66</v>
      </c>
      <c r="L67" s="3">
        <v>217.17</v>
      </c>
      <c r="M67" s="3">
        <v>97.19</v>
      </c>
      <c r="N67" s="3">
        <v>13285.8982</v>
      </c>
      <c r="O67" s="3">
        <v>13630</v>
      </c>
      <c r="P67" s="3">
        <v>382849</v>
      </c>
      <c r="Q67" s="3">
        <v>10.835000000000001</v>
      </c>
      <c r="R67" s="3">
        <v>16.25</v>
      </c>
      <c r="S67" s="3">
        <v>60.879800000000003</v>
      </c>
      <c r="T67" s="1">
        <f t="shared" ref="T67:T130" si="8">K67-L67</f>
        <v>-5.5099999999999909</v>
      </c>
      <c r="U67" s="1">
        <f t="shared" ref="U67:U130" si="9">(2*M67)/E67</f>
        <v>48.594999999999999</v>
      </c>
      <c r="V67" s="1">
        <f t="shared" ref="V67:V130" si="10">N67-O67</f>
        <v>-344.10180000000037</v>
      </c>
      <c r="W67" s="1">
        <f t="shared" ref="W67:W130" si="11">(2*P67)/E67</f>
        <v>191424.5</v>
      </c>
      <c r="X67" s="1">
        <f t="shared" ref="X67:X130" si="12">Q67-R67</f>
        <v>-5.4149999999999991</v>
      </c>
      <c r="Y67" s="1">
        <f t="shared" ref="Y67:Y130" si="13">(2*S67)/E67</f>
        <v>30.439900000000002</v>
      </c>
      <c r="Z67">
        <f t="shared" ref="Z67:Z130" si="14">IF(Q67&lt;5,0,1)</f>
        <v>1</v>
      </c>
    </row>
    <row r="68" spans="1:26" x14ac:dyDescent="0.2">
      <c r="A68">
        <f t="shared" ref="A68:A131" si="15">A67+1</f>
        <v>66</v>
      </c>
      <c r="B68">
        <v>2014</v>
      </c>
      <c r="C68" t="s">
        <v>50</v>
      </c>
      <c r="D68" t="s">
        <v>51</v>
      </c>
      <c r="E68">
        <v>4</v>
      </c>
      <c r="F68" s="2">
        <v>153</v>
      </c>
      <c r="G68" s="2" t="s">
        <v>44</v>
      </c>
      <c r="H68" s="2" t="s">
        <v>45</v>
      </c>
      <c r="I68" s="2" t="s">
        <v>33</v>
      </c>
      <c r="J68" s="2">
        <v>3711</v>
      </c>
      <c r="K68" s="3">
        <v>188.64</v>
      </c>
      <c r="L68" s="3">
        <v>194.15</v>
      </c>
      <c r="M68" s="3">
        <v>198.36</v>
      </c>
      <c r="N68" s="3">
        <v>11840.9328</v>
      </c>
      <c r="O68" s="3">
        <v>12185</v>
      </c>
      <c r="P68" s="3">
        <v>781361</v>
      </c>
      <c r="Q68" s="3">
        <v>4.9175000000000004</v>
      </c>
      <c r="R68" s="3">
        <v>12.085000000000001</v>
      </c>
      <c r="S68" s="3">
        <v>2.2498</v>
      </c>
      <c r="T68" s="1">
        <f t="shared" si="8"/>
        <v>-5.5100000000000193</v>
      </c>
      <c r="U68" s="1">
        <f t="shared" si="9"/>
        <v>99.18</v>
      </c>
      <c r="V68" s="1">
        <f t="shared" si="10"/>
        <v>-344.0671999999995</v>
      </c>
      <c r="W68" s="1">
        <f t="shared" si="11"/>
        <v>390680.5</v>
      </c>
      <c r="X68" s="1">
        <f t="shared" si="12"/>
        <v>-7.1675000000000004</v>
      </c>
      <c r="Y68" s="1">
        <f t="shared" si="13"/>
        <v>1.1249</v>
      </c>
      <c r="Z68">
        <f t="shared" si="14"/>
        <v>0</v>
      </c>
    </row>
    <row r="69" spans="1:26" x14ac:dyDescent="0.2">
      <c r="A69">
        <f t="shared" si="15"/>
        <v>67</v>
      </c>
      <c r="B69">
        <v>2014</v>
      </c>
      <c r="C69" t="s">
        <v>72</v>
      </c>
      <c r="D69" t="s">
        <v>73</v>
      </c>
      <c r="E69">
        <v>4</v>
      </c>
      <c r="F69" s="2">
        <v>61</v>
      </c>
      <c r="G69" s="2" t="s">
        <v>38</v>
      </c>
      <c r="H69" s="2" t="s">
        <v>39</v>
      </c>
      <c r="I69" s="2" t="s">
        <v>30</v>
      </c>
      <c r="J69" s="2">
        <v>311</v>
      </c>
      <c r="K69" s="3">
        <v>189.56</v>
      </c>
      <c r="L69" s="3">
        <v>194.83</v>
      </c>
      <c r="M69" s="3">
        <v>87.97</v>
      </c>
      <c r="N69" s="3">
        <v>11898.681200000001</v>
      </c>
      <c r="O69" s="3">
        <v>12228</v>
      </c>
      <c r="P69" s="3">
        <v>346541</v>
      </c>
      <c r="Q69" s="3">
        <v>6.05</v>
      </c>
      <c r="R69" s="3">
        <v>6.35</v>
      </c>
      <c r="S69" s="3">
        <v>1.4718</v>
      </c>
      <c r="T69" s="1">
        <f t="shared" si="8"/>
        <v>-5.2700000000000102</v>
      </c>
      <c r="U69" s="1">
        <f t="shared" si="9"/>
        <v>43.984999999999999</v>
      </c>
      <c r="V69" s="1">
        <f t="shared" si="10"/>
        <v>-329.3187999999991</v>
      </c>
      <c r="W69" s="1">
        <f t="shared" si="11"/>
        <v>173270.5</v>
      </c>
      <c r="X69" s="1">
        <f t="shared" si="12"/>
        <v>-0.29999999999999982</v>
      </c>
      <c r="Y69" s="1">
        <f t="shared" si="13"/>
        <v>0.7359</v>
      </c>
      <c r="Z69">
        <f t="shared" si="14"/>
        <v>1</v>
      </c>
    </row>
    <row r="70" spans="1:26" x14ac:dyDescent="0.2">
      <c r="A70">
        <f t="shared" si="15"/>
        <v>68</v>
      </c>
      <c r="B70">
        <v>2015</v>
      </c>
      <c r="C70" t="s">
        <v>81</v>
      </c>
      <c r="D70" t="s">
        <v>82</v>
      </c>
      <c r="E70">
        <v>4</v>
      </c>
      <c r="F70" s="2">
        <v>21</v>
      </c>
      <c r="G70" s="2" t="s">
        <v>71</v>
      </c>
      <c r="H70" s="2" t="s">
        <v>66</v>
      </c>
      <c r="I70" s="2" t="s">
        <v>30</v>
      </c>
      <c r="J70" s="2">
        <v>711</v>
      </c>
      <c r="K70" s="3">
        <v>238.69</v>
      </c>
      <c r="L70" s="3">
        <v>243.95</v>
      </c>
      <c r="M70" s="3">
        <v>106.45</v>
      </c>
      <c r="N70" s="3">
        <v>14982.571300000001</v>
      </c>
      <c r="O70" s="3">
        <v>15311</v>
      </c>
      <c r="P70" s="3">
        <v>419314</v>
      </c>
      <c r="Q70" s="3">
        <v>2.7</v>
      </c>
      <c r="R70" s="3">
        <v>17.399999999999999</v>
      </c>
      <c r="S70" s="3">
        <v>31.9801</v>
      </c>
      <c r="T70" s="1">
        <f t="shared" si="8"/>
        <v>-5.2599999999999909</v>
      </c>
      <c r="U70" s="1">
        <f t="shared" si="9"/>
        <v>53.225000000000001</v>
      </c>
      <c r="V70" s="1">
        <f t="shared" si="10"/>
        <v>-328.42869999999857</v>
      </c>
      <c r="W70" s="1">
        <f t="shared" si="11"/>
        <v>209657</v>
      </c>
      <c r="X70" s="1">
        <f t="shared" si="12"/>
        <v>-14.7</v>
      </c>
      <c r="Y70" s="1">
        <f t="shared" si="13"/>
        <v>15.99005</v>
      </c>
      <c r="Z70">
        <f t="shared" si="14"/>
        <v>0</v>
      </c>
    </row>
    <row r="71" spans="1:26" x14ac:dyDescent="0.2">
      <c r="A71">
        <f t="shared" si="15"/>
        <v>69</v>
      </c>
      <c r="B71">
        <v>2015</v>
      </c>
      <c r="C71" t="s">
        <v>26</v>
      </c>
      <c r="D71" t="s">
        <v>27</v>
      </c>
      <c r="E71">
        <v>4</v>
      </c>
      <c r="F71" s="2">
        <v>163</v>
      </c>
      <c r="G71" s="2" t="s">
        <v>58</v>
      </c>
      <c r="H71" s="2" t="s">
        <v>59</v>
      </c>
      <c r="I71" s="2" t="s">
        <v>33</v>
      </c>
      <c r="J71" s="2">
        <v>311</v>
      </c>
      <c r="K71" s="3">
        <v>249.72</v>
      </c>
      <c r="L71" s="3">
        <v>254.92</v>
      </c>
      <c r="M71" s="3">
        <v>868.14</v>
      </c>
      <c r="N71" s="3">
        <v>15674.9244</v>
      </c>
      <c r="O71" s="3">
        <v>16000</v>
      </c>
      <c r="P71" s="3">
        <v>3419739</v>
      </c>
      <c r="Q71" s="3">
        <v>26.887499999999999</v>
      </c>
      <c r="R71" s="3">
        <v>40.627499999999998</v>
      </c>
      <c r="S71" s="3">
        <v>385.81</v>
      </c>
      <c r="T71" s="1">
        <f t="shared" si="8"/>
        <v>-5.1999999999999886</v>
      </c>
      <c r="U71" s="1">
        <f t="shared" si="9"/>
        <v>434.07</v>
      </c>
      <c r="V71" s="1">
        <f t="shared" si="10"/>
        <v>-325.07560000000012</v>
      </c>
      <c r="W71" s="1">
        <f t="shared" si="11"/>
        <v>1709869.5</v>
      </c>
      <c r="X71" s="1">
        <f t="shared" si="12"/>
        <v>-13.739999999999998</v>
      </c>
      <c r="Y71" s="1">
        <f t="shared" si="13"/>
        <v>192.905</v>
      </c>
      <c r="Z71">
        <f t="shared" si="14"/>
        <v>1</v>
      </c>
    </row>
    <row r="72" spans="1:26" x14ac:dyDescent="0.2">
      <c r="A72">
        <f t="shared" si="15"/>
        <v>70</v>
      </c>
      <c r="B72">
        <v>2014</v>
      </c>
      <c r="C72" t="s">
        <v>72</v>
      </c>
      <c r="D72" t="s">
        <v>73</v>
      </c>
      <c r="E72">
        <v>4</v>
      </c>
      <c r="F72" s="2">
        <v>112</v>
      </c>
      <c r="G72" s="2" t="s">
        <v>40</v>
      </c>
      <c r="H72" s="2" t="s">
        <v>39</v>
      </c>
      <c r="I72" s="2" t="s">
        <v>41</v>
      </c>
      <c r="J72" s="2">
        <v>311</v>
      </c>
      <c r="K72" s="3">
        <v>189.71</v>
      </c>
      <c r="L72" s="3">
        <v>194.83</v>
      </c>
      <c r="M72" s="3">
        <v>87.97</v>
      </c>
      <c r="N72" s="3">
        <v>11908.096700000002</v>
      </c>
      <c r="O72" s="3">
        <v>12228</v>
      </c>
      <c r="P72" s="3">
        <v>346541</v>
      </c>
      <c r="Q72" s="3">
        <v>5.25</v>
      </c>
      <c r="R72" s="3">
        <v>6.35</v>
      </c>
      <c r="S72" s="3">
        <v>1.4718</v>
      </c>
      <c r="T72" s="1">
        <f t="shared" si="8"/>
        <v>-5.1200000000000045</v>
      </c>
      <c r="U72" s="1">
        <f t="shared" si="9"/>
        <v>43.984999999999999</v>
      </c>
      <c r="V72" s="1">
        <f t="shared" si="10"/>
        <v>-319.90329999999813</v>
      </c>
      <c r="W72" s="1">
        <f t="shared" si="11"/>
        <v>173270.5</v>
      </c>
      <c r="X72" s="1">
        <f t="shared" si="12"/>
        <v>-1.0999999999999996</v>
      </c>
      <c r="Y72" s="1">
        <f t="shared" si="13"/>
        <v>0.7359</v>
      </c>
      <c r="Z72">
        <f t="shared" si="14"/>
        <v>1</v>
      </c>
    </row>
    <row r="73" spans="1:26" x14ac:dyDescent="0.2">
      <c r="A73">
        <f t="shared" si="15"/>
        <v>71</v>
      </c>
      <c r="B73">
        <v>2014</v>
      </c>
      <c r="C73" t="s">
        <v>50</v>
      </c>
      <c r="D73" t="s">
        <v>51</v>
      </c>
      <c r="E73">
        <v>4</v>
      </c>
      <c r="F73" s="2">
        <v>41</v>
      </c>
      <c r="G73" s="2" t="s">
        <v>31</v>
      </c>
      <c r="H73" s="2" t="s">
        <v>62</v>
      </c>
      <c r="I73" s="2" t="s">
        <v>30</v>
      </c>
      <c r="J73" s="2">
        <v>311</v>
      </c>
      <c r="K73" s="3">
        <v>189.1</v>
      </c>
      <c r="L73" s="3">
        <v>194.15</v>
      </c>
      <c r="M73" s="3">
        <v>198.36</v>
      </c>
      <c r="N73" s="3">
        <v>11869.807000000001</v>
      </c>
      <c r="O73" s="3">
        <v>12185</v>
      </c>
      <c r="P73" s="3">
        <v>781361</v>
      </c>
      <c r="Q73" s="3">
        <v>8.7475000000000005</v>
      </c>
      <c r="R73" s="3">
        <v>12.085000000000001</v>
      </c>
      <c r="S73" s="3">
        <v>2.2498</v>
      </c>
      <c r="T73" s="1">
        <f t="shared" si="8"/>
        <v>-5.0500000000000114</v>
      </c>
      <c r="U73" s="1">
        <f t="shared" si="9"/>
        <v>99.18</v>
      </c>
      <c r="V73" s="1">
        <f t="shared" si="10"/>
        <v>-315.1929999999993</v>
      </c>
      <c r="W73" s="1">
        <f t="shared" si="11"/>
        <v>390680.5</v>
      </c>
      <c r="X73" s="1">
        <f t="shared" si="12"/>
        <v>-3.3375000000000004</v>
      </c>
      <c r="Y73" s="1">
        <f t="shared" si="13"/>
        <v>1.1249</v>
      </c>
      <c r="Z73">
        <f t="shared" si="14"/>
        <v>1</v>
      </c>
    </row>
    <row r="74" spans="1:26" x14ac:dyDescent="0.2">
      <c r="A74">
        <f t="shared" si="15"/>
        <v>72</v>
      </c>
      <c r="B74">
        <v>2014</v>
      </c>
      <c r="C74" t="s">
        <v>52</v>
      </c>
      <c r="D74" t="s">
        <v>79</v>
      </c>
      <c r="E74">
        <v>4</v>
      </c>
      <c r="F74" s="2">
        <v>41</v>
      </c>
      <c r="G74" s="2" t="s">
        <v>31</v>
      </c>
      <c r="H74" s="2" t="s">
        <v>62</v>
      </c>
      <c r="I74" s="2" t="s">
        <v>30</v>
      </c>
      <c r="J74" s="2">
        <v>311</v>
      </c>
      <c r="K74" s="3">
        <v>160.11000000000001</v>
      </c>
      <c r="L74" s="3">
        <v>165.03</v>
      </c>
      <c r="M74" s="3">
        <v>19.100000000000001</v>
      </c>
      <c r="N74" s="3">
        <v>10050.104700000002</v>
      </c>
      <c r="O74" s="3">
        <v>10358</v>
      </c>
      <c r="P74" s="3">
        <v>75251</v>
      </c>
      <c r="Q74" s="3">
        <v>68.75</v>
      </c>
      <c r="R74" s="3">
        <v>70</v>
      </c>
      <c r="S74" s="3">
        <v>10.1486</v>
      </c>
      <c r="T74" s="1">
        <f t="shared" si="8"/>
        <v>-4.9199999999999875</v>
      </c>
      <c r="U74" s="1">
        <f t="shared" si="9"/>
        <v>9.5500000000000007</v>
      </c>
      <c r="V74" s="1">
        <f t="shared" si="10"/>
        <v>-307.89529999999831</v>
      </c>
      <c r="W74" s="1">
        <f t="shared" si="11"/>
        <v>37625.5</v>
      </c>
      <c r="X74" s="1">
        <f t="shared" si="12"/>
        <v>-1.25</v>
      </c>
      <c r="Y74" s="1">
        <f t="shared" si="13"/>
        <v>5.0743</v>
      </c>
      <c r="Z74">
        <f t="shared" si="14"/>
        <v>1</v>
      </c>
    </row>
    <row r="75" spans="1:26" x14ac:dyDescent="0.2">
      <c r="A75">
        <f t="shared" si="15"/>
        <v>73</v>
      </c>
      <c r="B75">
        <v>2015</v>
      </c>
      <c r="C75" t="s">
        <v>67</v>
      </c>
      <c r="D75" t="s">
        <v>83</v>
      </c>
      <c r="E75">
        <v>4</v>
      </c>
      <c r="F75" s="2">
        <v>51</v>
      </c>
      <c r="G75" s="2" t="s">
        <v>36</v>
      </c>
      <c r="H75" s="2" t="s">
        <v>66</v>
      </c>
      <c r="I75" s="2" t="s">
        <v>30</v>
      </c>
      <c r="J75" s="2">
        <v>11</v>
      </c>
      <c r="K75" s="3">
        <v>139.88999999999999</v>
      </c>
      <c r="L75" s="3">
        <v>144.63999999999999</v>
      </c>
      <c r="M75" s="3">
        <v>77.010000000000005</v>
      </c>
      <c r="N75" s="3">
        <v>8780.8953000000001</v>
      </c>
      <c r="O75" s="3">
        <v>9078.2900000000009</v>
      </c>
      <c r="P75" s="3">
        <v>303378</v>
      </c>
      <c r="Q75" s="3">
        <v>65</v>
      </c>
      <c r="R75" s="3">
        <v>65</v>
      </c>
      <c r="S75" s="3">
        <v>25.341100000000001</v>
      </c>
      <c r="T75" s="1">
        <f t="shared" si="8"/>
        <v>-4.75</v>
      </c>
      <c r="U75" s="1">
        <f t="shared" si="9"/>
        <v>38.505000000000003</v>
      </c>
      <c r="V75" s="1">
        <f t="shared" si="10"/>
        <v>-297.39470000000074</v>
      </c>
      <c r="W75" s="1">
        <f t="shared" si="11"/>
        <v>151689</v>
      </c>
      <c r="X75" s="1">
        <f t="shared" si="12"/>
        <v>0</v>
      </c>
      <c r="Y75" s="1">
        <f t="shared" si="13"/>
        <v>12.67055</v>
      </c>
      <c r="Z75">
        <f t="shared" si="14"/>
        <v>1</v>
      </c>
    </row>
    <row r="76" spans="1:26" x14ac:dyDescent="0.2">
      <c r="A76">
        <f t="shared" si="15"/>
        <v>74</v>
      </c>
      <c r="B76">
        <v>2014</v>
      </c>
      <c r="C76" t="s">
        <v>50</v>
      </c>
      <c r="D76" t="s">
        <v>51</v>
      </c>
      <c r="E76">
        <v>4</v>
      </c>
      <c r="F76" s="2">
        <v>173</v>
      </c>
      <c r="G76" s="2" t="s">
        <v>31</v>
      </c>
      <c r="H76" s="2" t="s">
        <v>32</v>
      </c>
      <c r="I76" s="2" t="s">
        <v>33</v>
      </c>
      <c r="J76" s="2">
        <v>311</v>
      </c>
      <c r="K76" s="3">
        <v>189.51</v>
      </c>
      <c r="L76" s="3">
        <v>194.15</v>
      </c>
      <c r="M76" s="3">
        <v>198.36</v>
      </c>
      <c r="N76" s="3">
        <v>11895.5427</v>
      </c>
      <c r="O76" s="3">
        <v>12185</v>
      </c>
      <c r="P76" s="3">
        <v>781361</v>
      </c>
      <c r="Q76" s="3">
        <v>8.3350000000000009</v>
      </c>
      <c r="R76" s="3">
        <v>12.085000000000001</v>
      </c>
      <c r="S76" s="3">
        <v>2.2498</v>
      </c>
      <c r="T76" s="1">
        <f t="shared" si="8"/>
        <v>-4.6400000000000148</v>
      </c>
      <c r="U76" s="1">
        <f t="shared" si="9"/>
        <v>99.18</v>
      </c>
      <c r="V76" s="1">
        <f t="shared" si="10"/>
        <v>-289.45730000000003</v>
      </c>
      <c r="W76" s="1">
        <f t="shared" si="11"/>
        <v>390680.5</v>
      </c>
      <c r="X76" s="1">
        <f t="shared" si="12"/>
        <v>-3.75</v>
      </c>
      <c r="Y76" s="1">
        <f t="shared" si="13"/>
        <v>1.1249</v>
      </c>
      <c r="Z76">
        <f t="shared" si="14"/>
        <v>1</v>
      </c>
    </row>
    <row r="77" spans="1:26" x14ac:dyDescent="0.2">
      <c r="A77">
        <f t="shared" si="15"/>
        <v>75</v>
      </c>
      <c r="B77">
        <v>2015</v>
      </c>
      <c r="C77" t="s">
        <v>52</v>
      </c>
      <c r="D77" t="s">
        <v>79</v>
      </c>
      <c r="E77">
        <v>4</v>
      </c>
      <c r="F77" s="2">
        <v>132</v>
      </c>
      <c r="G77" s="2" t="s">
        <v>49</v>
      </c>
      <c r="H77" s="2" t="s">
        <v>46</v>
      </c>
      <c r="I77" s="2" t="s">
        <v>41</v>
      </c>
      <c r="J77" s="2">
        <v>3</v>
      </c>
      <c r="K77" s="3">
        <v>161.94</v>
      </c>
      <c r="L77" s="3">
        <v>166.53</v>
      </c>
      <c r="M77" s="3">
        <v>37.15</v>
      </c>
      <c r="N77" s="3">
        <v>10164.9738</v>
      </c>
      <c r="O77" s="3">
        <v>10452</v>
      </c>
      <c r="P77" s="3">
        <v>146343</v>
      </c>
      <c r="Q77" s="3">
        <v>58.75</v>
      </c>
      <c r="R77" s="3">
        <v>58.75</v>
      </c>
      <c r="S77" s="3">
        <v>35.233899999999998</v>
      </c>
      <c r="T77" s="1">
        <f t="shared" si="8"/>
        <v>-4.5900000000000034</v>
      </c>
      <c r="U77" s="1">
        <f t="shared" si="9"/>
        <v>18.574999999999999</v>
      </c>
      <c r="V77" s="1">
        <f t="shared" si="10"/>
        <v>-287.02620000000024</v>
      </c>
      <c r="W77" s="1">
        <f t="shared" si="11"/>
        <v>73171.5</v>
      </c>
      <c r="X77" s="1">
        <f t="shared" si="12"/>
        <v>0</v>
      </c>
      <c r="Y77" s="1">
        <f t="shared" si="13"/>
        <v>17.616949999999999</v>
      </c>
      <c r="Z77">
        <f t="shared" si="14"/>
        <v>1</v>
      </c>
    </row>
    <row r="78" spans="1:26" x14ac:dyDescent="0.2">
      <c r="A78">
        <f t="shared" si="15"/>
        <v>76</v>
      </c>
      <c r="B78">
        <v>2015</v>
      </c>
      <c r="C78" t="s">
        <v>84</v>
      </c>
      <c r="D78" t="s">
        <v>85</v>
      </c>
      <c r="E78">
        <v>4</v>
      </c>
      <c r="F78" s="2">
        <v>183</v>
      </c>
      <c r="G78" s="2" t="s">
        <v>36</v>
      </c>
      <c r="H78" s="2" t="s">
        <v>37</v>
      </c>
      <c r="I78" s="2" t="s">
        <v>33</v>
      </c>
      <c r="J78" s="2">
        <v>11</v>
      </c>
      <c r="K78" s="3">
        <v>192.96</v>
      </c>
      <c r="L78" s="3">
        <v>197.54</v>
      </c>
      <c r="M78" s="3">
        <v>296.25</v>
      </c>
      <c r="N78" s="3">
        <v>12112.099200000001</v>
      </c>
      <c r="O78" s="3">
        <v>12398</v>
      </c>
      <c r="P78" s="3">
        <v>1166970</v>
      </c>
      <c r="Q78" s="3">
        <v>0.1875</v>
      </c>
      <c r="R78" s="3">
        <v>0.6875</v>
      </c>
      <c r="S78" s="3">
        <v>0.21049999999999999</v>
      </c>
      <c r="T78" s="1">
        <f t="shared" si="8"/>
        <v>-4.5799999999999841</v>
      </c>
      <c r="U78" s="1">
        <f t="shared" si="9"/>
        <v>148.125</v>
      </c>
      <c r="V78" s="1">
        <f t="shared" si="10"/>
        <v>-285.90079999999944</v>
      </c>
      <c r="W78" s="1">
        <f t="shared" si="11"/>
        <v>583485</v>
      </c>
      <c r="X78" s="1">
        <f t="shared" si="12"/>
        <v>-0.5</v>
      </c>
      <c r="Y78" s="1">
        <f t="shared" si="13"/>
        <v>0.10525</v>
      </c>
      <c r="Z78">
        <f t="shared" si="14"/>
        <v>0</v>
      </c>
    </row>
    <row r="79" spans="1:26" x14ac:dyDescent="0.2">
      <c r="A79">
        <f t="shared" si="15"/>
        <v>77</v>
      </c>
      <c r="B79">
        <v>2014</v>
      </c>
      <c r="C79" t="s">
        <v>50</v>
      </c>
      <c r="D79" t="s">
        <v>51</v>
      </c>
      <c r="E79">
        <v>4</v>
      </c>
      <c r="F79" s="2">
        <v>61</v>
      </c>
      <c r="G79" s="2" t="s">
        <v>38</v>
      </c>
      <c r="H79" s="2" t="s">
        <v>39</v>
      </c>
      <c r="I79" s="2" t="s">
        <v>30</v>
      </c>
      <c r="J79" s="2">
        <v>311</v>
      </c>
      <c r="K79" s="3">
        <v>189.7</v>
      </c>
      <c r="L79" s="3">
        <v>194.15</v>
      </c>
      <c r="M79" s="3">
        <v>198.36</v>
      </c>
      <c r="N79" s="3">
        <v>11907.468999999999</v>
      </c>
      <c r="O79" s="3">
        <v>12185</v>
      </c>
      <c r="P79" s="3">
        <v>781361</v>
      </c>
      <c r="Q79" s="3">
        <v>7.335</v>
      </c>
      <c r="R79" s="3">
        <v>12.085000000000001</v>
      </c>
      <c r="S79" s="3">
        <v>2.2498</v>
      </c>
      <c r="T79" s="1">
        <f t="shared" si="8"/>
        <v>-4.4500000000000171</v>
      </c>
      <c r="U79" s="1">
        <f t="shared" si="9"/>
        <v>99.18</v>
      </c>
      <c r="V79" s="1">
        <f t="shared" si="10"/>
        <v>-277.53100000000086</v>
      </c>
      <c r="W79" s="1">
        <f t="shared" si="11"/>
        <v>390680.5</v>
      </c>
      <c r="X79" s="1">
        <f t="shared" si="12"/>
        <v>-4.7500000000000009</v>
      </c>
      <c r="Y79" s="1">
        <f t="shared" si="13"/>
        <v>1.1249</v>
      </c>
      <c r="Z79">
        <f t="shared" si="14"/>
        <v>1</v>
      </c>
    </row>
    <row r="80" spans="1:26" x14ac:dyDescent="0.2">
      <c r="A80">
        <f t="shared" si="15"/>
        <v>78</v>
      </c>
      <c r="B80">
        <v>2015</v>
      </c>
      <c r="C80" t="s">
        <v>67</v>
      </c>
      <c r="D80" t="s">
        <v>83</v>
      </c>
      <c r="E80">
        <v>4</v>
      </c>
      <c r="F80" s="2">
        <v>72</v>
      </c>
      <c r="G80" s="2" t="s">
        <v>47</v>
      </c>
      <c r="H80" s="2" t="s">
        <v>48</v>
      </c>
      <c r="I80" s="2" t="s">
        <v>41</v>
      </c>
      <c r="J80" s="2">
        <v>311</v>
      </c>
      <c r="K80" s="3">
        <v>140.28</v>
      </c>
      <c r="L80" s="3">
        <v>144.63999999999999</v>
      </c>
      <c r="M80" s="3">
        <v>77.010000000000005</v>
      </c>
      <c r="N80" s="3">
        <v>8805.3756000000012</v>
      </c>
      <c r="O80" s="3">
        <v>9078.2900000000009</v>
      </c>
      <c r="P80" s="3">
        <v>303378</v>
      </c>
      <c r="Q80" s="3">
        <v>67.5</v>
      </c>
      <c r="R80" s="3">
        <v>65</v>
      </c>
      <c r="S80" s="3">
        <v>25.341100000000001</v>
      </c>
      <c r="T80" s="1">
        <f t="shared" si="8"/>
        <v>-4.3599999999999852</v>
      </c>
      <c r="U80" s="1">
        <f t="shared" si="9"/>
        <v>38.505000000000003</v>
      </c>
      <c r="V80" s="1">
        <f t="shared" si="10"/>
        <v>-272.91439999999966</v>
      </c>
      <c r="W80" s="1">
        <f t="shared" si="11"/>
        <v>151689</v>
      </c>
      <c r="X80" s="1">
        <f t="shared" si="12"/>
        <v>2.5</v>
      </c>
      <c r="Y80" s="1">
        <f t="shared" si="13"/>
        <v>12.67055</v>
      </c>
      <c r="Z80">
        <f t="shared" si="14"/>
        <v>1</v>
      </c>
    </row>
    <row r="81" spans="1:26" x14ac:dyDescent="0.2">
      <c r="A81">
        <f t="shared" si="15"/>
        <v>79</v>
      </c>
      <c r="B81">
        <v>2015</v>
      </c>
      <c r="C81" t="s">
        <v>26</v>
      </c>
      <c r="D81" t="s">
        <v>27</v>
      </c>
      <c r="E81">
        <v>4</v>
      </c>
      <c r="F81" s="2">
        <v>102</v>
      </c>
      <c r="G81" s="2" t="s">
        <v>36</v>
      </c>
      <c r="H81" s="2" t="s">
        <v>29</v>
      </c>
      <c r="I81" s="2" t="s">
        <v>41</v>
      </c>
      <c r="J81" s="2">
        <v>11</v>
      </c>
      <c r="K81" s="3">
        <v>250.62</v>
      </c>
      <c r="L81" s="3">
        <v>254.92</v>
      </c>
      <c r="M81" s="3">
        <v>868.14</v>
      </c>
      <c r="N81" s="3">
        <v>15731.4174</v>
      </c>
      <c r="O81" s="3">
        <v>16000</v>
      </c>
      <c r="P81" s="3">
        <v>3419739</v>
      </c>
      <c r="Q81" s="3">
        <v>27.787500000000001</v>
      </c>
      <c r="R81" s="3">
        <v>40.627499999999998</v>
      </c>
      <c r="S81" s="3">
        <v>385.81</v>
      </c>
      <c r="T81" s="1">
        <f t="shared" si="8"/>
        <v>-4.2999999999999829</v>
      </c>
      <c r="U81" s="1">
        <f t="shared" si="9"/>
        <v>434.07</v>
      </c>
      <c r="V81" s="1">
        <f t="shared" si="10"/>
        <v>-268.58259999999973</v>
      </c>
      <c r="W81" s="1">
        <f t="shared" si="11"/>
        <v>1709869.5</v>
      </c>
      <c r="X81" s="1">
        <f t="shared" si="12"/>
        <v>-12.839999999999996</v>
      </c>
      <c r="Y81" s="1">
        <f t="shared" si="13"/>
        <v>192.905</v>
      </c>
      <c r="Z81">
        <f t="shared" si="14"/>
        <v>1</v>
      </c>
    </row>
    <row r="82" spans="1:26" x14ac:dyDescent="0.2">
      <c r="A82">
        <f t="shared" si="15"/>
        <v>80</v>
      </c>
      <c r="B82">
        <v>2014</v>
      </c>
      <c r="C82" t="s">
        <v>72</v>
      </c>
      <c r="D82" t="s">
        <v>73</v>
      </c>
      <c r="E82">
        <v>4</v>
      </c>
      <c r="F82" s="2">
        <v>153</v>
      </c>
      <c r="G82" s="2" t="s">
        <v>44</v>
      </c>
      <c r="H82" s="2" t="s">
        <v>45</v>
      </c>
      <c r="I82" s="2" t="s">
        <v>33</v>
      </c>
      <c r="J82" s="2">
        <v>3711</v>
      </c>
      <c r="K82" s="3">
        <v>190.54</v>
      </c>
      <c r="L82" s="3">
        <v>194.83</v>
      </c>
      <c r="M82" s="3">
        <v>87.97</v>
      </c>
      <c r="N82" s="3">
        <v>11960.1958</v>
      </c>
      <c r="O82" s="3">
        <v>12228</v>
      </c>
      <c r="P82" s="3">
        <v>346541</v>
      </c>
      <c r="Q82" s="3">
        <v>4</v>
      </c>
      <c r="R82" s="3">
        <v>6.35</v>
      </c>
      <c r="S82" s="3">
        <v>1.4718</v>
      </c>
      <c r="T82" s="1">
        <f t="shared" si="8"/>
        <v>-4.2900000000000205</v>
      </c>
      <c r="U82" s="1">
        <f t="shared" si="9"/>
        <v>43.984999999999999</v>
      </c>
      <c r="V82" s="1">
        <f t="shared" si="10"/>
        <v>-267.80420000000049</v>
      </c>
      <c r="W82" s="1">
        <f t="shared" si="11"/>
        <v>173270.5</v>
      </c>
      <c r="X82" s="1">
        <f t="shared" si="12"/>
        <v>-2.3499999999999996</v>
      </c>
      <c r="Y82" s="1">
        <f t="shared" si="13"/>
        <v>0.7359</v>
      </c>
      <c r="Z82">
        <f t="shared" si="14"/>
        <v>0</v>
      </c>
    </row>
    <row r="83" spans="1:26" x14ac:dyDescent="0.2">
      <c r="A83">
        <f t="shared" si="15"/>
        <v>81</v>
      </c>
      <c r="B83">
        <v>2015</v>
      </c>
      <c r="C83" t="s">
        <v>54</v>
      </c>
      <c r="D83" t="s">
        <v>69</v>
      </c>
      <c r="E83">
        <v>4</v>
      </c>
      <c r="F83" s="2">
        <v>41</v>
      </c>
      <c r="G83" s="2" t="s">
        <v>31</v>
      </c>
      <c r="H83" s="2" t="s">
        <v>62</v>
      </c>
      <c r="I83" s="2" t="s">
        <v>30</v>
      </c>
      <c r="J83" s="2">
        <v>311</v>
      </c>
      <c r="K83" s="3">
        <v>242.54</v>
      </c>
      <c r="L83" s="3">
        <v>246.63</v>
      </c>
      <c r="M83" s="3">
        <v>212.78</v>
      </c>
      <c r="N83" s="3">
        <v>15224.2358</v>
      </c>
      <c r="O83" s="3">
        <v>15479</v>
      </c>
      <c r="P83" s="3">
        <v>838171</v>
      </c>
      <c r="Q83" s="3">
        <v>43.75</v>
      </c>
      <c r="R83" s="3">
        <v>32.5</v>
      </c>
      <c r="S83" s="3">
        <v>207.72</v>
      </c>
      <c r="T83" s="1">
        <f t="shared" si="8"/>
        <v>-4.0900000000000034</v>
      </c>
      <c r="U83" s="1">
        <f t="shared" si="9"/>
        <v>106.39</v>
      </c>
      <c r="V83" s="1">
        <f t="shared" si="10"/>
        <v>-254.76419999999962</v>
      </c>
      <c r="W83" s="1">
        <f t="shared" si="11"/>
        <v>419085.5</v>
      </c>
      <c r="X83" s="1">
        <f t="shared" si="12"/>
        <v>11.25</v>
      </c>
      <c r="Y83" s="1">
        <f t="shared" si="13"/>
        <v>103.86</v>
      </c>
      <c r="Z83">
        <f t="shared" si="14"/>
        <v>1</v>
      </c>
    </row>
    <row r="84" spans="1:26" x14ac:dyDescent="0.2">
      <c r="A84">
        <f t="shared" si="15"/>
        <v>82</v>
      </c>
      <c r="B84">
        <v>2014</v>
      </c>
      <c r="C84" t="s">
        <v>50</v>
      </c>
      <c r="D84" t="s">
        <v>51</v>
      </c>
      <c r="E84">
        <v>4</v>
      </c>
      <c r="F84" s="2">
        <v>112</v>
      </c>
      <c r="G84" s="2" t="s">
        <v>40</v>
      </c>
      <c r="H84" s="2" t="s">
        <v>39</v>
      </c>
      <c r="I84" s="2" t="s">
        <v>41</v>
      </c>
      <c r="J84" s="2">
        <v>311</v>
      </c>
      <c r="K84" s="3">
        <v>190.13</v>
      </c>
      <c r="L84" s="3">
        <v>194.15</v>
      </c>
      <c r="M84" s="3">
        <v>198.36</v>
      </c>
      <c r="N84" s="3">
        <v>11934.4601</v>
      </c>
      <c r="O84" s="3">
        <v>12185</v>
      </c>
      <c r="P84" s="3">
        <v>781361</v>
      </c>
      <c r="Q84" s="3">
        <v>6.335</v>
      </c>
      <c r="R84" s="3">
        <v>12.085000000000001</v>
      </c>
      <c r="S84" s="3">
        <v>2.2498</v>
      </c>
      <c r="T84" s="1">
        <f t="shared" si="8"/>
        <v>-4.0200000000000102</v>
      </c>
      <c r="U84" s="1">
        <f t="shared" si="9"/>
        <v>99.18</v>
      </c>
      <c r="V84" s="1">
        <f t="shared" si="10"/>
        <v>-250.53989999999976</v>
      </c>
      <c r="W84" s="1">
        <f t="shared" si="11"/>
        <v>390680.5</v>
      </c>
      <c r="X84" s="1">
        <f t="shared" si="12"/>
        <v>-5.7500000000000009</v>
      </c>
      <c r="Y84" s="1">
        <f t="shared" si="13"/>
        <v>1.1249</v>
      </c>
      <c r="Z84">
        <f t="shared" si="14"/>
        <v>1</v>
      </c>
    </row>
    <row r="85" spans="1:26" x14ac:dyDescent="0.2">
      <c r="A85">
        <f t="shared" si="15"/>
        <v>83</v>
      </c>
      <c r="B85">
        <v>2014</v>
      </c>
      <c r="C85" t="s">
        <v>64</v>
      </c>
      <c r="D85" t="s">
        <v>78</v>
      </c>
      <c r="E85">
        <v>4</v>
      </c>
      <c r="F85" s="2">
        <v>153</v>
      </c>
      <c r="G85" s="2" t="s">
        <v>44</v>
      </c>
      <c r="H85" s="2" t="s">
        <v>45</v>
      </c>
      <c r="I85" s="2" t="s">
        <v>33</v>
      </c>
      <c r="J85" s="2">
        <v>3711</v>
      </c>
      <c r="K85" s="3">
        <v>191.37</v>
      </c>
      <c r="L85" s="3">
        <v>195.37</v>
      </c>
      <c r="M85" s="3">
        <v>228.55</v>
      </c>
      <c r="N85" s="3">
        <v>12012.294900000001</v>
      </c>
      <c r="O85" s="3">
        <v>12262</v>
      </c>
      <c r="P85" s="3">
        <v>900285</v>
      </c>
      <c r="Q85" s="3">
        <v>7</v>
      </c>
      <c r="R85" s="3">
        <v>15</v>
      </c>
      <c r="S85" s="3">
        <v>15.3675</v>
      </c>
      <c r="T85" s="1">
        <f t="shared" si="8"/>
        <v>-4</v>
      </c>
      <c r="U85" s="1">
        <f t="shared" si="9"/>
        <v>114.27500000000001</v>
      </c>
      <c r="V85" s="1">
        <f t="shared" si="10"/>
        <v>-249.70509999999922</v>
      </c>
      <c r="W85" s="1">
        <f t="shared" si="11"/>
        <v>450142.5</v>
      </c>
      <c r="X85" s="1">
        <f t="shared" si="12"/>
        <v>-8</v>
      </c>
      <c r="Y85" s="1">
        <f t="shared" si="13"/>
        <v>7.6837499999999999</v>
      </c>
      <c r="Z85">
        <f t="shared" si="14"/>
        <v>1</v>
      </c>
    </row>
    <row r="86" spans="1:26" x14ac:dyDescent="0.2">
      <c r="A86">
        <f t="shared" si="15"/>
        <v>84</v>
      </c>
      <c r="B86">
        <v>2014</v>
      </c>
      <c r="C86" t="s">
        <v>50</v>
      </c>
      <c r="D86" t="s">
        <v>77</v>
      </c>
      <c r="E86">
        <v>4</v>
      </c>
      <c r="F86" s="2">
        <v>51</v>
      </c>
      <c r="G86" s="2" t="s">
        <v>36</v>
      </c>
      <c r="H86" s="2" t="s">
        <v>66</v>
      </c>
      <c r="I86" s="2" t="s">
        <v>30</v>
      </c>
      <c r="J86" s="2">
        <v>11</v>
      </c>
      <c r="K86" s="3">
        <v>213.25</v>
      </c>
      <c r="L86" s="3">
        <v>217.17</v>
      </c>
      <c r="M86" s="3">
        <v>97.19</v>
      </c>
      <c r="N86" s="3">
        <v>13385.702500000001</v>
      </c>
      <c r="O86" s="3">
        <v>13630</v>
      </c>
      <c r="P86" s="3">
        <v>382849</v>
      </c>
      <c r="Q86" s="3">
        <v>12.6675</v>
      </c>
      <c r="R86" s="3">
        <v>16.25</v>
      </c>
      <c r="S86" s="3">
        <v>60.879800000000003</v>
      </c>
      <c r="T86" s="1">
        <f t="shared" si="8"/>
        <v>-3.9199999999999875</v>
      </c>
      <c r="U86" s="1">
        <f t="shared" si="9"/>
        <v>48.594999999999999</v>
      </c>
      <c r="V86" s="1">
        <f t="shared" si="10"/>
        <v>-244.29749999999876</v>
      </c>
      <c r="W86" s="1">
        <f t="shared" si="11"/>
        <v>191424.5</v>
      </c>
      <c r="X86" s="1">
        <f t="shared" si="12"/>
        <v>-3.5824999999999996</v>
      </c>
      <c r="Y86" s="1">
        <f t="shared" si="13"/>
        <v>30.439900000000002</v>
      </c>
      <c r="Z86">
        <f t="shared" si="14"/>
        <v>1</v>
      </c>
    </row>
    <row r="87" spans="1:26" x14ac:dyDescent="0.2">
      <c r="A87">
        <f t="shared" si="15"/>
        <v>85</v>
      </c>
      <c r="B87">
        <v>2014</v>
      </c>
      <c r="C87" t="s">
        <v>54</v>
      </c>
      <c r="D87" t="s">
        <v>55</v>
      </c>
      <c r="E87">
        <v>4</v>
      </c>
      <c r="F87" s="2">
        <v>82</v>
      </c>
      <c r="G87" s="2" t="s">
        <v>31</v>
      </c>
      <c r="H87" s="2" t="s">
        <v>46</v>
      </c>
      <c r="I87" s="2" t="s">
        <v>41</v>
      </c>
      <c r="J87" s="2">
        <v>311</v>
      </c>
      <c r="K87" s="3">
        <v>195.36</v>
      </c>
      <c r="L87" s="3">
        <v>199.21</v>
      </c>
      <c r="M87" s="3">
        <v>340.41</v>
      </c>
      <c r="N87" s="3">
        <v>12262.747200000002</v>
      </c>
      <c r="O87" s="3">
        <v>12503</v>
      </c>
      <c r="P87" s="3">
        <v>1340951</v>
      </c>
      <c r="Q87" s="3">
        <v>2.625</v>
      </c>
      <c r="R87" s="3">
        <v>1.0625</v>
      </c>
      <c r="S87" s="3">
        <v>15.753399999999999</v>
      </c>
      <c r="T87" s="1">
        <f t="shared" si="8"/>
        <v>-3.8499999999999943</v>
      </c>
      <c r="U87" s="1">
        <f t="shared" si="9"/>
        <v>170.20500000000001</v>
      </c>
      <c r="V87" s="1">
        <f t="shared" si="10"/>
        <v>-240.25279999999839</v>
      </c>
      <c r="W87" s="1">
        <f t="shared" si="11"/>
        <v>670475.5</v>
      </c>
      <c r="X87" s="1">
        <f t="shared" si="12"/>
        <v>1.5625</v>
      </c>
      <c r="Y87" s="1">
        <f t="shared" si="13"/>
        <v>7.8766999999999996</v>
      </c>
      <c r="Z87">
        <f t="shared" si="14"/>
        <v>0</v>
      </c>
    </row>
    <row r="88" spans="1:26" x14ac:dyDescent="0.2">
      <c r="A88">
        <f t="shared" si="15"/>
        <v>86</v>
      </c>
      <c r="B88">
        <v>2015</v>
      </c>
      <c r="C88" t="s">
        <v>72</v>
      </c>
      <c r="D88" t="s">
        <v>74</v>
      </c>
      <c r="E88">
        <v>4</v>
      </c>
      <c r="F88" s="2">
        <v>41</v>
      </c>
      <c r="G88" s="2" t="s">
        <v>31</v>
      </c>
      <c r="H88" s="2" t="s">
        <v>62</v>
      </c>
      <c r="I88" s="2" t="s">
        <v>30</v>
      </c>
      <c r="J88" s="2">
        <v>311</v>
      </c>
      <c r="K88" s="3">
        <v>170.75</v>
      </c>
      <c r="L88" s="3">
        <v>174.51</v>
      </c>
      <c r="M88" s="3">
        <v>222.67</v>
      </c>
      <c r="N88" s="3">
        <v>10717.977500000001</v>
      </c>
      <c r="O88" s="3">
        <v>10953</v>
      </c>
      <c r="P88" s="3">
        <v>877097</v>
      </c>
      <c r="Q88" s="3">
        <v>11.1</v>
      </c>
      <c r="R88" s="3">
        <v>13.05</v>
      </c>
      <c r="S88" s="3">
        <v>5.4372999999999996</v>
      </c>
      <c r="T88" s="1">
        <f t="shared" si="8"/>
        <v>-3.7599999999999909</v>
      </c>
      <c r="U88" s="1">
        <f t="shared" si="9"/>
        <v>111.33499999999999</v>
      </c>
      <c r="V88" s="1">
        <f t="shared" si="10"/>
        <v>-235.02249999999913</v>
      </c>
      <c r="W88" s="1">
        <f t="shared" si="11"/>
        <v>438548.5</v>
      </c>
      <c r="X88" s="1">
        <f t="shared" si="12"/>
        <v>-1.9500000000000011</v>
      </c>
      <c r="Y88" s="1">
        <f t="shared" si="13"/>
        <v>2.7186499999999998</v>
      </c>
      <c r="Z88">
        <f t="shared" si="14"/>
        <v>1</v>
      </c>
    </row>
    <row r="89" spans="1:26" x14ac:dyDescent="0.2">
      <c r="A89">
        <f t="shared" si="15"/>
        <v>87</v>
      </c>
      <c r="B89">
        <v>2014</v>
      </c>
      <c r="C89" t="s">
        <v>50</v>
      </c>
      <c r="D89" t="s">
        <v>80</v>
      </c>
      <c r="E89">
        <v>4</v>
      </c>
      <c r="F89" s="2">
        <v>61</v>
      </c>
      <c r="G89" s="2" t="s">
        <v>38</v>
      </c>
      <c r="H89" s="2" t="s">
        <v>39</v>
      </c>
      <c r="I89" s="2" t="s">
        <v>30</v>
      </c>
      <c r="J89" s="2">
        <v>311</v>
      </c>
      <c r="K89" s="3">
        <v>208.55</v>
      </c>
      <c r="L89" s="3">
        <v>212.3</v>
      </c>
      <c r="M89" s="3">
        <v>100.21</v>
      </c>
      <c r="N89" s="3">
        <v>13090.683500000001</v>
      </c>
      <c r="O89" s="3">
        <v>13324</v>
      </c>
      <c r="P89" s="3">
        <v>394707</v>
      </c>
      <c r="Q89" s="3">
        <v>41.252499999999998</v>
      </c>
      <c r="R89" s="3">
        <v>23.75</v>
      </c>
      <c r="S89" s="3">
        <v>150.47</v>
      </c>
      <c r="T89" s="1">
        <f t="shared" si="8"/>
        <v>-3.75</v>
      </c>
      <c r="U89" s="1">
        <f t="shared" si="9"/>
        <v>50.104999999999997</v>
      </c>
      <c r="V89" s="1">
        <f t="shared" si="10"/>
        <v>-233.316499999999</v>
      </c>
      <c r="W89" s="1">
        <f t="shared" si="11"/>
        <v>197353.5</v>
      </c>
      <c r="X89" s="1">
        <f t="shared" si="12"/>
        <v>17.502499999999998</v>
      </c>
      <c r="Y89" s="1">
        <f t="shared" si="13"/>
        <v>75.234999999999999</v>
      </c>
      <c r="Z89">
        <f t="shared" si="14"/>
        <v>1</v>
      </c>
    </row>
    <row r="90" spans="1:26" x14ac:dyDescent="0.2">
      <c r="A90">
        <f t="shared" si="15"/>
        <v>88</v>
      </c>
      <c r="B90">
        <v>2015</v>
      </c>
      <c r="C90" t="s">
        <v>81</v>
      </c>
      <c r="D90" t="s">
        <v>82</v>
      </c>
      <c r="E90">
        <v>4</v>
      </c>
      <c r="F90" s="2">
        <v>92</v>
      </c>
      <c r="G90" s="2" t="s">
        <v>42</v>
      </c>
      <c r="H90" s="2" t="s">
        <v>43</v>
      </c>
      <c r="I90" s="2" t="s">
        <v>41</v>
      </c>
      <c r="J90" s="2">
        <v>311</v>
      </c>
      <c r="K90" s="3">
        <v>240.36</v>
      </c>
      <c r="L90" s="3">
        <v>243.95</v>
      </c>
      <c r="M90" s="3">
        <v>106.45</v>
      </c>
      <c r="N90" s="3">
        <v>15087.397200000001</v>
      </c>
      <c r="O90" s="3">
        <v>15311</v>
      </c>
      <c r="P90" s="3">
        <v>419314</v>
      </c>
      <c r="Q90" s="3">
        <v>5.7750000000000004</v>
      </c>
      <c r="R90" s="3">
        <v>17.399999999999999</v>
      </c>
      <c r="S90" s="3">
        <v>31.9801</v>
      </c>
      <c r="T90" s="1">
        <f t="shared" si="8"/>
        <v>-3.589999999999975</v>
      </c>
      <c r="U90" s="1">
        <f t="shared" si="9"/>
        <v>53.225000000000001</v>
      </c>
      <c r="V90" s="1">
        <f t="shared" si="10"/>
        <v>-223.60279999999875</v>
      </c>
      <c r="W90" s="1">
        <f t="shared" si="11"/>
        <v>209657</v>
      </c>
      <c r="X90" s="1">
        <f t="shared" si="12"/>
        <v>-11.624999999999998</v>
      </c>
      <c r="Y90" s="1">
        <f t="shared" si="13"/>
        <v>15.99005</v>
      </c>
      <c r="Z90">
        <f t="shared" si="14"/>
        <v>1</v>
      </c>
    </row>
    <row r="91" spans="1:26" x14ac:dyDescent="0.2">
      <c r="A91">
        <f t="shared" si="15"/>
        <v>89</v>
      </c>
      <c r="B91">
        <v>2015</v>
      </c>
      <c r="C91" t="s">
        <v>60</v>
      </c>
      <c r="D91" t="s">
        <v>61</v>
      </c>
      <c r="E91">
        <v>6</v>
      </c>
      <c r="F91" s="2">
        <v>51</v>
      </c>
      <c r="G91" s="2" t="s">
        <v>36</v>
      </c>
      <c r="H91" s="2" t="s">
        <v>66</v>
      </c>
      <c r="I91" s="2" t="s">
        <v>30</v>
      </c>
      <c r="J91" s="2">
        <v>11</v>
      </c>
      <c r="K91" s="3">
        <v>260.06</v>
      </c>
      <c r="L91" s="3">
        <v>263.64</v>
      </c>
      <c r="M91" s="3">
        <v>207.31</v>
      </c>
      <c r="N91" s="3">
        <v>16323.966200000001</v>
      </c>
      <c r="O91" s="3">
        <v>16547</v>
      </c>
      <c r="P91" s="3">
        <v>816614</v>
      </c>
      <c r="Q91" s="3">
        <v>27</v>
      </c>
      <c r="R91" s="3">
        <v>25.5</v>
      </c>
      <c r="S91" s="3">
        <v>40.421999999999997</v>
      </c>
      <c r="T91" s="1">
        <f t="shared" si="8"/>
        <v>-3.5799999999999841</v>
      </c>
      <c r="U91" s="1">
        <f t="shared" si="9"/>
        <v>69.103333333333339</v>
      </c>
      <c r="V91" s="1">
        <f t="shared" si="10"/>
        <v>-223.03379999999925</v>
      </c>
      <c r="W91" s="1">
        <f t="shared" si="11"/>
        <v>272204.66666666669</v>
      </c>
      <c r="X91" s="1">
        <f t="shared" si="12"/>
        <v>1.5</v>
      </c>
      <c r="Y91" s="1">
        <f t="shared" si="13"/>
        <v>13.473999999999998</v>
      </c>
      <c r="Z91">
        <f t="shared" si="14"/>
        <v>1</v>
      </c>
    </row>
    <row r="92" spans="1:26" x14ac:dyDescent="0.2">
      <c r="A92">
        <f t="shared" si="15"/>
        <v>90</v>
      </c>
      <c r="B92">
        <v>2015</v>
      </c>
      <c r="C92" t="s">
        <v>52</v>
      </c>
      <c r="D92" t="s">
        <v>53</v>
      </c>
      <c r="E92">
        <v>4</v>
      </c>
      <c r="F92" s="2">
        <v>132</v>
      </c>
      <c r="G92" s="2" t="s">
        <v>49</v>
      </c>
      <c r="H92" s="2" t="s">
        <v>46</v>
      </c>
      <c r="I92" s="2" t="s">
        <v>41</v>
      </c>
      <c r="J92" s="2">
        <v>3</v>
      </c>
      <c r="K92" s="3">
        <v>168.47</v>
      </c>
      <c r="L92" s="3">
        <v>172.02</v>
      </c>
      <c r="M92" s="3">
        <v>125.18</v>
      </c>
      <c r="N92" s="3">
        <v>10574.8619</v>
      </c>
      <c r="O92" s="3">
        <v>10797</v>
      </c>
      <c r="P92" s="3">
        <v>493089</v>
      </c>
      <c r="Q92" s="3">
        <v>4.2</v>
      </c>
      <c r="R92" s="3">
        <v>2.2000000000000002</v>
      </c>
      <c r="S92" s="3">
        <v>1.6871</v>
      </c>
      <c r="T92" s="1">
        <f t="shared" si="8"/>
        <v>-3.5500000000000114</v>
      </c>
      <c r="U92" s="1">
        <f t="shared" si="9"/>
        <v>62.59</v>
      </c>
      <c r="V92" s="1">
        <f t="shared" si="10"/>
        <v>-222.13810000000012</v>
      </c>
      <c r="W92" s="1">
        <f t="shared" si="11"/>
        <v>246544.5</v>
      </c>
      <c r="X92" s="1">
        <f t="shared" si="12"/>
        <v>2</v>
      </c>
      <c r="Y92" s="1">
        <f t="shared" si="13"/>
        <v>0.84355000000000002</v>
      </c>
      <c r="Z92">
        <f t="shared" si="14"/>
        <v>0</v>
      </c>
    </row>
    <row r="93" spans="1:26" x14ac:dyDescent="0.2">
      <c r="A93">
        <f t="shared" si="15"/>
        <v>91</v>
      </c>
      <c r="B93">
        <v>2015</v>
      </c>
      <c r="C93" t="s">
        <v>34</v>
      </c>
      <c r="D93" t="s">
        <v>35</v>
      </c>
      <c r="E93">
        <v>4</v>
      </c>
      <c r="F93" s="2">
        <v>72</v>
      </c>
      <c r="G93" s="2" t="s">
        <v>47</v>
      </c>
      <c r="H93" s="2" t="s">
        <v>48</v>
      </c>
      <c r="I93" s="2" t="s">
        <v>41</v>
      </c>
      <c r="J93" s="2">
        <v>311</v>
      </c>
      <c r="K93" s="3">
        <v>124.05</v>
      </c>
      <c r="L93" s="3">
        <v>127.58</v>
      </c>
      <c r="M93" s="3">
        <v>1197.8900000000001</v>
      </c>
      <c r="N93" s="3">
        <v>7786.6185000000005</v>
      </c>
      <c r="O93" s="3">
        <v>8007.33</v>
      </c>
      <c r="P93" s="3">
        <v>4718559</v>
      </c>
      <c r="Q93" s="3">
        <v>0</v>
      </c>
      <c r="R93" s="3">
        <v>0</v>
      </c>
      <c r="S93" s="3">
        <v>0</v>
      </c>
      <c r="T93" s="1">
        <f t="shared" si="8"/>
        <v>-3.5300000000000011</v>
      </c>
      <c r="U93" s="1">
        <f t="shared" si="9"/>
        <v>598.94500000000005</v>
      </c>
      <c r="V93" s="1">
        <f t="shared" si="10"/>
        <v>-220.71149999999943</v>
      </c>
      <c r="W93" s="1">
        <f t="shared" si="11"/>
        <v>2359279.5</v>
      </c>
      <c r="X93" s="1">
        <f t="shared" si="12"/>
        <v>0</v>
      </c>
      <c r="Y93" s="1">
        <f t="shared" si="13"/>
        <v>0</v>
      </c>
      <c r="Z93">
        <f t="shared" si="14"/>
        <v>0</v>
      </c>
    </row>
    <row r="94" spans="1:26" x14ac:dyDescent="0.2">
      <c r="A94">
        <f t="shared" si="15"/>
        <v>92</v>
      </c>
      <c r="B94">
        <v>2014</v>
      </c>
      <c r="C94" t="s">
        <v>72</v>
      </c>
      <c r="D94" t="s">
        <v>73</v>
      </c>
      <c r="E94">
        <v>4</v>
      </c>
      <c r="F94" s="2">
        <v>41</v>
      </c>
      <c r="G94" s="2" t="s">
        <v>31</v>
      </c>
      <c r="H94" s="2" t="s">
        <v>62</v>
      </c>
      <c r="I94" s="2" t="s">
        <v>30</v>
      </c>
      <c r="J94" s="2">
        <v>311</v>
      </c>
      <c r="K94" s="3">
        <v>191.44</v>
      </c>
      <c r="L94" s="3">
        <v>194.83</v>
      </c>
      <c r="M94" s="3">
        <v>87.97</v>
      </c>
      <c r="N94" s="3">
        <v>12016.6888</v>
      </c>
      <c r="O94" s="3">
        <v>12228</v>
      </c>
      <c r="P94" s="3">
        <v>346541</v>
      </c>
      <c r="Q94" s="3">
        <v>5.75</v>
      </c>
      <c r="R94" s="3">
        <v>6.35</v>
      </c>
      <c r="S94" s="3">
        <v>1.4718</v>
      </c>
      <c r="T94" s="1">
        <f t="shared" si="8"/>
        <v>-3.3900000000000148</v>
      </c>
      <c r="U94" s="1">
        <f t="shared" si="9"/>
        <v>43.984999999999999</v>
      </c>
      <c r="V94" s="1">
        <f t="shared" si="10"/>
        <v>-211.3112000000001</v>
      </c>
      <c r="W94" s="1">
        <f t="shared" si="11"/>
        <v>173270.5</v>
      </c>
      <c r="X94" s="1">
        <f t="shared" si="12"/>
        <v>-0.59999999999999964</v>
      </c>
      <c r="Y94" s="1">
        <f t="shared" si="13"/>
        <v>0.7359</v>
      </c>
      <c r="Z94">
        <f t="shared" si="14"/>
        <v>1</v>
      </c>
    </row>
    <row r="95" spans="1:26" x14ac:dyDescent="0.2">
      <c r="A95">
        <f t="shared" si="15"/>
        <v>93</v>
      </c>
      <c r="B95">
        <v>2014</v>
      </c>
      <c r="C95" t="s">
        <v>64</v>
      </c>
      <c r="D95" t="s">
        <v>78</v>
      </c>
      <c r="E95">
        <v>4</v>
      </c>
      <c r="F95" s="2">
        <v>82</v>
      </c>
      <c r="G95" s="2" t="s">
        <v>31</v>
      </c>
      <c r="H95" s="2" t="s">
        <v>46</v>
      </c>
      <c r="I95" s="2" t="s">
        <v>41</v>
      </c>
      <c r="J95" s="2">
        <v>311</v>
      </c>
      <c r="K95" s="3">
        <v>192.01</v>
      </c>
      <c r="L95" s="3">
        <v>195.37</v>
      </c>
      <c r="M95" s="3">
        <v>228.55</v>
      </c>
      <c r="N95" s="3">
        <v>12052.467699999999</v>
      </c>
      <c r="O95" s="3">
        <v>12262</v>
      </c>
      <c r="P95" s="3">
        <v>900285</v>
      </c>
      <c r="Q95" s="3">
        <v>8</v>
      </c>
      <c r="R95" s="3">
        <v>15</v>
      </c>
      <c r="S95" s="3">
        <v>15.3675</v>
      </c>
      <c r="T95" s="1">
        <f t="shared" si="8"/>
        <v>-3.3600000000000136</v>
      </c>
      <c r="U95" s="1">
        <f t="shared" si="9"/>
        <v>114.27500000000001</v>
      </c>
      <c r="V95" s="1">
        <f t="shared" si="10"/>
        <v>-209.53230000000076</v>
      </c>
      <c r="W95" s="1">
        <f t="shared" si="11"/>
        <v>450142.5</v>
      </c>
      <c r="X95" s="1">
        <f t="shared" si="12"/>
        <v>-7</v>
      </c>
      <c r="Y95" s="1">
        <f t="shared" si="13"/>
        <v>7.6837499999999999</v>
      </c>
      <c r="Z95">
        <f t="shared" si="14"/>
        <v>1</v>
      </c>
    </row>
    <row r="96" spans="1:26" x14ac:dyDescent="0.2">
      <c r="A96">
        <f t="shared" si="15"/>
        <v>94</v>
      </c>
      <c r="B96">
        <v>2015</v>
      </c>
      <c r="C96" t="s">
        <v>81</v>
      </c>
      <c r="D96" t="s">
        <v>82</v>
      </c>
      <c r="E96">
        <v>4</v>
      </c>
      <c r="F96" s="2">
        <v>82</v>
      </c>
      <c r="G96" s="2" t="s">
        <v>31</v>
      </c>
      <c r="H96" s="2" t="s">
        <v>46</v>
      </c>
      <c r="I96" s="2" t="s">
        <v>41</v>
      </c>
      <c r="J96" s="2">
        <v>311</v>
      </c>
      <c r="K96" s="3">
        <v>240.78</v>
      </c>
      <c r="L96" s="3">
        <v>243.95</v>
      </c>
      <c r="M96" s="3">
        <v>106.45</v>
      </c>
      <c r="N96" s="3">
        <v>15113.760600000001</v>
      </c>
      <c r="O96" s="3">
        <v>15311</v>
      </c>
      <c r="P96" s="3">
        <v>419314</v>
      </c>
      <c r="Q96" s="3">
        <v>9.5250000000000004</v>
      </c>
      <c r="R96" s="3">
        <v>17.399999999999999</v>
      </c>
      <c r="S96" s="3">
        <v>31.9801</v>
      </c>
      <c r="T96" s="1">
        <f t="shared" si="8"/>
        <v>-3.1699999999999875</v>
      </c>
      <c r="U96" s="1">
        <f t="shared" si="9"/>
        <v>53.225000000000001</v>
      </c>
      <c r="V96" s="1">
        <f t="shared" si="10"/>
        <v>-197.23939999999857</v>
      </c>
      <c r="W96" s="1">
        <f t="shared" si="11"/>
        <v>209657</v>
      </c>
      <c r="X96" s="1">
        <f t="shared" si="12"/>
        <v>-7.8749999999999982</v>
      </c>
      <c r="Y96" s="1">
        <f t="shared" si="13"/>
        <v>15.99005</v>
      </c>
      <c r="Z96">
        <f t="shared" si="14"/>
        <v>1</v>
      </c>
    </row>
    <row r="97" spans="1:26" x14ac:dyDescent="0.2">
      <c r="A97">
        <f t="shared" si="15"/>
        <v>95</v>
      </c>
      <c r="B97">
        <v>2015</v>
      </c>
      <c r="C97" t="s">
        <v>60</v>
      </c>
      <c r="D97" t="s">
        <v>61</v>
      </c>
      <c r="E97">
        <v>6</v>
      </c>
      <c r="F97" s="2">
        <v>112</v>
      </c>
      <c r="G97" s="2" t="s">
        <v>40</v>
      </c>
      <c r="H97" s="2" t="s">
        <v>39</v>
      </c>
      <c r="I97" s="2" t="s">
        <v>41</v>
      </c>
      <c r="J97" s="2">
        <v>311</v>
      </c>
      <c r="K97" s="3">
        <v>260.57</v>
      </c>
      <c r="L97" s="3">
        <v>263.64</v>
      </c>
      <c r="M97" s="3">
        <v>207.31</v>
      </c>
      <c r="N97" s="3">
        <v>16355.9789</v>
      </c>
      <c r="O97" s="3">
        <v>16547</v>
      </c>
      <c r="P97" s="3">
        <v>816614</v>
      </c>
      <c r="Q97" s="3">
        <v>14.333299999999999</v>
      </c>
      <c r="R97" s="3">
        <v>25.5</v>
      </c>
      <c r="S97" s="3">
        <v>40.421999999999997</v>
      </c>
      <c r="T97" s="1">
        <f t="shared" si="8"/>
        <v>-3.0699999999999932</v>
      </c>
      <c r="U97" s="1">
        <f t="shared" si="9"/>
        <v>69.103333333333339</v>
      </c>
      <c r="V97" s="1">
        <f t="shared" si="10"/>
        <v>-191.02109999999993</v>
      </c>
      <c r="W97" s="1">
        <f t="shared" si="11"/>
        <v>272204.66666666669</v>
      </c>
      <c r="X97" s="1">
        <f t="shared" si="12"/>
        <v>-11.166700000000001</v>
      </c>
      <c r="Y97" s="1">
        <f t="shared" si="13"/>
        <v>13.473999999999998</v>
      </c>
      <c r="Z97">
        <f t="shared" si="14"/>
        <v>1</v>
      </c>
    </row>
    <row r="98" spans="1:26" x14ac:dyDescent="0.2">
      <c r="A98">
        <f t="shared" si="15"/>
        <v>96</v>
      </c>
      <c r="B98">
        <v>2015</v>
      </c>
      <c r="C98" t="s">
        <v>52</v>
      </c>
      <c r="D98" t="s">
        <v>53</v>
      </c>
      <c r="E98">
        <v>4</v>
      </c>
      <c r="F98" s="2">
        <v>142</v>
      </c>
      <c r="G98" s="2" t="s">
        <v>63</v>
      </c>
      <c r="H98" s="2" t="s">
        <v>46</v>
      </c>
      <c r="I98" s="2" t="s">
        <v>41</v>
      </c>
      <c r="J98" s="2">
        <v>3</v>
      </c>
      <c r="K98" s="3">
        <v>169.1</v>
      </c>
      <c r="L98" s="3">
        <v>172.02</v>
      </c>
      <c r="M98" s="3">
        <v>125.18</v>
      </c>
      <c r="N98" s="3">
        <v>10614.407000000001</v>
      </c>
      <c r="O98" s="3">
        <v>10797</v>
      </c>
      <c r="P98" s="3">
        <v>493089</v>
      </c>
      <c r="Q98" s="3">
        <v>2.1</v>
      </c>
      <c r="R98" s="3">
        <v>2.2000000000000002</v>
      </c>
      <c r="S98" s="3">
        <v>1.6871</v>
      </c>
      <c r="T98" s="1">
        <f t="shared" si="8"/>
        <v>-2.9200000000000159</v>
      </c>
      <c r="U98" s="1">
        <f t="shared" si="9"/>
        <v>62.59</v>
      </c>
      <c r="V98" s="1">
        <f t="shared" si="10"/>
        <v>-182.59299999999894</v>
      </c>
      <c r="W98" s="1">
        <f t="shared" si="11"/>
        <v>246544.5</v>
      </c>
      <c r="X98" s="1">
        <f t="shared" si="12"/>
        <v>-0.10000000000000009</v>
      </c>
      <c r="Y98" s="1">
        <f t="shared" si="13"/>
        <v>0.84355000000000002</v>
      </c>
      <c r="Z98">
        <f t="shared" si="14"/>
        <v>0</v>
      </c>
    </row>
    <row r="99" spans="1:26" x14ac:dyDescent="0.2">
      <c r="A99">
        <f t="shared" si="15"/>
        <v>97</v>
      </c>
      <c r="B99">
        <v>2015</v>
      </c>
      <c r="C99" t="s">
        <v>54</v>
      </c>
      <c r="D99" t="s">
        <v>69</v>
      </c>
      <c r="E99">
        <v>4</v>
      </c>
      <c r="F99" s="2">
        <v>72</v>
      </c>
      <c r="G99" s="2" t="s">
        <v>47</v>
      </c>
      <c r="H99" s="2" t="s">
        <v>48</v>
      </c>
      <c r="I99" s="2" t="s">
        <v>41</v>
      </c>
      <c r="J99" s="2">
        <v>311</v>
      </c>
      <c r="K99" s="3">
        <v>243.78</v>
      </c>
      <c r="L99" s="3">
        <v>246.63</v>
      </c>
      <c r="M99" s="3">
        <v>212.78</v>
      </c>
      <c r="N99" s="3">
        <v>15302.070600000001</v>
      </c>
      <c r="O99" s="3">
        <v>15479</v>
      </c>
      <c r="P99" s="3">
        <v>838171</v>
      </c>
      <c r="Q99" s="3">
        <v>36.25</v>
      </c>
      <c r="R99" s="3">
        <v>32.5</v>
      </c>
      <c r="S99" s="3">
        <v>207.72</v>
      </c>
      <c r="T99" s="1">
        <f t="shared" si="8"/>
        <v>-2.8499999999999943</v>
      </c>
      <c r="U99" s="1">
        <f t="shared" si="9"/>
        <v>106.39</v>
      </c>
      <c r="V99" s="1">
        <f t="shared" si="10"/>
        <v>-176.92939999999908</v>
      </c>
      <c r="W99" s="1">
        <f t="shared" si="11"/>
        <v>419085.5</v>
      </c>
      <c r="X99" s="1">
        <f t="shared" si="12"/>
        <v>3.75</v>
      </c>
      <c r="Y99" s="1">
        <f t="shared" si="13"/>
        <v>103.86</v>
      </c>
      <c r="Z99">
        <f t="shared" si="14"/>
        <v>1</v>
      </c>
    </row>
    <row r="100" spans="1:26" x14ac:dyDescent="0.2">
      <c r="A100">
        <f t="shared" si="15"/>
        <v>98</v>
      </c>
      <c r="B100">
        <v>2014</v>
      </c>
      <c r="C100" t="s">
        <v>72</v>
      </c>
      <c r="D100" t="s">
        <v>73</v>
      </c>
      <c r="E100">
        <v>4</v>
      </c>
      <c r="F100" s="2">
        <v>31</v>
      </c>
      <c r="G100" s="2" t="s">
        <v>28</v>
      </c>
      <c r="H100" s="2" t="s">
        <v>29</v>
      </c>
      <c r="I100" s="2" t="s">
        <v>30</v>
      </c>
      <c r="J100" s="2">
        <v>11</v>
      </c>
      <c r="K100" s="3">
        <v>192.06</v>
      </c>
      <c r="L100" s="3">
        <v>194.83</v>
      </c>
      <c r="M100" s="3">
        <v>87.97</v>
      </c>
      <c r="N100" s="3">
        <v>12055.6062</v>
      </c>
      <c r="O100" s="3">
        <v>12228</v>
      </c>
      <c r="P100" s="3">
        <v>346541</v>
      </c>
      <c r="Q100" s="3">
        <v>6.25</v>
      </c>
      <c r="R100" s="3">
        <v>6.35</v>
      </c>
      <c r="S100" s="3">
        <v>1.4718</v>
      </c>
      <c r="T100" s="1">
        <f t="shared" si="8"/>
        <v>-2.7700000000000102</v>
      </c>
      <c r="U100" s="1">
        <f t="shared" si="9"/>
        <v>43.984999999999999</v>
      </c>
      <c r="V100" s="1">
        <f t="shared" si="10"/>
        <v>-172.39379999999983</v>
      </c>
      <c r="W100" s="1">
        <f t="shared" si="11"/>
        <v>173270.5</v>
      </c>
      <c r="X100" s="1">
        <f t="shared" si="12"/>
        <v>-9.9999999999999645E-2</v>
      </c>
      <c r="Y100" s="1">
        <f t="shared" si="13"/>
        <v>0.7359</v>
      </c>
      <c r="Z100">
        <f t="shared" si="14"/>
        <v>1</v>
      </c>
    </row>
    <row r="101" spans="1:26" x14ac:dyDescent="0.2">
      <c r="A101">
        <f t="shared" si="15"/>
        <v>99</v>
      </c>
      <c r="B101">
        <v>2014</v>
      </c>
      <c r="C101" t="s">
        <v>50</v>
      </c>
      <c r="D101" t="s">
        <v>51</v>
      </c>
      <c r="E101">
        <v>4</v>
      </c>
      <c r="F101" s="2">
        <v>102</v>
      </c>
      <c r="G101" s="2" t="s">
        <v>36</v>
      </c>
      <c r="H101" s="2" t="s">
        <v>29</v>
      </c>
      <c r="I101" s="2" t="s">
        <v>41</v>
      </c>
      <c r="J101" s="2">
        <v>11</v>
      </c>
      <c r="K101" s="3">
        <v>191.39</v>
      </c>
      <c r="L101" s="3">
        <v>194.15</v>
      </c>
      <c r="M101" s="3">
        <v>198.36</v>
      </c>
      <c r="N101" s="3">
        <v>12013.550299999999</v>
      </c>
      <c r="O101" s="3">
        <v>12185</v>
      </c>
      <c r="P101" s="3">
        <v>781361</v>
      </c>
      <c r="Q101" s="3">
        <v>6.6675000000000004</v>
      </c>
      <c r="R101" s="3">
        <v>12.085000000000001</v>
      </c>
      <c r="S101" s="3">
        <v>2.2498</v>
      </c>
      <c r="T101" s="1">
        <f t="shared" si="8"/>
        <v>-2.7600000000000193</v>
      </c>
      <c r="U101" s="1">
        <f t="shared" si="9"/>
        <v>99.18</v>
      </c>
      <c r="V101" s="1">
        <f t="shared" si="10"/>
        <v>-171.44970000000103</v>
      </c>
      <c r="W101" s="1">
        <f t="shared" si="11"/>
        <v>390680.5</v>
      </c>
      <c r="X101" s="1">
        <f t="shared" si="12"/>
        <v>-5.4175000000000004</v>
      </c>
      <c r="Y101" s="1">
        <f t="shared" si="13"/>
        <v>1.1249</v>
      </c>
      <c r="Z101">
        <f t="shared" si="14"/>
        <v>1</v>
      </c>
    </row>
    <row r="102" spans="1:26" x14ac:dyDescent="0.2">
      <c r="A102">
        <f t="shared" si="15"/>
        <v>100</v>
      </c>
      <c r="B102">
        <v>2014</v>
      </c>
      <c r="C102" t="s">
        <v>50</v>
      </c>
      <c r="D102" t="s">
        <v>86</v>
      </c>
      <c r="E102">
        <v>4</v>
      </c>
      <c r="F102" s="2">
        <v>112</v>
      </c>
      <c r="G102" s="2" t="s">
        <v>40</v>
      </c>
      <c r="H102" s="2" t="s">
        <v>39</v>
      </c>
      <c r="I102" s="2" t="s">
        <v>41</v>
      </c>
      <c r="J102" s="2">
        <v>311</v>
      </c>
      <c r="K102" s="3">
        <v>149.43</v>
      </c>
      <c r="L102" s="3">
        <v>152.02000000000001</v>
      </c>
      <c r="M102" s="3">
        <v>208.65</v>
      </c>
      <c r="N102" s="3">
        <v>9379.7211000000007</v>
      </c>
      <c r="O102" s="3">
        <v>9541.27</v>
      </c>
      <c r="P102" s="3">
        <v>821938</v>
      </c>
      <c r="Q102" s="3">
        <v>0</v>
      </c>
      <c r="R102" s="3">
        <v>0</v>
      </c>
      <c r="S102" s="3">
        <v>0</v>
      </c>
      <c r="T102" s="1">
        <f t="shared" si="8"/>
        <v>-2.5900000000000034</v>
      </c>
      <c r="U102" s="1">
        <f t="shared" si="9"/>
        <v>104.325</v>
      </c>
      <c r="V102" s="1">
        <f t="shared" si="10"/>
        <v>-161.54889999999978</v>
      </c>
      <c r="W102" s="1">
        <f t="shared" si="11"/>
        <v>410969</v>
      </c>
      <c r="X102" s="1">
        <f t="shared" si="12"/>
        <v>0</v>
      </c>
      <c r="Y102" s="1">
        <f t="shared" si="13"/>
        <v>0</v>
      </c>
      <c r="Z102">
        <f t="shared" si="14"/>
        <v>0</v>
      </c>
    </row>
    <row r="103" spans="1:26" x14ac:dyDescent="0.2">
      <c r="A103">
        <f t="shared" si="15"/>
        <v>101</v>
      </c>
      <c r="B103">
        <v>2014</v>
      </c>
      <c r="C103" t="s">
        <v>50</v>
      </c>
      <c r="D103" t="s">
        <v>77</v>
      </c>
      <c r="E103">
        <v>4</v>
      </c>
      <c r="F103" s="2">
        <v>41</v>
      </c>
      <c r="G103" s="2" t="s">
        <v>31</v>
      </c>
      <c r="H103" s="2" t="s">
        <v>62</v>
      </c>
      <c r="I103" s="2" t="s">
        <v>30</v>
      </c>
      <c r="J103" s="2">
        <v>311</v>
      </c>
      <c r="K103" s="3">
        <v>214.57</v>
      </c>
      <c r="L103" s="3">
        <v>217.17</v>
      </c>
      <c r="M103" s="3">
        <v>97.19</v>
      </c>
      <c r="N103" s="3">
        <v>13468.5589</v>
      </c>
      <c r="O103" s="3">
        <v>13630</v>
      </c>
      <c r="P103" s="3">
        <v>382849</v>
      </c>
      <c r="Q103" s="3">
        <v>18.1675</v>
      </c>
      <c r="R103" s="3">
        <v>16.25</v>
      </c>
      <c r="S103" s="3">
        <v>60.879800000000003</v>
      </c>
      <c r="T103" s="1">
        <f t="shared" si="8"/>
        <v>-2.5999999999999943</v>
      </c>
      <c r="U103" s="1">
        <f t="shared" si="9"/>
        <v>48.594999999999999</v>
      </c>
      <c r="V103" s="1">
        <f t="shared" si="10"/>
        <v>-161.44110000000001</v>
      </c>
      <c r="W103" s="1">
        <f t="shared" si="11"/>
        <v>191424.5</v>
      </c>
      <c r="X103" s="1">
        <f t="shared" si="12"/>
        <v>1.9175000000000004</v>
      </c>
      <c r="Y103" s="1">
        <f t="shared" si="13"/>
        <v>30.439900000000002</v>
      </c>
      <c r="Z103">
        <f t="shared" si="14"/>
        <v>1</v>
      </c>
    </row>
    <row r="104" spans="1:26" x14ac:dyDescent="0.2">
      <c r="A104">
        <f t="shared" si="15"/>
        <v>102</v>
      </c>
      <c r="B104">
        <v>2015</v>
      </c>
      <c r="C104" t="s">
        <v>52</v>
      </c>
      <c r="D104" t="s">
        <v>53</v>
      </c>
      <c r="E104">
        <v>4</v>
      </c>
      <c r="F104" s="2">
        <v>92</v>
      </c>
      <c r="G104" s="2" t="s">
        <v>42</v>
      </c>
      <c r="H104" s="2" t="s">
        <v>43</v>
      </c>
      <c r="I104" s="2" t="s">
        <v>41</v>
      </c>
      <c r="J104" s="2">
        <v>311</v>
      </c>
      <c r="K104" s="3">
        <v>169.47</v>
      </c>
      <c r="L104" s="3">
        <v>172.02</v>
      </c>
      <c r="M104" s="3">
        <v>125.18</v>
      </c>
      <c r="N104" s="3">
        <v>10637.6319</v>
      </c>
      <c r="O104" s="3">
        <v>10797</v>
      </c>
      <c r="P104" s="3">
        <v>493089</v>
      </c>
      <c r="Q104" s="3">
        <v>1.4</v>
      </c>
      <c r="R104" s="3">
        <v>2.2000000000000002</v>
      </c>
      <c r="S104" s="3">
        <v>1.6871</v>
      </c>
      <c r="T104" s="1">
        <f t="shared" si="8"/>
        <v>-2.5500000000000114</v>
      </c>
      <c r="U104" s="1">
        <f t="shared" si="9"/>
        <v>62.59</v>
      </c>
      <c r="V104" s="1">
        <f t="shared" si="10"/>
        <v>-159.36809999999969</v>
      </c>
      <c r="W104" s="1">
        <f t="shared" si="11"/>
        <v>246544.5</v>
      </c>
      <c r="X104" s="1">
        <f t="shared" si="12"/>
        <v>-0.80000000000000027</v>
      </c>
      <c r="Y104" s="1">
        <f t="shared" si="13"/>
        <v>0.84355000000000002</v>
      </c>
      <c r="Z104">
        <f t="shared" si="14"/>
        <v>0</v>
      </c>
    </row>
    <row r="105" spans="1:26" x14ac:dyDescent="0.2">
      <c r="A105">
        <f t="shared" si="15"/>
        <v>103</v>
      </c>
      <c r="B105">
        <v>2014</v>
      </c>
      <c r="C105" t="s">
        <v>50</v>
      </c>
      <c r="D105" t="s">
        <v>86</v>
      </c>
      <c r="E105">
        <v>4</v>
      </c>
      <c r="F105" s="2">
        <v>21</v>
      </c>
      <c r="G105" s="2" t="s">
        <v>71</v>
      </c>
      <c r="H105" s="2" t="s">
        <v>66</v>
      </c>
      <c r="I105" s="2" t="s">
        <v>30</v>
      </c>
      <c r="J105" s="2">
        <v>711</v>
      </c>
      <c r="K105" s="3">
        <v>149.58000000000001</v>
      </c>
      <c r="L105" s="3">
        <v>152.02000000000001</v>
      </c>
      <c r="M105" s="3">
        <v>208.65</v>
      </c>
      <c r="N105" s="3">
        <v>9389.1366000000016</v>
      </c>
      <c r="O105" s="3">
        <v>9541.27</v>
      </c>
      <c r="P105" s="3">
        <v>821938</v>
      </c>
      <c r="Q105" s="3">
        <v>0</v>
      </c>
      <c r="R105" s="3">
        <v>0</v>
      </c>
      <c r="S105" s="3">
        <v>0</v>
      </c>
      <c r="T105" s="1">
        <f t="shared" si="8"/>
        <v>-2.4399999999999977</v>
      </c>
      <c r="U105" s="1">
        <f t="shared" si="9"/>
        <v>104.325</v>
      </c>
      <c r="V105" s="1">
        <f t="shared" si="10"/>
        <v>-152.1333999999988</v>
      </c>
      <c r="W105" s="1">
        <f t="shared" si="11"/>
        <v>410969</v>
      </c>
      <c r="X105" s="1">
        <f t="shared" si="12"/>
        <v>0</v>
      </c>
      <c r="Y105" s="1">
        <f t="shared" si="13"/>
        <v>0</v>
      </c>
      <c r="Z105">
        <f t="shared" si="14"/>
        <v>0</v>
      </c>
    </row>
    <row r="106" spans="1:26" x14ac:dyDescent="0.2">
      <c r="A106">
        <f t="shared" si="15"/>
        <v>104</v>
      </c>
      <c r="B106">
        <v>2014</v>
      </c>
      <c r="C106" t="s">
        <v>50</v>
      </c>
      <c r="D106" t="s">
        <v>80</v>
      </c>
      <c r="E106">
        <v>4</v>
      </c>
      <c r="F106" s="2">
        <v>92</v>
      </c>
      <c r="G106" s="2" t="s">
        <v>42</v>
      </c>
      <c r="H106" s="2" t="s">
        <v>43</v>
      </c>
      <c r="I106" s="2" t="s">
        <v>41</v>
      </c>
      <c r="J106" s="2">
        <v>311</v>
      </c>
      <c r="K106" s="3">
        <v>209.88</v>
      </c>
      <c r="L106" s="3">
        <v>212.3</v>
      </c>
      <c r="M106" s="3">
        <v>100.21</v>
      </c>
      <c r="N106" s="3">
        <v>13174.167600000001</v>
      </c>
      <c r="O106" s="3">
        <v>13324</v>
      </c>
      <c r="P106" s="3">
        <v>394707</v>
      </c>
      <c r="Q106" s="3">
        <v>34.167499999999997</v>
      </c>
      <c r="R106" s="3">
        <v>23.75</v>
      </c>
      <c r="S106" s="3">
        <v>150.47</v>
      </c>
      <c r="T106" s="1">
        <f t="shared" si="8"/>
        <v>-2.4200000000000159</v>
      </c>
      <c r="U106" s="1">
        <f t="shared" si="9"/>
        <v>50.104999999999997</v>
      </c>
      <c r="V106" s="1">
        <f t="shared" si="10"/>
        <v>-149.83239999999932</v>
      </c>
      <c r="W106" s="1">
        <f t="shared" si="11"/>
        <v>197353.5</v>
      </c>
      <c r="X106" s="1">
        <f t="shared" si="12"/>
        <v>10.417499999999997</v>
      </c>
      <c r="Y106" s="1">
        <f t="shared" si="13"/>
        <v>75.234999999999999</v>
      </c>
      <c r="Z106">
        <f t="shared" si="14"/>
        <v>1</v>
      </c>
    </row>
    <row r="107" spans="1:26" x14ac:dyDescent="0.2">
      <c r="A107">
        <f t="shared" si="15"/>
        <v>105</v>
      </c>
      <c r="B107">
        <v>2014</v>
      </c>
      <c r="C107" t="s">
        <v>50</v>
      </c>
      <c r="D107" t="s">
        <v>87</v>
      </c>
      <c r="E107">
        <v>4</v>
      </c>
      <c r="F107" s="2">
        <v>51</v>
      </c>
      <c r="G107" s="2" t="s">
        <v>36</v>
      </c>
      <c r="H107" s="2" t="s">
        <v>66</v>
      </c>
      <c r="I107" s="2" t="s">
        <v>30</v>
      </c>
      <c r="J107" s="2">
        <v>11</v>
      </c>
      <c r="K107" s="3">
        <v>195.08</v>
      </c>
      <c r="L107" s="3">
        <v>197.4</v>
      </c>
      <c r="M107" s="3">
        <v>34.08</v>
      </c>
      <c r="N107" s="3">
        <v>12245.171600000001</v>
      </c>
      <c r="O107" s="3">
        <v>12389</v>
      </c>
      <c r="P107" s="3">
        <v>134269</v>
      </c>
      <c r="Q107" s="3">
        <v>11.25</v>
      </c>
      <c r="R107" s="3">
        <v>10.75</v>
      </c>
      <c r="S107" s="3">
        <v>17.947199999999999</v>
      </c>
      <c r="T107" s="1">
        <f t="shared" si="8"/>
        <v>-2.3199999999999932</v>
      </c>
      <c r="U107" s="1">
        <f t="shared" si="9"/>
        <v>17.04</v>
      </c>
      <c r="V107" s="1">
        <f t="shared" si="10"/>
        <v>-143.82839999999851</v>
      </c>
      <c r="W107" s="1">
        <f t="shared" si="11"/>
        <v>67134.5</v>
      </c>
      <c r="X107" s="1">
        <f t="shared" si="12"/>
        <v>0.5</v>
      </c>
      <c r="Y107" s="1">
        <f t="shared" si="13"/>
        <v>8.9735999999999994</v>
      </c>
      <c r="Z107">
        <f t="shared" si="14"/>
        <v>1</v>
      </c>
    </row>
    <row r="108" spans="1:26" x14ac:dyDescent="0.2">
      <c r="A108">
        <f t="shared" si="15"/>
        <v>106</v>
      </c>
      <c r="B108">
        <v>2014</v>
      </c>
      <c r="C108" t="s">
        <v>50</v>
      </c>
      <c r="D108" t="s">
        <v>77</v>
      </c>
      <c r="E108">
        <v>4</v>
      </c>
      <c r="F108" s="2">
        <v>21</v>
      </c>
      <c r="G108" s="2" t="s">
        <v>71</v>
      </c>
      <c r="H108" s="2" t="s">
        <v>66</v>
      </c>
      <c r="I108" s="2" t="s">
        <v>30</v>
      </c>
      <c r="J108" s="2">
        <v>711</v>
      </c>
      <c r="K108" s="3">
        <v>214.88</v>
      </c>
      <c r="L108" s="3">
        <v>217.17</v>
      </c>
      <c r="M108" s="3">
        <v>97.19</v>
      </c>
      <c r="N108" s="3">
        <v>13488.017600000001</v>
      </c>
      <c r="O108" s="3">
        <v>13630</v>
      </c>
      <c r="P108" s="3">
        <v>382849</v>
      </c>
      <c r="Q108" s="3">
        <v>13.4175</v>
      </c>
      <c r="R108" s="3">
        <v>16.25</v>
      </c>
      <c r="S108" s="3">
        <v>60.879800000000003</v>
      </c>
      <c r="T108" s="1">
        <f t="shared" si="8"/>
        <v>-2.289999999999992</v>
      </c>
      <c r="U108" s="1">
        <f t="shared" si="9"/>
        <v>48.594999999999999</v>
      </c>
      <c r="V108" s="1">
        <f t="shared" si="10"/>
        <v>-141.98239999999896</v>
      </c>
      <c r="W108" s="1">
        <f t="shared" si="11"/>
        <v>191424.5</v>
      </c>
      <c r="X108" s="1">
        <f t="shared" si="12"/>
        <v>-2.8324999999999996</v>
      </c>
      <c r="Y108" s="1">
        <f t="shared" si="13"/>
        <v>30.439900000000002</v>
      </c>
      <c r="Z108">
        <f t="shared" si="14"/>
        <v>1</v>
      </c>
    </row>
    <row r="109" spans="1:26" x14ac:dyDescent="0.2">
      <c r="A109">
        <f t="shared" si="15"/>
        <v>107</v>
      </c>
      <c r="B109">
        <v>2014</v>
      </c>
      <c r="C109" t="s">
        <v>50</v>
      </c>
      <c r="D109" t="s">
        <v>77</v>
      </c>
      <c r="E109">
        <v>4</v>
      </c>
      <c r="F109" s="2">
        <v>31</v>
      </c>
      <c r="G109" s="2" t="s">
        <v>28</v>
      </c>
      <c r="H109" s="2" t="s">
        <v>29</v>
      </c>
      <c r="I109" s="2" t="s">
        <v>30</v>
      </c>
      <c r="J109" s="2">
        <v>11</v>
      </c>
      <c r="K109" s="3">
        <v>215.02</v>
      </c>
      <c r="L109" s="3">
        <v>217.17</v>
      </c>
      <c r="M109" s="3">
        <v>97.19</v>
      </c>
      <c r="N109" s="3">
        <v>13496.805400000001</v>
      </c>
      <c r="O109" s="3">
        <v>13630</v>
      </c>
      <c r="P109" s="3">
        <v>382849</v>
      </c>
      <c r="Q109" s="3">
        <v>15.5</v>
      </c>
      <c r="R109" s="3">
        <v>16.25</v>
      </c>
      <c r="S109" s="3">
        <v>60.879800000000003</v>
      </c>
      <c r="T109" s="1">
        <f t="shared" si="8"/>
        <v>-2.1499999999999773</v>
      </c>
      <c r="U109" s="1">
        <f t="shared" si="9"/>
        <v>48.594999999999999</v>
      </c>
      <c r="V109" s="1">
        <f t="shared" si="10"/>
        <v>-133.1945999999989</v>
      </c>
      <c r="W109" s="1">
        <f t="shared" si="11"/>
        <v>191424.5</v>
      </c>
      <c r="X109" s="1">
        <f t="shared" si="12"/>
        <v>-0.75</v>
      </c>
      <c r="Y109" s="1">
        <f t="shared" si="13"/>
        <v>30.439900000000002</v>
      </c>
      <c r="Z109">
        <f t="shared" si="14"/>
        <v>1</v>
      </c>
    </row>
    <row r="110" spans="1:26" x14ac:dyDescent="0.2">
      <c r="A110">
        <f t="shared" si="15"/>
        <v>108</v>
      </c>
      <c r="B110">
        <v>2015</v>
      </c>
      <c r="C110" t="s">
        <v>84</v>
      </c>
      <c r="D110" t="s">
        <v>85</v>
      </c>
      <c r="E110">
        <v>4</v>
      </c>
      <c r="F110" s="2">
        <v>193</v>
      </c>
      <c r="G110" s="2" t="s">
        <v>40</v>
      </c>
      <c r="H110" s="2" t="s">
        <v>39</v>
      </c>
      <c r="I110" s="2" t="s">
        <v>33</v>
      </c>
      <c r="J110" s="2">
        <v>311</v>
      </c>
      <c r="K110" s="3">
        <v>195.46</v>
      </c>
      <c r="L110" s="3">
        <v>197.54</v>
      </c>
      <c r="M110" s="3">
        <v>296.25</v>
      </c>
      <c r="N110" s="3">
        <v>12269.024200000002</v>
      </c>
      <c r="O110" s="3">
        <v>12398</v>
      </c>
      <c r="P110" s="3">
        <v>1166970</v>
      </c>
      <c r="Q110" s="3">
        <v>-3.1600000000000001E-16</v>
      </c>
      <c r="R110" s="3">
        <v>0.6875</v>
      </c>
      <c r="S110" s="3">
        <v>0.21049999999999999</v>
      </c>
      <c r="T110" s="1">
        <f t="shared" si="8"/>
        <v>-2.0799999999999841</v>
      </c>
      <c r="U110" s="1">
        <f t="shared" si="9"/>
        <v>148.125</v>
      </c>
      <c r="V110" s="1">
        <f t="shared" si="10"/>
        <v>-128.97579999999834</v>
      </c>
      <c r="W110" s="1">
        <f t="shared" si="11"/>
        <v>583485</v>
      </c>
      <c r="X110" s="1">
        <f t="shared" si="12"/>
        <v>-0.68750000000000033</v>
      </c>
      <c r="Y110" s="1">
        <f t="shared" si="13"/>
        <v>0.10525</v>
      </c>
      <c r="Z110">
        <f t="shared" si="14"/>
        <v>0</v>
      </c>
    </row>
    <row r="111" spans="1:26" x14ac:dyDescent="0.2">
      <c r="A111">
        <f t="shared" si="15"/>
        <v>109</v>
      </c>
      <c r="B111">
        <v>2015</v>
      </c>
      <c r="C111" t="s">
        <v>52</v>
      </c>
      <c r="D111" t="s">
        <v>53</v>
      </c>
      <c r="E111">
        <v>4</v>
      </c>
      <c r="F111" s="2">
        <v>102</v>
      </c>
      <c r="G111" s="2" t="s">
        <v>36</v>
      </c>
      <c r="H111" s="2" t="s">
        <v>29</v>
      </c>
      <c r="I111" s="2" t="s">
        <v>41</v>
      </c>
      <c r="J111" s="2">
        <v>11</v>
      </c>
      <c r="K111" s="3">
        <v>169.97</v>
      </c>
      <c r="L111" s="3">
        <v>172.02</v>
      </c>
      <c r="M111" s="3">
        <v>125.18</v>
      </c>
      <c r="N111" s="3">
        <v>10669.016900000001</v>
      </c>
      <c r="O111" s="3">
        <v>10797</v>
      </c>
      <c r="P111" s="3">
        <v>493089</v>
      </c>
      <c r="Q111" s="3">
        <v>1.8</v>
      </c>
      <c r="R111" s="3">
        <v>2.2000000000000002</v>
      </c>
      <c r="S111" s="3">
        <v>1.6871</v>
      </c>
      <c r="T111" s="1">
        <f t="shared" si="8"/>
        <v>-2.0500000000000114</v>
      </c>
      <c r="U111" s="1">
        <f t="shared" si="9"/>
        <v>62.59</v>
      </c>
      <c r="V111" s="1">
        <f t="shared" si="10"/>
        <v>-127.98309999999947</v>
      </c>
      <c r="W111" s="1">
        <f t="shared" si="11"/>
        <v>246544.5</v>
      </c>
      <c r="X111" s="1">
        <f t="shared" si="12"/>
        <v>-0.40000000000000013</v>
      </c>
      <c r="Y111" s="1">
        <f t="shared" si="13"/>
        <v>0.84355000000000002</v>
      </c>
      <c r="Z111">
        <f t="shared" si="14"/>
        <v>0</v>
      </c>
    </row>
    <row r="112" spans="1:26" x14ac:dyDescent="0.2">
      <c r="A112">
        <f t="shared" si="15"/>
        <v>110</v>
      </c>
      <c r="B112">
        <v>2015</v>
      </c>
      <c r="C112" t="s">
        <v>60</v>
      </c>
      <c r="D112" t="s">
        <v>61</v>
      </c>
      <c r="E112">
        <v>6</v>
      </c>
      <c r="F112" s="2">
        <v>31</v>
      </c>
      <c r="G112" s="2" t="s">
        <v>28</v>
      </c>
      <c r="H112" s="2" t="s">
        <v>29</v>
      </c>
      <c r="I112" s="2" t="s">
        <v>30</v>
      </c>
      <c r="J112" s="2">
        <v>11</v>
      </c>
      <c r="K112" s="3">
        <v>261.83</v>
      </c>
      <c r="L112" s="3">
        <v>263.64</v>
      </c>
      <c r="M112" s="3">
        <v>207.31</v>
      </c>
      <c r="N112" s="3">
        <v>16435.069100000001</v>
      </c>
      <c r="O112" s="3">
        <v>16547</v>
      </c>
      <c r="P112" s="3">
        <v>816614</v>
      </c>
      <c r="Q112" s="3">
        <v>27.5</v>
      </c>
      <c r="R112" s="3">
        <v>25.5</v>
      </c>
      <c r="S112" s="3">
        <v>40.421999999999997</v>
      </c>
      <c r="T112" s="1">
        <f t="shared" si="8"/>
        <v>-1.8100000000000023</v>
      </c>
      <c r="U112" s="1">
        <f t="shared" si="9"/>
        <v>69.103333333333339</v>
      </c>
      <c r="V112" s="1">
        <f t="shared" si="10"/>
        <v>-111.93089999999938</v>
      </c>
      <c r="W112" s="1">
        <f t="shared" si="11"/>
        <v>272204.66666666669</v>
      </c>
      <c r="X112" s="1">
        <f t="shared" si="12"/>
        <v>2</v>
      </c>
      <c r="Y112" s="1">
        <f t="shared" si="13"/>
        <v>13.473999999999998</v>
      </c>
      <c r="Z112">
        <f t="shared" si="14"/>
        <v>1</v>
      </c>
    </row>
    <row r="113" spans="1:26" x14ac:dyDescent="0.2">
      <c r="A113">
        <f t="shared" si="15"/>
        <v>111</v>
      </c>
      <c r="B113">
        <v>2014</v>
      </c>
      <c r="C113" t="s">
        <v>52</v>
      </c>
      <c r="D113" t="s">
        <v>53</v>
      </c>
      <c r="E113">
        <v>4</v>
      </c>
      <c r="F113" s="2">
        <v>132</v>
      </c>
      <c r="G113" s="2" t="s">
        <v>49</v>
      </c>
      <c r="H113" s="2" t="s">
        <v>46</v>
      </c>
      <c r="I113" s="2" t="s">
        <v>41</v>
      </c>
      <c r="J113" s="2">
        <v>3</v>
      </c>
      <c r="K113" s="3">
        <v>189.09</v>
      </c>
      <c r="L113" s="3">
        <v>190.74</v>
      </c>
      <c r="M113" s="3">
        <v>134.78</v>
      </c>
      <c r="N113" s="3">
        <v>11869.179300000002</v>
      </c>
      <c r="O113" s="3">
        <v>11971</v>
      </c>
      <c r="P113" s="3">
        <v>530904</v>
      </c>
      <c r="Q113" s="3">
        <v>3.25</v>
      </c>
      <c r="R113" s="3">
        <v>4</v>
      </c>
      <c r="S113" s="3">
        <v>1.1295999999999999</v>
      </c>
      <c r="T113" s="1">
        <f t="shared" si="8"/>
        <v>-1.6500000000000057</v>
      </c>
      <c r="U113" s="1">
        <f t="shared" si="9"/>
        <v>67.39</v>
      </c>
      <c r="V113" s="1">
        <f t="shared" si="10"/>
        <v>-101.8206999999984</v>
      </c>
      <c r="W113" s="1">
        <f t="shared" si="11"/>
        <v>265452</v>
      </c>
      <c r="X113" s="1">
        <f t="shared" si="12"/>
        <v>-0.75</v>
      </c>
      <c r="Y113" s="1">
        <f t="shared" si="13"/>
        <v>0.56479999999999997</v>
      </c>
      <c r="Z113">
        <f t="shared" si="14"/>
        <v>0</v>
      </c>
    </row>
    <row r="114" spans="1:26" x14ac:dyDescent="0.2">
      <c r="A114">
        <f t="shared" si="15"/>
        <v>112</v>
      </c>
      <c r="B114">
        <v>2015</v>
      </c>
      <c r="C114" t="s">
        <v>52</v>
      </c>
      <c r="D114" t="s">
        <v>53</v>
      </c>
      <c r="E114">
        <v>4</v>
      </c>
      <c r="F114" s="2">
        <v>82</v>
      </c>
      <c r="G114" s="2" t="s">
        <v>31</v>
      </c>
      <c r="H114" s="2" t="s">
        <v>46</v>
      </c>
      <c r="I114" s="2" t="s">
        <v>41</v>
      </c>
      <c r="J114" s="2">
        <v>311</v>
      </c>
      <c r="K114" s="3">
        <v>170.4</v>
      </c>
      <c r="L114" s="3">
        <v>172.02</v>
      </c>
      <c r="M114" s="3">
        <v>125.18</v>
      </c>
      <c r="N114" s="3">
        <v>10696.008000000002</v>
      </c>
      <c r="O114" s="3">
        <v>10797</v>
      </c>
      <c r="P114" s="3">
        <v>493089</v>
      </c>
      <c r="Q114" s="3">
        <v>1.9</v>
      </c>
      <c r="R114" s="3">
        <v>2.2000000000000002</v>
      </c>
      <c r="S114" s="3">
        <v>1.6871</v>
      </c>
      <c r="T114" s="1">
        <f t="shared" si="8"/>
        <v>-1.6200000000000045</v>
      </c>
      <c r="U114" s="1">
        <f t="shared" si="9"/>
        <v>62.59</v>
      </c>
      <c r="V114" s="1">
        <f t="shared" si="10"/>
        <v>-100.99199999999837</v>
      </c>
      <c r="W114" s="1">
        <f t="shared" si="11"/>
        <v>246544.5</v>
      </c>
      <c r="X114" s="1">
        <f t="shared" si="12"/>
        <v>-0.30000000000000027</v>
      </c>
      <c r="Y114" s="1">
        <f t="shared" si="13"/>
        <v>0.84355000000000002</v>
      </c>
      <c r="Z114">
        <f t="shared" si="14"/>
        <v>0</v>
      </c>
    </row>
    <row r="115" spans="1:26" x14ac:dyDescent="0.2">
      <c r="A115">
        <f t="shared" si="15"/>
        <v>113</v>
      </c>
      <c r="B115">
        <v>2015</v>
      </c>
      <c r="C115" t="s">
        <v>72</v>
      </c>
      <c r="D115" t="s">
        <v>73</v>
      </c>
      <c r="E115">
        <v>4</v>
      </c>
      <c r="F115" s="2">
        <v>51</v>
      </c>
      <c r="G115" s="2" t="s">
        <v>36</v>
      </c>
      <c r="H115" s="2" t="s">
        <v>66</v>
      </c>
      <c r="I115" s="2" t="s">
        <v>30</v>
      </c>
      <c r="J115" s="2">
        <v>11</v>
      </c>
      <c r="K115" s="3">
        <v>195.2</v>
      </c>
      <c r="L115" s="3">
        <v>196.81</v>
      </c>
      <c r="M115" s="3">
        <v>48.17</v>
      </c>
      <c r="N115" s="3">
        <v>12252.704</v>
      </c>
      <c r="O115" s="3">
        <v>12352</v>
      </c>
      <c r="P115" s="3">
        <v>189801</v>
      </c>
      <c r="Q115" s="3">
        <v>5.4</v>
      </c>
      <c r="R115" s="3">
        <v>6.9</v>
      </c>
      <c r="S115" s="3">
        <v>2.0556999999999999</v>
      </c>
      <c r="T115" s="1">
        <f t="shared" si="8"/>
        <v>-1.6100000000000136</v>
      </c>
      <c r="U115" s="1">
        <f t="shared" si="9"/>
        <v>24.085000000000001</v>
      </c>
      <c r="V115" s="1">
        <f t="shared" si="10"/>
        <v>-99.296000000000276</v>
      </c>
      <c r="W115" s="1">
        <f t="shared" si="11"/>
        <v>94900.5</v>
      </c>
      <c r="X115" s="1">
        <f t="shared" si="12"/>
        <v>-1.5</v>
      </c>
      <c r="Y115" s="1">
        <f t="shared" si="13"/>
        <v>1.0278499999999999</v>
      </c>
      <c r="Z115">
        <f t="shared" si="14"/>
        <v>1</v>
      </c>
    </row>
    <row r="116" spans="1:26" x14ac:dyDescent="0.2">
      <c r="A116">
        <f t="shared" si="15"/>
        <v>114</v>
      </c>
      <c r="B116">
        <v>2014</v>
      </c>
      <c r="C116" t="s">
        <v>50</v>
      </c>
      <c r="D116" t="s">
        <v>80</v>
      </c>
      <c r="E116">
        <v>4</v>
      </c>
      <c r="F116" s="2">
        <v>173</v>
      </c>
      <c r="G116" s="2" t="s">
        <v>31</v>
      </c>
      <c r="H116" s="2" t="s">
        <v>32</v>
      </c>
      <c r="I116" s="2" t="s">
        <v>33</v>
      </c>
      <c r="J116" s="2">
        <v>311</v>
      </c>
      <c r="K116" s="3">
        <v>210.76</v>
      </c>
      <c r="L116" s="3">
        <v>212.3</v>
      </c>
      <c r="M116" s="3">
        <v>100.21</v>
      </c>
      <c r="N116" s="3">
        <v>13229.405199999999</v>
      </c>
      <c r="O116" s="3">
        <v>13324</v>
      </c>
      <c r="P116" s="3">
        <v>394707</v>
      </c>
      <c r="Q116" s="3">
        <v>40.002499999999998</v>
      </c>
      <c r="R116" s="3">
        <v>23.75</v>
      </c>
      <c r="S116" s="3">
        <v>150.47</v>
      </c>
      <c r="T116" s="1">
        <f t="shared" si="8"/>
        <v>-1.5400000000000205</v>
      </c>
      <c r="U116" s="1">
        <f t="shared" si="9"/>
        <v>50.104999999999997</v>
      </c>
      <c r="V116" s="1">
        <f t="shared" si="10"/>
        <v>-94.59480000000076</v>
      </c>
      <c r="W116" s="1">
        <f t="shared" si="11"/>
        <v>197353.5</v>
      </c>
      <c r="X116" s="1">
        <f t="shared" si="12"/>
        <v>16.252499999999998</v>
      </c>
      <c r="Y116" s="1">
        <f t="shared" si="13"/>
        <v>75.234999999999999</v>
      </c>
      <c r="Z116">
        <f t="shared" si="14"/>
        <v>1</v>
      </c>
    </row>
    <row r="117" spans="1:26" x14ac:dyDescent="0.2">
      <c r="A117">
        <f t="shared" si="15"/>
        <v>115</v>
      </c>
      <c r="B117">
        <v>2014</v>
      </c>
      <c r="C117" t="s">
        <v>88</v>
      </c>
      <c r="D117" t="s">
        <v>89</v>
      </c>
      <c r="E117">
        <v>4</v>
      </c>
      <c r="F117" s="2">
        <v>102</v>
      </c>
      <c r="G117" s="2" t="s">
        <v>36</v>
      </c>
      <c r="H117" s="2" t="s">
        <v>29</v>
      </c>
      <c r="I117" s="2" t="s">
        <v>41</v>
      </c>
      <c r="J117" s="2">
        <v>11</v>
      </c>
      <c r="K117" s="3">
        <v>149.47999999999999</v>
      </c>
      <c r="L117" s="3">
        <v>150.94999999999999</v>
      </c>
      <c r="M117" s="3">
        <v>162.88</v>
      </c>
      <c r="N117" s="3">
        <v>9382.8595999999998</v>
      </c>
      <c r="O117" s="3">
        <v>9474</v>
      </c>
      <c r="P117" s="3">
        <v>641596</v>
      </c>
      <c r="Q117" s="3">
        <v>0.6</v>
      </c>
      <c r="R117" s="3">
        <v>1.25</v>
      </c>
      <c r="S117" s="3">
        <v>0.16339999999999999</v>
      </c>
      <c r="T117" s="1">
        <f t="shared" si="8"/>
        <v>-1.4699999999999989</v>
      </c>
      <c r="U117" s="1">
        <f t="shared" si="9"/>
        <v>81.44</v>
      </c>
      <c r="V117" s="1">
        <f t="shared" si="10"/>
        <v>-91.140400000000227</v>
      </c>
      <c r="W117" s="1">
        <f t="shared" si="11"/>
        <v>320798</v>
      </c>
      <c r="X117" s="1">
        <f t="shared" si="12"/>
        <v>-0.65</v>
      </c>
      <c r="Y117" s="1">
        <f t="shared" si="13"/>
        <v>8.1699999999999995E-2</v>
      </c>
      <c r="Z117">
        <f t="shared" si="14"/>
        <v>0</v>
      </c>
    </row>
    <row r="118" spans="1:26" x14ac:dyDescent="0.2">
      <c r="A118">
        <f t="shared" si="15"/>
        <v>116</v>
      </c>
      <c r="B118">
        <v>2014</v>
      </c>
      <c r="C118" t="s">
        <v>52</v>
      </c>
      <c r="D118" t="s">
        <v>53</v>
      </c>
      <c r="E118">
        <v>4</v>
      </c>
      <c r="F118" s="2">
        <v>72</v>
      </c>
      <c r="G118" s="2" t="s">
        <v>47</v>
      </c>
      <c r="H118" s="2" t="s">
        <v>48</v>
      </c>
      <c r="I118" s="2" t="s">
        <v>41</v>
      </c>
      <c r="J118" s="2">
        <v>311</v>
      </c>
      <c r="K118" s="3">
        <v>189.39</v>
      </c>
      <c r="L118" s="3">
        <v>190.74</v>
      </c>
      <c r="M118" s="3">
        <v>134.78</v>
      </c>
      <c r="N118" s="3">
        <v>11888.0103</v>
      </c>
      <c r="O118" s="3">
        <v>11971</v>
      </c>
      <c r="P118" s="3">
        <v>530904</v>
      </c>
      <c r="Q118" s="3">
        <v>3.5</v>
      </c>
      <c r="R118" s="3">
        <v>4</v>
      </c>
      <c r="S118" s="3">
        <v>1.1295999999999999</v>
      </c>
      <c r="T118" s="1">
        <f t="shared" si="8"/>
        <v>-1.3500000000000227</v>
      </c>
      <c r="U118" s="1">
        <f t="shared" si="9"/>
        <v>67.39</v>
      </c>
      <c r="V118" s="1">
        <f t="shared" si="10"/>
        <v>-82.989700000000084</v>
      </c>
      <c r="W118" s="1">
        <f t="shared" si="11"/>
        <v>265452</v>
      </c>
      <c r="X118" s="1">
        <f t="shared" si="12"/>
        <v>-0.5</v>
      </c>
      <c r="Y118" s="1">
        <f t="shared" si="13"/>
        <v>0.56479999999999997</v>
      </c>
      <c r="Z118">
        <f t="shared" si="14"/>
        <v>0</v>
      </c>
    </row>
    <row r="119" spans="1:26" x14ac:dyDescent="0.2">
      <c r="A119">
        <f t="shared" si="15"/>
        <v>117</v>
      </c>
      <c r="B119">
        <v>2015</v>
      </c>
      <c r="C119" t="s">
        <v>26</v>
      </c>
      <c r="D119" t="s">
        <v>27</v>
      </c>
      <c r="E119">
        <v>4</v>
      </c>
      <c r="F119" s="2">
        <v>122</v>
      </c>
      <c r="G119" s="2" t="s">
        <v>75</v>
      </c>
      <c r="H119" s="2" t="s">
        <v>76</v>
      </c>
      <c r="I119" s="2" t="s">
        <v>41</v>
      </c>
      <c r="J119" s="2">
        <v>311</v>
      </c>
      <c r="K119" s="3">
        <v>253.67</v>
      </c>
      <c r="L119" s="3">
        <v>254.92</v>
      </c>
      <c r="M119" s="3">
        <v>868.14</v>
      </c>
      <c r="N119" s="3">
        <v>15922.865900000001</v>
      </c>
      <c r="O119" s="3">
        <v>16000</v>
      </c>
      <c r="P119" s="3">
        <v>3419739</v>
      </c>
      <c r="Q119" s="3">
        <v>13.647500000000001</v>
      </c>
      <c r="R119" s="3">
        <v>40.627499999999998</v>
      </c>
      <c r="S119" s="3">
        <v>385.81</v>
      </c>
      <c r="T119" s="1">
        <f t="shared" si="8"/>
        <v>-1.25</v>
      </c>
      <c r="U119" s="1">
        <f t="shared" si="9"/>
        <v>434.07</v>
      </c>
      <c r="V119" s="1">
        <f t="shared" si="10"/>
        <v>-77.134099999999307</v>
      </c>
      <c r="W119" s="1">
        <f t="shared" si="11"/>
        <v>1709869.5</v>
      </c>
      <c r="X119" s="1">
        <f t="shared" si="12"/>
        <v>-26.979999999999997</v>
      </c>
      <c r="Y119" s="1">
        <f t="shared" si="13"/>
        <v>192.905</v>
      </c>
      <c r="Z119">
        <f t="shared" si="14"/>
        <v>1</v>
      </c>
    </row>
    <row r="120" spans="1:26" x14ac:dyDescent="0.2">
      <c r="A120">
        <f t="shared" si="15"/>
        <v>118</v>
      </c>
      <c r="B120">
        <v>2015</v>
      </c>
      <c r="C120" t="s">
        <v>52</v>
      </c>
      <c r="D120" t="s">
        <v>79</v>
      </c>
      <c r="E120">
        <v>4</v>
      </c>
      <c r="F120" s="2">
        <v>61</v>
      </c>
      <c r="G120" s="2" t="s">
        <v>38</v>
      </c>
      <c r="H120" s="2" t="s">
        <v>39</v>
      </c>
      <c r="I120" s="2" t="s">
        <v>30</v>
      </c>
      <c r="J120" s="2">
        <v>311</v>
      </c>
      <c r="K120" s="3">
        <v>165.35</v>
      </c>
      <c r="L120" s="3">
        <v>166.53</v>
      </c>
      <c r="M120" s="3">
        <v>37.15</v>
      </c>
      <c r="N120" s="3">
        <v>10379.0195</v>
      </c>
      <c r="O120" s="3">
        <v>10452</v>
      </c>
      <c r="P120" s="3">
        <v>146343</v>
      </c>
      <c r="Q120" s="3">
        <v>52.5</v>
      </c>
      <c r="R120" s="3">
        <v>58.75</v>
      </c>
      <c r="S120" s="3">
        <v>35.233899999999998</v>
      </c>
      <c r="T120" s="1">
        <f t="shared" si="8"/>
        <v>-1.1800000000000068</v>
      </c>
      <c r="U120" s="1">
        <f t="shared" si="9"/>
        <v>18.574999999999999</v>
      </c>
      <c r="V120" s="1">
        <f t="shared" si="10"/>
        <v>-72.980499999999665</v>
      </c>
      <c r="W120" s="1">
        <f t="shared" si="11"/>
        <v>73171.5</v>
      </c>
      <c r="X120" s="1">
        <f t="shared" si="12"/>
        <v>-6.25</v>
      </c>
      <c r="Y120" s="1">
        <f t="shared" si="13"/>
        <v>17.616949999999999</v>
      </c>
      <c r="Z120">
        <f t="shared" si="14"/>
        <v>1</v>
      </c>
    </row>
    <row r="121" spans="1:26" x14ac:dyDescent="0.2">
      <c r="A121">
        <f t="shared" si="15"/>
        <v>119</v>
      </c>
      <c r="B121">
        <v>2015</v>
      </c>
      <c r="C121" t="s">
        <v>88</v>
      </c>
      <c r="D121" t="s">
        <v>90</v>
      </c>
      <c r="E121">
        <v>4</v>
      </c>
      <c r="F121" s="2">
        <v>173</v>
      </c>
      <c r="G121" s="2" t="s">
        <v>31</v>
      </c>
      <c r="H121" s="2" t="s">
        <v>32</v>
      </c>
      <c r="I121" s="2" t="s">
        <v>33</v>
      </c>
      <c r="J121" s="2">
        <v>311</v>
      </c>
      <c r="K121" s="3">
        <v>213.39</v>
      </c>
      <c r="L121" s="3">
        <v>214.57</v>
      </c>
      <c r="M121" s="3">
        <v>51.3</v>
      </c>
      <c r="N121" s="3">
        <v>13394.490299999999</v>
      </c>
      <c r="O121" s="3">
        <v>13467</v>
      </c>
      <c r="P121" s="3">
        <v>202142</v>
      </c>
      <c r="Q121" s="3">
        <v>0</v>
      </c>
      <c r="R121" s="3">
        <v>0</v>
      </c>
      <c r="S121" s="3">
        <v>0</v>
      </c>
      <c r="T121" s="1">
        <f t="shared" si="8"/>
        <v>-1.1800000000000068</v>
      </c>
      <c r="U121" s="1">
        <f t="shared" si="9"/>
        <v>25.65</v>
      </c>
      <c r="V121" s="1">
        <f t="shared" si="10"/>
        <v>-72.509700000000521</v>
      </c>
      <c r="W121" s="1">
        <f t="shared" si="11"/>
        <v>101071</v>
      </c>
      <c r="X121" s="1">
        <f t="shared" si="12"/>
        <v>0</v>
      </c>
      <c r="Y121" s="1">
        <f t="shared" si="13"/>
        <v>0</v>
      </c>
      <c r="Z121">
        <f t="shared" si="14"/>
        <v>0</v>
      </c>
    </row>
    <row r="122" spans="1:26" x14ac:dyDescent="0.2">
      <c r="A122">
        <f t="shared" si="15"/>
        <v>120</v>
      </c>
      <c r="B122">
        <v>2015</v>
      </c>
      <c r="C122" t="s">
        <v>88</v>
      </c>
      <c r="D122" t="s">
        <v>90</v>
      </c>
      <c r="E122">
        <v>4</v>
      </c>
      <c r="F122" s="2">
        <v>102</v>
      </c>
      <c r="G122" s="2" t="s">
        <v>36</v>
      </c>
      <c r="H122" s="2" t="s">
        <v>29</v>
      </c>
      <c r="I122" s="2" t="s">
        <v>41</v>
      </c>
      <c r="J122" s="2">
        <v>11</v>
      </c>
      <c r="K122" s="3">
        <v>213.42</v>
      </c>
      <c r="L122" s="3">
        <v>214.57</v>
      </c>
      <c r="M122" s="3">
        <v>51.3</v>
      </c>
      <c r="N122" s="3">
        <v>13396.3734</v>
      </c>
      <c r="O122" s="3">
        <v>13467</v>
      </c>
      <c r="P122" s="3">
        <v>202142</v>
      </c>
      <c r="Q122" s="3">
        <v>0</v>
      </c>
      <c r="R122" s="3">
        <v>0</v>
      </c>
      <c r="S122" s="3">
        <v>0</v>
      </c>
      <c r="T122" s="1">
        <f t="shared" si="8"/>
        <v>-1.1500000000000057</v>
      </c>
      <c r="U122" s="1">
        <f t="shared" si="9"/>
        <v>25.65</v>
      </c>
      <c r="V122" s="1">
        <f t="shared" si="10"/>
        <v>-70.626599999999598</v>
      </c>
      <c r="W122" s="1">
        <f t="shared" si="11"/>
        <v>101071</v>
      </c>
      <c r="X122" s="1">
        <f t="shared" si="12"/>
        <v>0</v>
      </c>
      <c r="Y122" s="1">
        <f t="shared" si="13"/>
        <v>0</v>
      </c>
      <c r="Z122">
        <f t="shared" si="14"/>
        <v>0</v>
      </c>
    </row>
    <row r="123" spans="1:26" x14ac:dyDescent="0.2">
      <c r="A123">
        <f t="shared" si="15"/>
        <v>121</v>
      </c>
      <c r="B123">
        <v>2015</v>
      </c>
      <c r="C123" t="s">
        <v>64</v>
      </c>
      <c r="D123" t="s">
        <v>65</v>
      </c>
      <c r="E123">
        <v>4</v>
      </c>
      <c r="F123" s="2">
        <v>51</v>
      </c>
      <c r="G123" s="2" t="s">
        <v>36</v>
      </c>
      <c r="H123" s="2" t="s">
        <v>66</v>
      </c>
      <c r="I123" s="2" t="s">
        <v>30</v>
      </c>
      <c r="J123" s="2">
        <v>11</v>
      </c>
      <c r="K123" s="3">
        <v>215.25</v>
      </c>
      <c r="L123" s="3">
        <v>216.3</v>
      </c>
      <c r="M123" s="3">
        <v>218.38</v>
      </c>
      <c r="N123" s="3">
        <v>13511.2425</v>
      </c>
      <c r="O123" s="3">
        <v>13576</v>
      </c>
      <c r="P123" s="3">
        <v>860223</v>
      </c>
      <c r="Q123" s="3">
        <v>5.5</v>
      </c>
      <c r="R123" s="3">
        <v>7</v>
      </c>
      <c r="S123" s="3">
        <v>3.3643000000000001</v>
      </c>
      <c r="T123" s="1">
        <f t="shared" si="8"/>
        <v>-1.0500000000000114</v>
      </c>
      <c r="U123" s="1">
        <f t="shared" si="9"/>
        <v>109.19</v>
      </c>
      <c r="V123" s="1">
        <f t="shared" si="10"/>
        <v>-64.757499999999709</v>
      </c>
      <c r="W123" s="1">
        <f t="shared" si="11"/>
        <v>430111.5</v>
      </c>
      <c r="X123" s="1">
        <f t="shared" si="12"/>
        <v>-1.5</v>
      </c>
      <c r="Y123" s="1">
        <f t="shared" si="13"/>
        <v>1.68215</v>
      </c>
      <c r="Z123">
        <f t="shared" si="14"/>
        <v>1</v>
      </c>
    </row>
    <row r="124" spans="1:26" x14ac:dyDescent="0.2">
      <c r="A124">
        <f t="shared" si="15"/>
        <v>122</v>
      </c>
      <c r="B124">
        <v>2015</v>
      </c>
      <c r="C124" t="s">
        <v>81</v>
      </c>
      <c r="D124" t="s">
        <v>82</v>
      </c>
      <c r="E124">
        <v>4</v>
      </c>
      <c r="F124" s="2">
        <v>173</v>
      </c>
      <c r="G124" s="2" t="s">
        <v>31</v>
      </c>
      <c r="H124" s="2" t="s">
        <v>32</v>
      </c>
      <c r="I124" s="2" t="s">
        <v>33</v>
      </c>
      <c r="J124" s="2">
        <v>311</v>
      </c>
      <c r="K124" s="3">
        <v>242.96</v>
      </c>
      <c r="L124" s="3">
        <v>243.95</v>
      </c>
      <c r="M124" s="3">
        <v>106.45</v>
      </c>
      <c r="N124" s="3">
        <v>15250.599200000001</v>
      </c>
      <c r="O124" s="3">
        <v>15311</v>
      </c>
      <c r="P124" s="3">
        <v>419314</v>
      </c>
      <c r="Q124" s="3">
        <v>2.0750000000000002</v>
      </c>
      <c r="R124" s="3">
        <v>17.399999999999999</v>
      </c>
      <c r="S124" s="3">
        <v>31.9801</v>
      </c>
      <c r="T124" s="1">
        <f t="shared" si="8"/>
        <v>-0.98999999999998067</v>
      </c>
      <c r="U124" s="1">
        <f t="shared" si="9"/>
        <v>53.225000000000001</v>
      </c>
      <c r="V124" s="1">
        <f t="shared" si="10"/>
        <v>-60.400799999999435</v>
      </c>
      <c r="W124" s="1">
        <f t="shared" si="11"/>
        <v>209657</v>
      </c>
      <c r="X124" s="1">
        <f t="shared" si="12"/>
        <v>-15.324999999999999</v>
      </c>
      <c r="Y124" s="1">
        <f t="shared" si="13"/>
        <v>15.99005</v>
      </c>
      <c r="Z124">
        <f t="shared" si="14"/>
        <v>0</v>
      </c>
    </row>
    <row r="125" spans="1:26" x14ac:dyDescent="0.2">
      <c r="A125">
        <f t="shared" si="15"/>
        <v>123</v>
      </c>
      <c r="B125">
        <v>2014</v>
      </c>
      <c r="C125" t="s">
        <v>54</v>
      </c>
      <c r="D125" t="s">
        <v>55</v>
      </c>
      <c r="E125">
        <v>4</v>
      </c>
      <c r="F125" s="2">
        <v>112</v>
      </c>
      <c r="G125" s="2" t="s">
        <v>40</v>
      </c>
      <c r="H125" s="2" t="s">
        <v>39</v>
      </c>
      <c r="I125" s="2" t="s">
        <v>41</v>
      </c>
      <c r="J125" s="2">
        <v>311</v>
      </c>
      <c r="K125" s="3">
        <v>198.31</v>
      </c>
      <c r="L125" s="3">
        <v>199.21</v>
      </c>
      <c r="M125" s="3">
        <v>340.41</v>
      </c>
      <c r="N125" s="3">
        <v>12447.9187</v>
      </c>
      <c r="O125" s="3">
        <v>12503</v>
      </c>
      <c r="P125" s="3">
        <v>1340951</v>
      </c>
      <c r="Q125" s="3">
        <v>1.375</v>
      </c>
      <c r="R125" s="3">
        <v>1.0625</v>
      </c>
      <c r="S125" s="3">
        <v>15.753399999999999</v>
      </c>
      <c r="T125" s="1">
        <f t="shared" si="8"/>
        <v>-0.90000000000000568</v>
      </c>
      <c r="U125" s="1">
        <f t="shared" si="9"/>
        <v>170.20500000000001</v>
      </c>
      <c r="V125" s="1">
        <f t="shared" si="10"/>
        <v>-55.081299999999828</v>
      </c>
      <c r="W125" s="1">
        <f t="shared" si="11"/>
        <v>670475.5</v>
      </c>
      <c r="X125" s="1">
        <f t="shared" si="12"/>
        <v>0.3125</v>
      </c>
      <c r="Y125" s="1">
        <f t="shared" si="13"/>
        <v>7.8766999999999996</v>
      </c>
      <c r="Z125">
        <f t="shared" si="14"/>
        <v>0</v>
      </c>
    </row>
    <row r="126" spans="1:26" x14ac:dyDescent="0.2">
      <c r="A126">
        <f t="shared" si="15"/>
        <v>124</v>
      </c>
      <c r="B126">
        <v>2015</v>
      </c>
      <c r="C126" t="s">
        <v>81</v>
      </c>
      <c r="D126" t="s">
        <v>82</v>
      </c>
      <c r="E126">
        <v>4</v>
      </c>
      <c r="F126" s="2">
        <v>31</v>
      </c>
      <c r="G126" s="2" t="s">
        <v>28</v>
      </c>
      <c r="H126" s="2" t="s">
        <v>29</v>
      </c>
      <c r="I126" s="2" t="s">
        <v>30</v>
      </c>
      <c r="J126" s="2">
        <v>11</v>
      </c>
      <c r="K126" s="3">
        <v>243.05</v>
      </c>
      <c r="L126" s="3">
        <v>243.95</v>
      </c>
      <c r="M126" s="3">
        <v>106.45</v>
      </c>
      <c r="N126" s="3">
        <v>15256.248500000002</v>
      </c>
      <c r="O126" s="3">
        <v>15311</v>
      </c>
      <c r="P126" s="3">
        <v>419314</v>
      </c>
      <c r="Q126" s="3">
        <v>1.9</v>
      </c>
      <c r="R126" s="3">
        <v>17.399999999999999</v>
      </c>
      <c r="S126" s="3">
        <v>31.9801</v>
      </c>
      <c r="T126" s="1">
        <f t="shared" si="8"/>
        <v>-0.89999999999997726</v>
      </c>
      <c r="U126" s="1">
        <f t="shared" si="9"/>
        <v>53.225000000000001</v>
      </c>
      <c r="V126" s="1">
        <f t="shared" si="10"/>
        <v>-54.751499999998487</v>
      </c>
      <c r="W126" s="1">
        <f t="shared" si="11"/>
        <v>209657</v>
      </c>
      <c r="X126" s="1">
        <f t="shared" si="12"/>
        <v>-15.499999999999998</v>
      </c>
      <c r="Y126" s="1">
        <f t="shared" si="13"/>
        <v>15.99005</v>
      </c>
      <c r="Z126">
        <f t="shared" si="14"/>
        <v>0</v>
      </c>
    </row>
    <row r="127" spans="1:26" x14ac:dyDescent="0.2">
      <c r="A127">
        <f t="shared" si="15"/>
        <v>125</v>
      </c>
      <c r="B127">
        <v>2014</v>
      </c>
      <c r="C127" t="s">
        <v>64</v>
      </c>
      <c r="D127" t="s">
        <v>70</v>
      </c>
      <c r="E127">
        <v>4</v>
      </c>
      <c r="F127" s="2">
        <v>21</v>
      </c>
      <c r="G127" s="2" t="s">
        <v>71</v>
      </c>
      <c r="H127" s="2" t="s">
        <v>66</v>
      </c>
      <c r="I127" s="2" t="s">
        <v>30</v>
      </c>
      <c r="J127" s="2">
        <v>711</v>
      </c>
      <c r="K127" s="3">
        <v>213.36</v>
      </c>
      <c r="L127" s="3">
        <v>214.18</v>
      </c>
      <c r="M127" s="3">
        <v>106.85</v>
      </c>
      <c r="N127" s="3">
        <v>13392.607200000002</v>
      </c>
      <c r="O127" s="3">
        <v>13442</v>
      </c>
      <c r="P127" s="3">
        <v>420908</v>
      </c>
      <c r="Q127" s="3">
        <v>5.25</v>
      </c>
      <c r="R127" s="3">
        <v>10</v>
      </c>
      <c r="S127" s="3">
        <v>6.2126000000000001</v>
      </c>
      <c r="T127" s="1">
        <f t="shared" si="8"/>
        <v>-0.81999999999999318</v>
      </c>
      <c r="U127" s="1">
        <f t="shared" si="9"/>
        <v>53.424999999999997</v>
      </c>
      <c r="V127" s="1">
        <f t="shared" si="10"/>
        <v>-49.392799999997806</v>
      </c>
      <c r="W127" s="1">
        <f t="shared" si="11"/>
        <v>210454</v>
      </c>
      <c r="X127" s="1">
        <f t="shared" si="12"/>
        <v>-4.75</v>
      </c>
      <c r="Y127" s="1">
        <f t="shared" si="13"/>
        <v>3.1063000000000001</v>
      </c>
      <c r="Z127">
        <f t="shared" si="14"/>
        <v>1</v>
      </c>
    </row>
    <row r="128" spans="1:26" x14ac:dyDescent="0.2">
      <c r="A128">
        <f t="shared" si="15"/>
        <v>126</v>
      </c>
      <c r="B128">
        <v>2015</v>
      </c>
      <c r="C128" t="s">
        <v>64</v>
      </c>
      <c r="D128" t="s">
        <v>91</v>
      </c>
      <c r="E128">
        <v>6</v>
      </c>
      <c r="F128" s="2">
        <v>61</v>
      </c>
      <c r="G128" s="2" t="s">
        <v>38</v>
      </c>
      <c r="H128" s="2" t="s">
        <v>39</v>
      </c>
      <c r="I128" s="2" t="s">
        <v>30</v>
      </c>
      <c r="J128" s="2">
        <v>311</v>
      </c>
      <c r="K128" s="3">
        <v>194.68</v>
      </c>
      <c r="L128" s="3">
        <v>195.3</v>
      </c>
      <c r="M128" s="3">
        <v>52.46</v>
      </c>
      <c r="N128" s="3">
        <v>12220.063600000001</v>
      </c>
      <c r="O128" s="3">
        <v>12258</v>
      </c>
      <c r="P128" s="3">
        <v>206693</v>
      </c>
      <c r="Q128" s="3">
        <v>29.666699999999999</v>
      </c>
      <c r="R128" s="3">
        <v>30</v>
      </c>
      <c r="S128" s="3">
        <v>49.622199999999999</v>
      </c>
      <c r="T128" s="1">
        <f t="shared" si="8"/>
        <v>-0.62000000000000455</v>
      </c>
      <c r="U128" s="1">
        <f t="shared" si="9"/>
        <v>17.486666666666668</v>
      </c>
      <c r="V128" s="1">
        <f t="shared" si="10"/>
        <v>-37.936399999998685</v>
      </c>
      <c r="W128" s="1">
        <f t="shared" si="11"/>
        <v>68897.666666666672</v>
      </c>
      <c r="X128" s="1">
        <f t="shared" si="12"/>
        <v>-0.33330000000000126</v>
      </c>
      <c r="Y128" s="1">
        <f t="shared" si="13"/>
        <v>16.540733333333332</v>
      </c>
      <c r="Z128">
        <f t="shared" si="14"/>
        <v>1</v>
      </c>
    </row>
    <row r="129" spans="1:26" x14ac:dyDescent="0.2">
      <c r="A129">
        <f t="shared" si="15"/>
        <v>127</v>
      </c>
      <c r="B129">
        <v>2014</v>
      </c>
      <c r="C129" t="s">
        <v>50</v>
      </c>
      <c r="D129" t="s">
        <v>80</v>
      </c>
      <c r="E129">
        <v>4</v>
      </c>
      <c r="F129" s="2">
        <v>51</v>
      </c>
      <c r="G129" s="2" t="s">
        <v>36</v>
      </c>
      <c r="H129" s="2" t="s">
        <v>66</v>
      </c>
      <c r="I129" s="2" t="s">
        <v>30</v>
      </c>
      <c r="J129" s="2">
        <v>11</v>
      </c>
      <c r="K129" s="3">
        <v>211.71</v>
      </c>
      <c r="L129" s="3">
        <v>212.3</v>
      </c>
      <c r="M129" s="3">
        <v>100.21</v>
      </c>
      <c r="N129" s="3">
        <v>13289.036700000001</v>
      </c>
      <c r="O129" s="3">
        <v>13324</v>
      </c>
      <c r="P129" s="3">
        <v>394707</v>
      </c>
      <c r="Q129" s="3">
        <v>39.164999999999999</v>
      </c>
      <c r="R129" s="3">
        <v>23.75</v>
      </c>
      <c r="S129" s="3">
        <v>150.47</v>
      </c>
      <c r="T129" s="1">
        <f t="shared" si="8"/>
        <v>-0.59000000000000341</v>
      </c>
      <c r="U129" s="1">
        <f t="shared" si="9"/>
        <v>50.104999999999997</v>
      </c>
      <c r="V129" s="1">
        <f t="shared" si="10"/>
        <v>-34.963299999999435</v>
      </c>
      <c r="W129" s="1">
        <f t="shared" si="11"/>
        <v>197353.5</v>
      </c>
      <c r="X129" s="1">
        <f t="shared" si="12"/>
        <v>15.414999999999999</v>
      </c>
      <c r="Y129" s="1">
        <f t="shared" si="13"/>
        <v>75.234999999999999</v>
      </c>
      <c r="Z129">
        <f t="shared" si="14"/>
        <v>1</v>
      </c>
    </row>
    <row r="130" spans="1:26" x14ac:dyDescent="0.2">
      <c r="A130">
        <f t="shared" si="15"/>
        <v>128</v>
      </c>
      <c r="B130">
        <v>2014</v>
      </c>
      <c r="C130" t="s">
        <v>50</v>
      </c>
      <c r="D130" t="s">
        <v>80</v>
      </c>
      <c r="E130">
        <v>4</v>
      </c>
      <c r="F130" s="2">
        <v>82</v>
      </c>
      <c r="G130" s="2" t="s">
        <v>31</v>
      </c>
      <c r="H130" s="2" t="s">
        <v>46</v>
      </c>
      <c r="I130" s="2" t="s">
        <v>41</v>
      </c>
      <c r="J130" s="2">
        <v>311</v>
      </c>
      <c r="K130" s="3">
        <v>211.8</v>
      </c>
      <c r="L130" s="3">
        <v>212.3</v>
      </c>
      <c r="M130" s="3">
        <v>100.21</v>
      </c>
      <c r="N130" s="3">
        <v>13294.686000000002</v>
      </c>
      <c r="O130" s="3">
        <v>13324</v>
      </c>
      <c r="P130" s="3">
        <v>394707</v>
      </c>
      <c r="Q130" s="3">
        <v>42.917499999999997</v>
      </c>
      <c r="R130" s="3">
        <v>23.75</v>
      </c>
      <c r="S130" s="3">
        <v>150.47</v>
      </c>
      <c r="T130" s="1">
        <f t="shared" si="8"/>
        <v>-0.5</v>
      </c>
      <c r="U130" s="1">
        <f t="shared" si="9"/>
        <v>50.104999999999997</v>
      </c>
      <c r="V130" s="1">
        <f t="shared" si="10"/>
        <v>-29.313999999998487</v>
      </c>
      <c r="W130" s="1">
        <f t="shared" si="11"/>
        <v>197353.5</v>
      </c>
      <c r="X130" s="1">
        <f t="shared" si="12"/>
        <v>19.167499999999997</v>
      </c>
      <c r="Y130" s="1">
        <f t="shared" si="13"/>
        <v>75.234999999999999</v>
      </c>
      <c r="Z130">
        <f t="shared" si="14"/>
        <v>1</v>
      </c>
    </row>
    <row r="131" spans="1:26" x14ac:dyDescent="0.2">
      <c r="A131">
        <f t="shared" si="15"/>
        <v>129</v>
      </c>
      <c r="B131">
        <v>2015</v>
      </c>
      <c r="C131" t="s">
        <v>67</v>
      </c>
      <c r="D131" t="s">
        <v>83</v>
      </c>
      <c r="E131">
        <v>4</v>
      </c>
      <c r="F131" s="2">
        <v>21</v>
      </c>
      <c r="G131" s="2" t="s">
        <v>71</v>
      </c>
      <c r="H131" s="2" t="s">
        <v>66</v>
      </c>
      <c r="I131" s="2" t="s">
        <v>30</v>
      </c>
      <c r="J131" s="2">
        <v>711</v>
      </c>
      <c r="K131" s="3">
        <v>144.29</v>
      </c>
      <c r="L131" s="3">
        <v>144.63999999999999</v>
      </c>
      <c r="M131" s="3">
        <v>77.010000000000005</v>
      </c>
      <c r="N131" s="3">
        <v>9057.0833000000002</v>
      </c>
      <c r="O131" s="3">
        <v>9078.2900000000009</v>
      </c>
      <c r="P131" s="3">
        <v>303378</v>
      </c>
      <c r="Q131" s="3">
        <v>67.5</v>
      </c>
      <c r="R131" s="3">
        <v>65</v>
      </c>
      <c r="S131" s="3">
        <v>25.341100000000001</v>
      </c>
      <c r="T131" s="1">
        <f t="shared" ref="T131:T194" si="16">K131-L131</f>
        <v>-0.34999999999999432</v>
      </c>
      <c r="U131" s="1">
        <f t="shared" ref="U131:U194" si="17">(2*M131)/E131</f>
        <v>38.505000000000003</v>
      </c>
      <c r="V131" s="1">
        <f t="shared" ref="V131:V194" si="18">N131-O131</f>
        <v>-21.206700000000637</v>
      </c>
      <c r="W131" s="1">
        <f t="shared" ref="W131:W194" si="19">(2*P131)/E131</f>
        <v>151689</v>
      </c>
      <c r="X131" s="1">
        <f t="shared" ref="X131:X194" si="20">Q131-R131</f>
        <v>2.5</v>
      </c>
      <c r="Y131" s="1">
        <f t="shared" ref="Y131:Y194" si="21">(2*S131)/E131</f>
        <v>12.67055</v>
      </c>
      <c r="Z131">
        <f t="shared" ref="Z131:Z194" si="22">IF(Q131&lt;5,0,1)</f>
        <v>1</v>
      </c>
    </row>
    <row r="132" spans="1:26" x14ac:dyDescent="0.2">
      <c r="A132">
        <f t="shared" ref="A132:A195" si="23">A131+1</f>
        <v>130</v>
      </c>
      <c r="B132">
        <v>2015</v>
      </c>
      <c r="C132" t="s">
        <v>52</v>
      </c>
      <c r="D132" t="s">
        <v>79</v>
      </c>
      <c r="E132">
        <v>4</v>
      </c>
      <c r="F132" s="2">
        <v>51</v>
      </c>
      <c r="G132" s="2" t="s">
        <v>36</v>
      </c>
      <c r="H132" s="2" t="s">
        <v>66</v>
      </c>
      <c r="I132" s="2" t="s">
        <v>30</v>
      </c>
      <c r="J132" s="2">
        <v>11</v>
      </c>
      <c r="K132" s="3">
        <v>166.22</v>
      </c>
      <c r="L132" s="3">
        <v>166.53</v>
      </c>
      <c r="M132" s="3">
        <v>37.15</v>
      </c>
      <c r="N132" s="3">
        <v>10433.6294</v>
      </c>
      <c r="O132" s="3">
        <v>10452</v>
      </c>
      <c r="P132" s="3">
        <v>146343</v>
      </c>
      <c r="Q132" s="3">
        <v>53.75</v>
      </c>
      <c r="R132" s="3">
        <v>58.75</v>
      </c>
      <c r="S132" s="3">
        <v>35.233899999999998</v>
      </c>
      <c r="T132" s="1">
        <f t="shared" si="16"/>
        <v>-0.31000000000000227</v>
      </c>
      <c r="U132" s="1">
        <f t="shared" si="17"/>
        <v>18.574999999999999</v>
      </c>
      <c r="V132" s="1">
        <f t="shared" si="18"/>
        <v>-18.370600000000195</v>
      </c>
      <c r="W132" s="1">
        <f t="shared" si="19"/>
        <v>73171.5</v>
      </c>
      <c r="X132" s="1">
        <f t="shared" si="20"/>
        <v>-5</v>
      </c>
      <c r="Y132" s="1">
        <f t="shared" si="21"/>
        <v>17.616949999999999</v>
      </c>
      <c r="Z132">
        <f t="shared" si="22"/>
        <v>1</v>
      </c>
    </row>
    <row r="133" spans="1:26" x14ac:dyDescent="0.2">
      <c r="A133">
        <f t="shared" si="23"/>
        <v>131</v>
      </c>
      <c r="B133">
        <v>2015</v>
      </c>
      <c r="C133" t="s">
        <v>88</v>
      </c>
      <c r="D133" t="s">
        <v>90</v>
      </c>
      <c r="E133">
        <v>4</v>
      </c>
      <c r="F133" s="2">
        <v>41</v>
      </c>
      <c r="G133" s="2" t="s">
        <v>31</v>
      </c>
      <c r="H133" s="2" t="s">
        <v>62</v>
      </c>
      <c r="I133" s="2" t="s">
        <v>30</v>
      </c>
      <c r="J133" s="2">
        <v>311</v>
      </c>
      <c r="K133" s="3">
        <v>214.33</v>
      </c>
      <c r="L133" s="3">
        <v>214.57</v>
      </c>
      <c r="M133" s="3">
        <v>51.3</v>
      </c>
      <c r="N133" s="3">
        <v>13453.494100000002</v>
      </c>
      <c r="O133" s="3">
        <v>13467</v>
      </c>
      <c r="P133" s="3">
        <v>202142</v>
      </c>
      <c r="Q133" s="3">
        <v>0</v>
      </c>
      <c r="R133" s="3">
        <v>0</v>
      </c>
      <c r="S133" s="3">
        <v>0</v>
      </c>
      <c r="T133" s="1">
        <f t="shared" si="16"/>
        <v>-0.23999999999998067</v>
      </c>
      <c r="U133" s="1">
        <f t="shared" si="17"/>
        <v>25.65</v>
      </c>
      <c r="V133" s="1">
        <f t="shared" si="18"/>
        <v>-13.505899999998292</v>
      </c>
      <c r="W133" s="1">
        <f t="shared" si="19"/>
        <v>101071</v>
      </c>
      <c r="X133" s="1">
        <f t="shared" si="20"/>
        <v>0</v>
      </c>
      <c r="Y133" s="1">
        <f t="shared" si="21"/>
        <v>0</v>
      </c>
      <c r="Z133">
        <f t="shared" si="22"/>
        <v>0</v>
      </c>
    </row>
    <row r="134" spans="1:26" x14ac:dyDescent="0.2">
      <c r="A134">
        <f t="shared" si="23"/>
        <v>132</v>
      </c>
      <c r="B134">
        <v>2014</v>
      </c>
      <c r="C134" t="s">
        <v>54</v>
      </c>
      <c r="D134" t="s">
        <v>55</v>
      </c>
      <c r="E134">
        <v>4</v>
      </c>
      <c r="F134" s="2">
        <v>21</v>
      </c>
      <c r="G134" s="2" t="s">
        <v>71</v>
      </c>
      <c r="H134" s="2" t="s">
        <v>66</v>
      </c>
      <c r="I134" s="2" t="s">
        <v>30</v>
      </c>
      <c r="J134" s="2">
        <v>711</v>
      </c>
      <c r="K134" s="3">
        <v>199.03</v>
      </c>
      <c r="L134" s="3">
        <v>199.21</v>
      </c>
      <c r="M134" s="3">
        <v>340.41</v>
      </c>
      <c r="N134" s="3">
        <v>12493.1131</v>
      </c>
      <c r="O134" s="3">
        <v>12503</v>
      </c>
      <c r="P134" s="3">
        <v>1340951</v>
      </c>
      <c r="Q134" s="3">
        <v>1.2375</v>
      </c>
      <c r="R134" s="3">
        <v>1.0625</v>
      </c>
      <c r="S134" s="3">
        <v>15.753399999999999</v>
      </c>
      <c r="T134" s="1">
        <f t="shared" si="16"/>
        <v>-0.18000000000000682</v>
      </c>
      <c r="U134" s="1">
        <f t="shared" si="17"/>
        <v>170.20500000000001</v>
      </c>
      <c r="V134" s="1">
        <f t="shared" si="18"/>
        <v>-9.886899999999514</v>
      </c>
      <c r="W134" s="1">
        <f t="shared" si="19"/>
        <v>670475.5</v>
      </c>
      <c r="X134" s="1">
        <f t="shared" si="20"/>
        <v>0.17500000000000004</v>
      </c>
      <c r="Y134" s="1">
        <f t="shared" si="21"/>
        <v>7.8766999999999996</v>
      </c>
      <c r="Z134">
        <f t="shared" si="22"/>
        <v>0</v>
      </c>
    </row>
    <row r="135" spans="1:26" x14ac:dyDescent="0.2">
      <c r="A135">
        <f t="shared" si="23"/>
        <v>133</v>
      </c>
      <c r="B135">
        <v>2014</v>
      </c>
      <c r="C135" t="s">
        <v>52</v>
      </c>
      <c r="D135" t="s">
        <v>79</v>
      </c>
      <c r="E135">
        <v>4</v>
      </c>
      <c r="F135" s="2">
        <v>51</v>
      </c>
      <c r="G135" s="2" t="s">
        <v>36</v>
      </c>
      <c r="H135" s="2" t="s">
        <v>66</v>
      </c>
      <c r="I135" s="2" t="s">
        <v>30</v>
      </c>
      <c r="J135" s="2">
        <v>11</v>
      </c>
      <c r="K135" s="3">
        <v>164.89</v>
      </c>
      <c r="L135" s="3">
        <v>165.03</v>
      </c>
      <c r="M135" s="3">
        <v>19.100000000000001</v>
      </c>
      <c r="N135" s="3">
        <v>10350.1453</v>
      </c>
      <c r="O135" s="3">
        <v>10358</v>
      </c>
      <c r="P135" s="3">
        <v>75251</v>
      </c>
      <c r="Q135" s="3">
        <v>60</v>
      </c>
      <c r="R135" s="3">
        <v>70</v>
      </c>
      <c r="S135" s="3">
        <v>10.1486</v>
      </c>
      <c r="T135" s="1">
        <f t="shared" si="16"/>
        <v>-0.14000000000001478</v>
      </c>
      <c r="U135" s="1">
        <f t="shared" si="17"/>
        <v>9.5500000000000007</v>
      </c>
      <c r="V135" s="1">
        <f t="shared" si="18"/>
        <v>-7.8546999999998661</v>
      </c>
      <c r="W135" s="1">
        <f t="shared" si="19"/>
        <v>37625.5</v>
      </c>
      <c r="X135" s="1">
        <f t="shared" si="20"/>
        <v>-10</v>
      </c>
      <c r="Y135" s="1">
        <f t="shared" si="21"/>
        <v>5.0743</v>
      </c>
      <c r="Z135">
        <f t="shared" si="22"/>
        <v>1</v>
      </c>
    </row>
    <row r="136" spans="1:26" x14ac:dyDescent="0.2">
      <c r="A136">
        <f t="shared" si="23"/>
        <v>134</v>
      </c>
      <c r="B136">
        <v>2015</v>
      </c>
      <c r="C136" t="s">
        <v>72</v>
      </c>
      <c r="D136" t="s">
        <v>74</v>
      </c>
      <c r="E136">
        <v>4</v>
      </c>
      <c r="F136" s="2">
        <v>31</v>
      </c>
      <c r="G136" s="2" t="s">
        <v>28</v>
      </c>
      <c r="H136" s="2" t="s">
        <v>29</v>
      </c>
      <c r="I136" s="2" t="s">
        <v>30</v>
      </c>
      <c r="J136" s="2">
        <v>11</v>
      </c>
      <c r="K136" s="3">
        <v>174.38</v>
      </c>
      <c r="L136" s="3">
        <v>174.51</v>
      </c>
      <c r="M136" s="3">
        <v>222.67</v>
      </c>
      <c r="N136" s="3">
        <v>10945.8326</v>
      </c>
      <c r="O136" s="3">
        <v>10953</v>
      </c>
      <c r="P136" s="3">
        <v>877097</v>
      </c>
      <c r="Q136" s="3">
        <v>8.5500000000000007</v>
      </c>
      <c r="R136" s="3">
        <v>13.05</v>
      </c>
      <c r="S136" s="3">
        <v>5.4372999999999996</v>
      </c>
      <c r="T136" s="1">
        <f t="shared" si="16"/>
        <v>-0.12999999999999545</v>
      </c>
      <c r="U136" s="1">
        <f t="shared" si="17"/>
        <v>111.33499999999999</v>
      </c>
      <c r="V136" s="1">
        <f t="shared" si="18"/>
        <v>-7.1674000000002707</v>
      </c>
      <c r="W136" s="1">
        <f t="shared" si="19"/>
        <v>438548.5</v>
      </c>
      <c r="X136" s="1">
        <f t="shared" si="20"/>
        <v>-4.5</v>
      </c>
      <c r="Y136" s="1">
        <f t="shared" si="21"/>
        <v>2.7186499999999998</v>
      </c>
      <c r="Z136">
        <f t="shared" si="22"/>
        <v>1</v>
      </c>
    </row>
    <row r="137" spans="1:26" x14ac:dyDescent="0.2">
      <c r="A137">
        <f t="shared" si="23"/>
        <v>135</v>
      </c>
      <c r="B137">
        <v>2015</v>
      </c>
      <c r="C137" t="s">
        <v>54</v>
      </c>
      <c r="D137" t="s">
        <v>69</v>
      </c>
      <c r="E137">
        <v>4</v>
      </c>
      <c r="F137" s="2">
        <v>132</v>
      </c>
      <c r="G137" s="2" t="s">
        <v>49</v>
      </c>
      <c r="H137" s="2" t="s">
        <v>46</v>
      </c>
      <c r="I137" s="2" t="s">
        <v>41</v>
      </c>
      <c r="J137" s="2">
        <v>3</v>
      </c>
      <c r="K137" s="3">
        <v>246.51</v>
      </c>
      <c r="L137" s="3">
        <v>246.63</v>
      </c>
      <c r="M137" s="3">
        <v>212.78</v>
      </c>
      <c r="N137" s="3">
        <v>15473.432699999999</v>
      </c>
      <c r="O137" s="3">
        <v>15479</v>
      </c>
      <c r="P137" s="3">
        <v>838171</v>
      </c>
      <c r="Q137" s="3">
        <v>45</v>
      </c>
      <c r="R137" s="3">
        <v>32.5</v>
      </c>
      <c r="S137" s="3">
        <v>207.72</v>
      </c>
      <c r="T137" s="1">
        <f t="shared" si="16"/>
        <v>-0.12000000000000455</v>
      </c>
      <c r="U137" s="1">
        <f t="shared" si="17"/>
        <v>106.39</v>
      </c>
      <c r="V137" s="1">
        <f t="shared" si="18"/>
        <v>-5.5673000000006141</v>
      </c>
      <c r="W137" s="1">
        <f t="shared" si="19"/>
        <v>419085.5</v>
      </c>
      <c r="X137" s="1">
        <f t="shared" si="20"/>
        <v>12.5</v>
      </c>
      <c r="Y137" s="1">
        <f t="shared" si="21"/>
        <v>103.86</v>
      </c>
      <c r="Z137">
        <f t="shared" si="22"/>
        <v>1</v>
      </c>
    </row>
    <row r="138" spans="1:26" x14ac:dyDescent="0.2">
      <c r="A138">
        <f t="shared" si="23"/>
        <v>136</v>
      </c>
      <c r="B138">
        <v>2014</v>
      </c>
      <c r="C138" t="s">
        <v>64</v>
      </c>
      <c r="D138" t="s">
        <v>70</v>
      </c>
      <c r="E138">
        <v>4</v>
      </c>
      <c r="F138" s="2">
        <v>82</v>
      </c>
      <c r="G138" s="2" t="s">
        <v>31</v>
      </c>
      <c r="H138" s="2" t="s">
        <v>46</v>
      </c>
      <c r="I138" s="2" t="s">
        <v>41</v>
      </c>
      <c r="J138" s="2">
        <v>311</v>
      </c>
      <c r="K138" s="3">
        <v>214.1</v>
      </c>
      <c r="L138" s="3">
        <v>214.18</v>
      </c>
      <c r="M138" s="3">
        <v>106.85</v>
      </c>
      <c r="N138" s="3">
        <v>13439.057000000001</v>
      </c>
      <c r="O138" s="3">
        <v>13442</v>
      </c>
      <c r="P138" s="3">
        <v>420908</v>
      </c>
      <c r="Q138" s="3">
        <v>7.5</v>
      </c>
      <c r="R138" s="3">
        <v>10</v>
      </c>
      <c r="S138" s="3">
        <v>6.2126000000000001</v>
      </c>
      <c r="T138" s="1">
        <f t="shared" si="16"/>
        <v>-8.0000000000012506E-2</v>
      </c>
      <c r="U138" s="1">
        <f t="shared" si="17"/>
        <v>53.424999999999997</v>
      </c>
      <c r="V138" s="1">
        <f t="shared" si="18"/>
        <v>-2.9429999999993015</v>
      </c>
      <c r="W138" s="1">
        <f t="shared" si="19"/>
        <v>210454</v>
      </c>
      <c r="X138" s="1">
        <f t="shared" si="20"/>
        <v>-2.5</v>
      </c>
      <c r="Y138" s="1">
        <f t="shared" si="21"/>
        <v>3.1063000000000001</v>
      </c>
      <c r="Z138">
        <f t="shared" si="22"/>
        <v>1</v>
      </c>
    </row>
    <row r="139" spans="1:26" x14ac:dyDescent="0.2">
      <c r="A139">
        <f t="shared" si="23"/>
        <v>137</v>
      </c>
      <c r="B139">
        <v>2015</v>
      </c>
      <c r="C139" t="s">
        <v>60</v>
      </c>
      <c r="D139" t="s">
        <v>61</v>
      </c>
      <c r="E139">
        <v>6</v>
      </c>
      <c r="F139" s="2">
        <v>72</v>
      </c>
      <c r="G139" s="2" t="s">
        <v>47</v>
      </c>
      <c r="H139" s="2" t="s">
        <v>48</v>
      </c>
      <c r="I139" s="2" t="s">
        <v>41</v>
      </c>
      <c r="J139" s="2">
        <v>311</v>
      </c>
      <c r="K139" s="3">
        <v>263.58</v>
      </c>
      <c r="L139" s="3">
        <v>263.64</v>
      </c>
      <c r="M139" s="3">
        <v>207.31</v>
      </c>
      <c r="N139" s="3">
        <v>16544.9166</v>
      </c>
      <c r="O139" s="3">
        <v>16547</v>
      </c>
      <c r="P139" s="3">
        <v>816614</v>
      </c>
      <c r="Q139" s="3">
        <v>8.5</v>
      </c>
      <c r="R139" s="3">
        <v>25.5</v>
      </c>
      <c r="S139" s="3">
        <v>40.421999999999997</v>
      </c>
      <c r="T139" s="1">
        <f t="shared" si="16"/>
        <v>-6.0000000000002274E-2</v>
      </c>
      <c r="U139" s="1">
        <f t="shared" si="17"/>
        <v>69.103333333333339</v>
      </c>
      <c r="V139" s="1">
        <f t="shared" si="18"/>
        <v>-2.0833999999995285</v>
      </c>
      <c r="W139" s="1">
        <f t="shared" si="19"/>
        <v>272204.66666666669</v>
      </c>
      <c r="X139" s="1">
        <f t="shared" si="20"/>
        <v>-17</v>
      </c>
      <c r="Y139" s="1">
        <f t="shared" si="21"/>
        <v>13.473999999999998</v>
      </c>
      <c r="Z139">
        <f t="shared" si="22"/>
        <v>1</v>
      </c>
    </row>
    <row r="140" spans="1:26" x14ac:dyDescent="0.2">
      <c r="A140">
        <f t="shared" si="23"/>
        <v>138</v>
      </c>
      <c r="B140">
        <v>2015</v>
      </c>
      <c r="C140" t="s">
        <v>81</v>
      </c>
      <c r="D140" t="s">
        <v>82</v>
      </c>
      <c r="E140">
        <v>4</v>
      </c>
      <c r="F140" s="2">
        <v>61</v>
      </c>
      <c r="G140" s="2" t="s">
        <v>38</v>
      </c>
      <c r="H140" s="2" t="s">
        <v>39</v>
      </c>
      <c r="I140" s="2" t="s">
        <v>30</v>
      </c>
      <c r="J140" s="2">
        <v>311</v>
      </c>
      <c r="K140" s="3">
        <v>243.96</v>
      </c>
      <c r="L140" s="3">
        <v>243.95</v>
      </c>
      <c r="M140" s="3">
        <v>106.45</v>
      </c>
      <c r="N140" s="3">
        <v>15313.369200000001</v>
      </c>
      <c r="O140" s="3">
        <v>15311</v>
      </c>
      <c r="P140" s="3">
        <v>419314</v>
      </c>
      <c r="Q140" s="3">
        <v>4.4249999999999998</v>
      </c>
      <c r="R140" s="3">
        <v>17.399999999999999</v>
      </c>
      <c r="S140" s="3">
        <v>31.9801</v>
      </c>
      <c r="T140" s="1">
        <f t="shared" si="16"/>
        <v>1.0000000000019327E-2</v>
      </c>
      <c r="U140" s="1">
        <f t="shared" si="17"/>
        <v>53.225000000000001</v>
      </c>
      <c r="V140" s="1">
        <f t="shared" si="18"/>
        <v>2.3692000000010012</v>
      </c>
      <c r="W140" s="1">
        <f t="shared" si="19"/>
        <v>209657</v>
      </c>
      <c r="X140" s="1">
        <f t="shared" si="20"/>
        <v>-12.974999999999998</v>
      </c>
      <c r="Y140" s="1">
        <f t="shared" si="21"/>
        <v>15.99005</v>
      </c>
      <c r="Z140">
        <f t="shared" si="22"/>
        <v>0</v>
      </c>
    </row>
    <row r="141" spans="1:26" x14ac:dyDescent="0.2">
      <c r="A141">
        <f t="shared" si="23"/>
        <v>139</v>
      </c>
      <c r="B141">
        <v>2015</v>
      </c>
      <c r="C141" t="s">
        <v>52</v>
      </c>
      <c r="D141" t="s">
        <v>79</v>
      </c>
      <c r="E141">
        <v>4</v>
      </c>
      <c r="F141" s="2">
        <v>183</v>
      </c>
      <c r="G141" s="2" t="s">
        <v>36</v>
      </c>
      <c r="H141" s="2" t="s">
        <v>37</v>
      </c>
      <c r="I141" s="2" t="s">
        <v>33</v>
      </c>
      <c r="J141" s="2">
        <v>11</v>
      </c>
      <c r="K141" s="3">
        <v>166.68</v>
      </c>
      <c r="L141" s="3">
        <v>166.53</v>
      </c>
      <c r="M141" s="3">
        <v>37.15</v>
      </c>
      <c r="N141" s="3">
        <v>10462.503600000002</v>
      </c>
      <c r="O141" s="3">
        <v>10452</v>
      </c>
      <c r="P141" s="3">
        <v>146343</v>
      </c>
      <c r="Q141" s="3">
        <v>53.75</v>
      </c>
      <c r="R141" s="3">
        <v>58.75</v>
      </c>
      <c r="S141" s="3">
        <v>35.233899999999998</v>
      </c>
      <c r="T141" s="1">
        <f t="shared" si="16"/>
        <v>0.15000000000000568</v>
      </c>
      <c r="U141" s="1">
        <f t="shared" si="17"/>
        <v>18.574999999999999</v>
      </c>
      <c r="V141" s="1">
        <f t="shared" si="18"/>
        <v>10.503600000001825</v>
      </c>
      <c r="W141" s="1">
        <f t="shared" si="19"/>
        <v>73171.5</v>
      </c>
      <c r="X141" s="1">
        <f t="shared" si="20"/>
        <v>-5</v>
      </c>
      <c r="Y141" s="1">
        <f t="shared" si="21"/>
        <v>17.616949999999999</v>
      </c>
      <c r="Z141">
        <f t="shared" si="22"/>
        <v>1</v>
      </c>
    </row>
    <row r="142" spans="1:26" x14ac:dyDescent="0.2">
      <c r="A142">
        <f t="shared" si="23"/>
        <v>140</v>
      </c>
      <c r="B142">
        <v>2015</v>
      </c>
      <c r="C142" t="s">
        <v>52</v>
      </c>
      <c r="D142" t="s">
        <v>53</v>
      </c>
      <c r="E142">
        <v>4</v>
      </c>
      <c r="F142" s="2">
        <v>72</v>
      </c>
      <c r="G142" s="2" t="s">
        <v>47</v>
      </c>
      <c r="H142" s="2" t="s">
        <v>48</v>
      </c>
      <c r="I142" s="2" t="s">
        <v>41</v>
      </c>
      <c r="J142" s="2">
        <v>311</v>
      </c>
      <c r="K142" s="3">
        <v>172.3</v>
      </c>
      <c r="L142" s="3">
        <v>172.02</v>
      </c>
      <c r="M142" s="3">
        <v>125.18</v>
      </c>
      <c r="N142" s="3">
        <v>10815.271000000001</v>
      </c>
      <c r="O142" s="3">
        <v>10797</v>
      </c>
      <c r="P142" s="3">
        <v>493089</v>
      </c>
      <c r="Q142" s="3">
        <v>1.7</v>
      </c>
      <c r="R142" s="3">
        <v>2.2000000000000002</v>
      </c>
      <c r="S142" s="3">
        <v>1.6871</v>
      </c>
      <c r="T142" s="1">
        <f t="shared" si="16"/>
        <v>0.28000000000000114</v>
      </c>
      <c r="U142" s="1">
        <f t="shared" si="17"/>
        <v>62.59</v>
      </c>
      <c r="V142" s="1">
        <f t="shared" si="18"/>
        <v>18.27100000000064</v>
      </c>
      <c r="W142" s="1">
        <f t="shared" si="19"/>
        <v>246544.5</v>
      </c>
      <c r="X142" s="1">
        <f t="shared" si="20"/>
        <v>-0.50000000000000022</v>
      </c>
      <c r="Y142" s="1">
        <f t="shared" si="21"/>
        <v>0.84355000000000002</v>
      </c>
      <c r="Z142">
        <f t="shared" si="22"/>
        <v>0</v>
      </c>
    </row>
    <row r="143" spans="1:26" x14ac:dyDescent="0.2">
      <c r="A143">
        <f t="shared" si="23"/>
        <v>141</v>
      </c>
      <c r="B143">
        <v>2015</v>
      </c>
      <c r="C143" t="s">
        <v>64</v>
      </c>
      <c r="D143" t="s">
        <v>91</v>
      </c>
      <c r="E143">
        <v>6</v>
      </c>
      <c r="F143" s="2">
        <v>41</v>
      </c>
      <c r="G143" s="2" t="s">
        <v>31</v>
      </c>
      <c r="H143" s="2" t="s">
        <v>62</v>
      </c>
      <c r="I143" s="2" t="s">
        <v>30</v>
      </c>
      <c r="J143" s="2">
        <v>311</v>
      </c>
      <c r="K143" s="3">
        <v>195.6</v>
      </c>
      <c r="L143" s="3">
        <v>195.3</v>
      </c>
      <c r="M143" s="3">
        <v>52.46</v>
      </c>
      <c r="N143" s="3">
        <v>12277.812</v>
      </c>
      <c r="O143" s="3">
        <v>12258</v>
      </c>
      <c r="P143" s="3">
        <v>206693</v>
      </c>
      <c r="Q143" s="3">
        <v>27.5</v>
      </c>
      <c r="R143" s="3">
        <v>30</v>
      </c>
      <c r="S143" s="3">
        <v>49.622199999999999</v>
      </c>
      <c r="T143" s="1">
        <f t="shared" si="16"/>
        <v>0.29999999999998295</v>
      </c>
      <c r="U143" s="1">
        <f t="shared" si="17"/>
        <v>17.486666666666668</v>
      </c>
      <c r="V143" s="1">
        <f t="shared" si="18"/>
        <v>19.811999999999898</v>
      </c>
      <c r="W143" s="1">
        <f t="shared" si="19"/>
        <v>68897.666666666672</v>
      </c>
      <c r="X143" s="1">
        <f t="shared" si="20"/>
        <v>-2.5</v>
      </c>
      <c r="Y143" s="1">
        <f t="shared" si="21"/>
        <v>16.540733333333332</v>
      </c>
      <c r="Z143">
        <f t="shared" si="22"/>
        <v>1</v>
      </c>
    </row>
    <row r="144" spans="1:26" x14ac:dyDescent="0.2">
      <c r="A144">
        <f t="shared" si="23"/>
        <v>142</v>
      </c>
      <c r="B144">
        <v>2015</v>
      </c>
      <c r="C144" t="s">
        <v>64</v>
      </c>
      <c r="D144" t="s">
        <v>91</v>
      </c>
      <c r="E144">
        <v>6</v>
      </c>
      <c r="F144" s="2">
        <v>51</v>
      </c>
      <c r="G144" s="2" t="s">
        <v>36</v>
      </c>
      <c r="H144" s="2" t="s">
        <v>66</v>
      </c>
      <c r="I144" s="2" t="s">
        <v>30</v>
      </c>
      <c r="J144" s="2">
        <v>11</v>
      </c>
      <c r="K144" s="3">
        <v>195.61</v>
      </c>
      <c r="L144" s="3">
        <v>195.3</v>
      </c>
      <c r="M144" s="3">
        <v>52.46</v>
      </c>
      <c r="N144" s="3">
        <v>12278.439700000001</v>
      </c>
      <c r="O144" s="3">
        <v>12258</v>
      </c>
      <c r="P144" s="3">
        <v>206693</v>
      </c>
      <c r="Q144" s="3">
        <v>28.833300000000001</v>
      </c>
      <c r="R144" s="3">
        <v>30</v>
      </c>
      <c r="S144" s="3">
        <v>49.622199999999999</v>
      </c>
      <c r="T144" s="1">
        <f t="shared" si="16"/>
        <v>0.31000000000000227</v>
      </c>
      <c r="U144" s="1">
        <f t="shared" si="17"/>
        <v>17.486666666666668</v>
      </c>
      <c r="V144" s="1">
        <f t="shared" si="18"/>
        <v>20.439700000000812</v>
      </c>
      <c r="W144" s="1">
        <f t="shared" si="19"/>
        <v>68897.666666666672</v>
      </c>
      <c r="X144" s="1">
        <f t="shared" si="20"/>
        <v>-1.1666999999999987</v>
      </c>
      <c r="Y144" s="1">
        <f t="shared" si="21"/>
        <v>16.540733333333332</v>
      </c>
      <c r="Z144">
        <f t="shared" si="22"/>
        <v>1</v>
      </c>
    </row>
    <row r="145" spans="1:26" x14ac:dyDescent="0.2">
      <c r="A145">
        <f t="shared" si="23"/>
        <v>143</v>
      </c>
      <c r="B145">
        <v>2014</v>
      </c>
      <c r="C145" t="s">
        <v>50</v>
      </c>
      <c r="D145" t="s">
        <v>80</v>
      </c>
      <c r="E145">
        <v>4</v>
      </c>
      <c r="F145" s="2">
        <v>153</v>
      </c>
      <c r="G145" s="2" t="s">
        <v>44</v>
      </c>
      <c r="H145" s="2" t="s">
        <v>45</v>
      </c>
      <c r="I145" s="2" t="s">
        <v>33</v>
      </c>
      <c r="J145" s="2">
        <v>3711</v>
      </c>
      <c r="K145" s="3">
        <v>212.64</v>
      </c>
      <c r="L145" s="3">
        <v>212.3</v>
      </c>
      <c r="M145" s="3">
        <v>100.21</v>
      </c>
      <c r="N145" s="3">
        <v>13347.4128</v>
      </c>
      <c r="O145" s="3">
        <v>13324</v>
      </c>
      <c r="P145" s="3">
        <v>394707</v>
      </c>
      <c r="Q145" s="3">
        <v>27.914999999999999</v>
      </c>
      <c r="R145" s="3">
        <v>23.75</v>
      </c>
      <c r="S145" s="3">
        <v>150.47</v>
      </c>
      <c r="T145" s="1">
        <f t="shared" si="16"/>
        <v>0.33999999999997499</v>
      </c>
      <c r="U145" s="1">
        <f t="shared" si="17"/>
        <v>50.104999999999997</v>
      </c>
      <c r="V145" s="1">
        <f t="shared" si="18"/>
        <v>23.412800000000061</v>
      </c>
      <c r="W145" s="1">
        <f t="shared" si="19"/>
        <v>197353.5</v>
      </c>
      <c r="X145" s="1">
        <f t="shared" si="20"/>
        <v>4.1649999999999991</v>
      </c>
      <c r="Y145" s="1">
        <f t="shared" si="21"/>
        <v>75.234999999999999</v>
      </c>
      <c r="Z145">
        <f t="shared" si="22"/>
        <v>1</v>
      </c>
    </row>
    <row r="146" spans="1:26" x14ac:dyDescent="0.2">
      <c r="A146">
        <f t="shared" si="23"/>
        <v>144</v>
      </c>
      <c r="B146">
        <v>2015</v>
      </c>
      <c r="C146" t="s">
        <v>92</v>
      </c>
      <c r="D146" t="s">
        <v>93</v>
      </c>
      <c r="E146">
        <v>4</v>
      </c>
      <c r="F146" s="2">
        <v>21</v>
      </c>
      <c r="G146" s="2" t="s">
        <v>71</v>
      </c>
      <c r="H146" s="2" t="s">
        <v>66</v>
      </c>
      <c r="I146" s="2" t="s">
        <v>30</v>
      </c>
      <c r="J146" s="2">
        <v>711</v>
      </c>
      <c r="K146" s="3">
        <v>214.27</v>
      </c>
      <c r="L146" s="3">
        <v>213.77</v>
      </c>
      <c r="M146" s="3">
        <v>77.13</v>
      </c>
      <c r="N146" s="3">
        <v>13449.727900000002</v>
      </c>
      <c r="O146" s="3">
        <v>13417</v>
      </c>
      <c r="P146" s="3">
        <v>303850</v>
      </c>
      <c r="Q146" s="3">
        <v>27.5</v>
      </c>
      <c r="R146" s="3">
        <v>21.75</v>
      </c>
      <c r="S146" s="3">
        <v>29.549499999999998</v>
      </c>
      <c r="T146" s="1">
        <f t="shared" si="16"/>
        <v>0.5</v>
      </c>
      <c r="U146" s="1">
        <f t="shared" si="17"/>
        <v>38.564999999999998</v>
      </c>
      <c r="V146" s="1">
        <f t="shared" si="18"/>
        <v>32.727900000001682</v>
      </c>
      <c r="W146" s="1">
        <f t="shared" si="19"/>
        <v>151925</v>
      </c>
      <c r="X146" s="1">
        <f t="shared" si="20"/>
        <v>5.75</v>
      </c>
      <c r="Y146" s="1">
        <f t="shared" si="21"/>
        <v>14.774749999999999</v>
      </c>
      <c r="Z146">
        <f t="shared" si="22"/>
        <v>1</v>
      </c>
    </row>
    <row r="147" spans="1:26" x14ac:dyDescent="0.2">
      <c r="A147">
        <f t="shared" si="23"/>
        <v>145</v>
      </c>
      <c r="B147">
        <v>2014</v>
      </c>
      <c r="C147" t="s">
        <v>54</v>
      </c>
      <c r="D147" t="s">
        <v>55</v>
      </c>
      <c r="E147">
        <v>4</v>
      </c>
      <c r="F147" s="2">
        <v>173</v>
      </c>
      <c r="G147" s="2" t="s">
        <v>31</v>
      </c>
      <c r="H147" s="2" t="s">
        <v>32</v>
      </c>
      <c r="I147" s="2" t="s">
        <v>33</v>
      </c>
      <c r="J147" s="2">
        <v>311</v>
      </c>
      <c r="K147" s="3">
        <v>199.76</v>
      </c>
      <c r="L147" s="3">
        <v>199.21</v>
      </c>
      <c r="M147" s="3">
        <v>340.41</v>
      </c>
      <c r="N147" s="3">
        <v>12538.9352</v>
      </c>
      <c r="O147" s="3">
        <v>12503</v>
      </c>
      <c r="P147" s="3">
        <v>1340951</v>
      </c>
      <c r="Q147" s="3">
        <v>0.875</v>
      </c>
      <c r="R147" s="3">
        <v>1.0625</v>
      </c>
      <c r="S147" s="3">
        <v>15.753399999999999</v>
      </c>
      <c r="T147" s="1">
        <f t="shared" si="16"/>
        <v>0.54999999999998295</v>
      </c>
      <c r="U147" s="1">
        <f t="shared" si="17"/>
        <v>170.20500000000001</v>
      </c>
      <c r="V147" s="1">
        <f t="shared" si="18"/>
        <v>35.935199999999895</v>
      </c>
      <c r="W147" s="1">
        <f t="shared" si="19"/>
        <v>670475.5</v>
      </c>
      <c r="X147" s="1">
        <f t="shared" si="20"/>
        <v>-0.1875</v>
      </c>
      <c r="Y147" s="1">
        <f t="shared" si="21"/>
        <v>7.8766999999999996</v>
      </c>
      <c r="Z147">
        <f t="shared" si="22"/>
        <v>0</v>
      </c>
    </row>
    <row r="148" spans="1:26" x14ac:dyDescent="0.2">
      <c r="A148">
        <f t="shared" si="23"/>
        <v>146</v>
      </c>
      <c r="B148">
        <v>2015</v>
      </c>
      <c r="C148" t="s">
        <v>72</v>
      </c>
      <c r="D148" t="s">
        <v>73</v>
      </c>
      <c r="E148">
        <v>4</v>
      </c>
      <c r="F148" s="2">
        <v>61</v>
      </c>
      <c r="G148" s="2" t="s">
        <v>38</v>
      </c>
      <c r="H148" s="2" t="s">
        <v>39</v>
      </c>
      <c r="I148" s="2" t="s">
        <v>30</v>
      </c>
      <c r="J148" s="2">
        <v>311</v>
      </c>
      <c r="K148" s="3">
        <v>197.38</v>
      </c>
      <c r="L148" s="3">
        <v>196.81</v>
      </c>
      <c r="M148" s="3">
        <v>48.17</v>
      </c>
      <c r="N148" s="3">
        <v>12389.542600000001</v>
      </c>
      <c r="O148" s="3">
        <v>12352</v>
      </c>
      <c r="P148" s="3">
        <v>189801</v>
      </c>
      <c r="Q148" s="3">
        <v>3.25</v>
      </c>
      <c r="R148" s="3">
        <v>6.9</v>
      </c>
      <c r="S148" s="3">
        <v>2.0556999999999999</v>
      </c>
      <c r="T148" s="1">
        <f t="shared" si="16"/>
        <v>0.56999999999999318</v>
      </c>
      <c r="U148" s="1">
        <f t="shared" si="17"/>
        <v>24.085000000000001</v>
      </c>
      <c r="V148" s="1">
        <f t="shared" si="18"/>
        <v>37.542600000000675</v>
      </c>
      <c r="W148" s="1">
        <f t="shared" si="19"/>
        <v>94900.5</v>
      </c>
      <c r="X148" s="1">
        <f t="shared" si="20"/>
        <v>-3.6500000000000004</v>
      </c>
      <c r="Y148" s="1">
        <f t="shared" si="21"/>
        <v>1.0278499999999999</v>
      </c>
      <c r="Z148">
        <f t="shared" si="22"/>
        <v>0</v>
      </c>
    </row>
    <row r="149" spans="1:26" x14ac:dyDescent="0.2">
      <c r="A149">
        <f t="shared" si="23"/>
        <v>147</v>
      </c>
      <c r="B149">
        <v>2015</v>
      </c>
      <c r="C149" t="s">
        <v>81</v>
      </c>
      <c r="D149" t="s">
        <v>82</v>
      </c>
      <c r="E149">
        <v>4</v>
      </c>
      <c r="F149" s="2">
        <v>112</v>
      </c>
      <c r="G149" s="2" t="s">
        <v>40</v>
      </c>
      <c r="H149" s="2" t="s">
        <v>39</v>
      </c>
      <c r="I149" s="2" t="s">
        <v>41</v>
      </c>
      <c r="J149" s="2">
        <v>311</v>
      </c>
      <c r="K149" s="3">
        <v>244.53</v>
      </c>
      <c r="L149" s="3">
        <v>243.95</v>
      </c>
      <c r="M149" s="3">
        <v>106.45</v>
      </c>
      <c r="N149" s="3">
        <v>15349.1481</v>
      </c>
      <c r="O149" s="3">
        <v>15311</v>
      </c>
      <c r="P149" s="3">
        <v>419314</v>
      </c>
      <c r="Q149" s="3">
        <v>10.525</v>
      </c>
      <c r="R149" s="3">
        <v>17.399999999999999</v>
      </c>
      <c r="S149" s="3">
        <v>31.9801</v>
      </c>
      <c r="T149" s="1">
        <f t="shared" si="16"/>
        <v>0.58000000000001251</v>
      </c>
      <c r="U149" s="1">
        <f t="shared" si="17"/>
        <v>53.225000000000001</v>
      </c>
      <c r="V149" s="1">
        <f t="shared" si="18"/>
        <v>38.148100000000341</v>
      </c>
      <c r="W149" s="1">
        <f t="shared" si="19"/>
        <v>209657</v>
      </c>
      <c r="X149" s="1">
        <f t="shared" si="20"/>
        <v>-6.8749999999999982</v>
      </c>
      <c r="Y149" s="1">
        <f t="shared" si="21"/>
        <v>15.99005</v>
      </c>
      <c r="Z149">
        <f t="shared" si="22"/>
        <v>1</v>
      </c>
    </row>
    <row r="150" spans="1:26" x14ac:dyDescent="0.2">
      <c r="A150">
        <f t="shared" si="23"/>
        <v>148</v>
      </c>
      <c r="B150">
        <v>2015</v>
      </c>
      <c r="C150" t="s">
        <v>81</v>
      </c>
      <c r="D150" t="s">
        <v>82</v>
      </c>
      <c r="E150">
        <v>4</v>
      </c>
      <c r="F150" s="2">
        <v>41</v>
      </c>
      <c r="G150" s="2" t="s">
        <v>31</v>
      </c>
      <c r="H150" s="2" t="s">
        <v>62</v>
      </c>
      <c r="I150" s="2" t="s">
        <v>30</v>
      </c>
      <c r="J150" s="2">
        <v>311</v>
      </c>
      <c r="K150" s="3">
        <v>244.55</v>
      </c>
      <c r="L150" s="3">
        <v>243.95</v>
      </c>
      <c r="M150" s="3">
        <v>106.45</v>
      </c>
      <c r="N150" s="3">
        <v>15350.403500000002</v>
      </c>
      <c r="O150" s="3">
        <v>15311</v>
      </c>
      <c r="P150" s="3">
        <v>419314</v>
      </c>
      <c r="Q150" s="3">
        <v>2.625</v>
      </c>
      <c r="R150" s="3">
        <v>17.399999999999999</v>
      </c>
      <c r="S150" s="3">
        <v>31.9801</v>
      </c>
      <c r="T150" s="1">
        <f t="shared" si="16"/>
        <v>0.60000000000002274</v>
      </c>
      <c r="U150" s="1">
        <f t="shared" si="17"/>
        <v>53.225000000000001</v>
      </c>
      <c r="V150" s="1">
        <f t="shared" si="18"/>
        <v>39.403500000002168</v>
      </c>
      <c r="W150" s="1">
        <f t="shared" si="19"/>
        <v>209657</v>
      </c>
      <c r="X150" s="1">
        <f t="shared" si="20"/>
        <v>-14.774999999999999</v>
      </c>
      <c r="Y150" s="1">
        <f t="shared" si="21"/>
        <v>15.99005</v>
      </c>
      <c r="Z150">
        <f t="shared" si="22"/>
        <v>0</v>
      </c>
    </row>
    <row r="151" spans="1:26" x14ac:dyDescent="0.2">
      <c r="A151">
        <f t="shared" si="23"/>
        <v>149</v>
      </c>
      <c r="B151">
        <v>2015</v>
      </c>
      <c r="C151" t="s">
        <v>26</v>
      </c>
      <c r="D151" t="s">
        <v>27</v>
      </c>
      <c r="E151">
        <v>4</v>
      </c>
      <c r="F151" s="2">
        <v>41</v>
      </c>
      <c r="G151" s="2" t="s">
        <v>31</v>
      </c>
      <c r="H151" s="2" t="s">
        <v>62</v>
      </c>
      <c r="I151" s="2" t="s">
        <v>30</v>
      </c>
      <c r="J151" s="2">
        <v>311</v>
      </c>
      <c r="K151" s="3">
        <v>255.55</v>
      </c>
      <c r="L151" s="3">
        <v>254.92</v>
      </c>
      <c r="M151" s="3">
        <v>868.14</v>
      </c>
      <c r="N151" s="3">
        <v>16040.873500000002</v>
      </c>
      <c r="O151" s="3">
        <v>16000</v>
      </c>
      <c r="P151" s="3">
        <v>3419739</v>
      </c>
      <c r="Q151" s="3">
        <v>26.8475</v>
      </c>
      <c r="R151" s="3">
        <v>40.627499999999998</v>
      </c>
      <c r="S151" s="3">
        <v>385.81</v>
      </c>
      <c r="T151" s="1">
        <f t="shared" si="16"/>
        <v>0.63000000000002387</v>
      </c>
      <c r="U151" s="1">
        <f t="shared" si="17"/>
        <v>434.07</v>
      </c>
      <c r="V151" s="1">
        <f t="shared" si="18"/>
        <v>40.873500000001513</v>
      </c>
      <c r="W151" s="1">
        <f t="shared" si="19"/>
        <v>1709869.5</v>
      </c>
      <c r="X151" s="1">
        <f t="shared" si="20"/>
        <v>-13.779999999999998</v>
      </c>
      <c r="Y151" s="1">
        <f t="shared" si="21"/>
        <v>192.905</v>
      </c>
      <c r="Z151">
        <f t="shared" si="22"/>
        <v>1</v>
      </c>
    </row>
    <row r="152" spans="1:26" x14ac:dyDescent="0.2">
      <c r="A152">
        <f t="shared" si="23"/>
        <v>150</v>
      </c>
      <c r="B152">
        <v>2015</v>
      </c>
      <c r="C152" t="s">
        <v>26</v>
      </c>
      <c r="D152" t="s">
        <v>27</v>
      </c>
      <c r="E152">
        <v>4</v>
      </c>
      <c r="F152" s="2">
        <v>51</v>
      </c>
      <c r="G152" s="2" t="s">
        <v>36</v>
      </c>
      <c r="H152" s="2" t="s">
        <v>66</v>
      </c>
      <c r="I152" s="2" t="s">
        <v>30</v>
      </c>
      <c r="J152" s="2">
        <v>11</v>
      </c>
      <c r="K152" s="3">
        <v>255.55</v>
      </c>
      <c r="L152" s="3">
        <v>254.92</v>
      </c>
      <c r="M152" s="3">
        <v>868.14</v>
      </c>
      <c r="N152" s="3">
        <v>16040.873500000002</v>
      </c>
      <c r="O152" s="3">
        <v>16000</v>
      </c>
      <c r="P152" s="3">
        <v>3419739</v>
      </c>
      <c r="Q152" s="3">
        <v>27.502500000000001</v>
      </c>
      <c r="R152" s="3">
        <v>40.627499999999998</v>
      </c>
      <c r="S152" s="3">
        <v>385.81</v>
      </c>
      <c r="T152" s="1">
        <f t="shared" si="16"/>
        <v>0.63000000000002387</v>
      </c>
      <c r="U152" s="1">
        <f t="shared" si="17"/>
        <v>434.07</v>
      </c>
      <c r="V152" s="1">
        <f t="shared" si="18"/>
        <v>40.873500000001513</v>
      </c>
      <c r="W152" s="1">
        <f t="shared" si="19"/>
        <v>1709869.5</v>
      </c>
      <c r="X152" s="1">
        <f t="shared" si="20"/>
        <v>-13.124999999999996</v>
      </c>
      <c r="Y152" s="1">
        <f t="shared" si="21"/>
        <v>192.905</v>
      </c>
      <c r="Z152">
        <f t="shared" si="22"/>
        <v>1</v>
      </c>
    </row>
    <row r="153" spans="1:26" x14ac:dyDescent="0.2">
      <c r="A153">
        <f t="shared" si="23"/>
        <v>151</v>
      </c>
      <c r="B153">
        <v>2014</v>
      </c>
      <c r="C153" t="s">
        <v>88</v>
      </c>
      <c r="D153" t="s">
        <v>89</v>
      </c>
      <c r="E153">
        <v>4</v>
      </c>
      <c r="F153" s="2">
        <v>21</v>
      </c>
      <c r="G153" s="2" t="s">
        <v>71</v>
      </c>
      <c r="H153" s="2" t="s">
        <v>66</v>
      </c>
      <c r="I153" s="2" t="s">
        <v>30</v>
      </c>
      <c r="J153" s="2">
        <v>711</v>
      </c>
      <c r="K153" s="3">
        <v>151.6</v>
      </c>
      <c r="L153" s="3">
        <v>150.94999999999999</v>
      </c>
      <c r="M153" s="3">
        <v>162.88</v>
      </c>
      <c r="N153" s="3">
        <v>9515.9320000000007</v>
      </c>
      <c r="O153" s="3">
        <v>9474</v>
      </c>
      <c r="P153" s="3">
        <v>641596</v>
      </c>
      <c r="Q153" s="3">
        <v>1.075</v>
      </c>
      <c r="R153" s="3">
        <v>1.25</v>
      </c>
      <c r="S153" s="3">
        <v>0.16339999999999999</v>
      </c>
      <c r="T153" s="1">
        <f t="shared" si="16"/>
        <v>0.65000000000000568</v>
      </c>
      <c r="U153" s="1">
        <f t="shared" si="17"/>
        <v>81.44</v>
      </c>
      <c r="V153" s="1">
        <f t="shared" si="18"/>
        <v>41.932000000000698</v>
      </c>
      <c r="W153" s="1">
        <f t="shared" si="19"/>
        <v>320798</v>
      </c>
      <c r="X153" s="1">
        <f t="shared" si="20"/>
        <v>-0.17500000000000004</v>
      </c>
      <c r="Y153" s="1">
        <f t="shared" si="21"/>
        <v>8.1699999999999995E-2</v>
      </c>
      <c r="Z153">
        <f t="shared" si="22"/>
        <v>0</v>
      </c>
    </row>
    <row r="154" spans="1:26" x14ac:dyDescent="0.2">
      <c r="A154">
        <f t="shared" si="23"/>
        <v>152</v>
      </c>
      <c r="B154">
        <v>2015</v>
      </c>
      <c r="C154" t="s">
        <v>81</v>
      </c>
      <c r="D154" t="s">
        <v>82</v>
      </c>
      <c r="E154">
        <v>4</v>
      </c>
      <c r="F154" s="2">
        <v>72</v>
      </c>
      <c r="G154" s="2" t="s">
        <v>47</v>
      </c>
      <c r="H154" s="2" t="s">
        <v>48</v>
      </c>
      <c r="I154" s="2" t="s">
        <v>41</v>
      </c>
      <c r="J154" s="2">
        <v>311</v>
      </c>
      <c r="K154" s="3">
        <v>244.61</v>
      </c>
      <c r="L154" s="3">
        <v>243.95</v>
      </c>
      <c r="M154" s="3">
        <v>106.45</v>
      </c>
      <c r="N154" s="3">
        <v>15354.169700000002</v>
      </c>
      <c r="O154" s="3">
        <v>15311</v>
      </c>
      <c r="P154" s="3">
        <v>419314</v>
      </c>
      <c r="Q154" s="3">
        <v>11.525</v>
      </c>
      <c r="R154" s="3">
        <v>17.399999999999999</v>
      </c>
      <c r="S154" s="3">
        <v>31.9801</v>
      </c>
      <c r="T154" s="1">
        <f t="shared" si="16"/>
        <v>0.66000000000002501</v>
      </c>
      <c r="U154" s="1">
        <f t="shared" si="17"/>
        <v>53.225000000000001</v>
      </c>
      <c r="V154" s="1">
        <f t="shared" si="18"/>
        <v>43.169700000002194</v>
      </c>
      <c r="W154" s="1">
        <f t="shared" si="19"/>
        <v>209657</v>
      </c>
      <c r="X154" s="1">
        <f t="shared" si="20"/>
        <v>-5.8749999999999982</v>
      </c>
      <c r="Y154" s="1">
        <f t="shared" si="21"/>
        <v>15.99005</v>
      </c>
      <c r="Z154">
        <f t="shared" si="22"/>
        <v>1</v>
      </c>
    </row>
    <row r="155" spans="1:26" x14ac:dyDescent="0.2">
      <c r="A155">
        <f t="shared" si="23"/>
        <v>153</v>
      </c>
      <c r="B155">
        <v>2014</v>
      </c>
      <c r="C155" t="s">
        <v>50</v>
      </c>
      <c r="D155" t="s">
        <v>80</v>
      </c>
      <c r="E155">
        <v>4</v>
      </c>
      <c r="F155" s="2">
        <v>183</v>
      </c>
      <c r="G155" s="2" t="s">
        <v>36</v>
      </c>
      <c r="H155" s="2" t="s">
        <v>37</v>
      </c>
      <c r="I155" s="2" t="s">
        <v>33</v>
      </c>
      <c r="J155" s="2">
        <v>11</v>
      </c>
      <c r="K155" s="3">
        <v>212.99</v>
      </c>
      <c r="L155" s="3">
        <v>212.3</v>
      </c>
      <c r="M155" s="3">
        <v>100.21</v>
      </c>
      <c r="N155" s="3">
        <v>13369.382300000001</v>
      </c>
      <c r="O155" s="3">
        <v>13324</v>
      </c>
      <c r="P155" s="3">
        <v>394707</v>
      </c>
      <c r="Q155" s="3">
        <v>35.832500000000003</v>
      </c>
      <c r="R155" s="3">
        <v>23.75</v>
      </c>
      <c r="S155" s="3">
        <v>150.47</v>
      </c>
      <c r="T155" s="1">
        <f t="shared" si="16"/>
        <v>0.68999999999999773</v>
      </c>
      <c r="U155" s="1">
        <f t="shared" si="17"/>
        <v>50.104999999999997</v>
      </c>
      <c r="V155" s="1">
        <f t="shared" si="18"/>
        <v>45.382300000001123</v>
      </c>
      <c r="W155" s="1">
        <f t="shared" si="19"/>
        <v>197353.5</v>
      </c>
      <c r="X155" s="1">
        <f t="shared" si="20"/>
        <v>12.082500000000003</v>
      </c>
      <c r="Y155" s="1">
        <f t="shared" si="21"/>
        <v>75.234999999999999</v>
      </c>
      <c r="Z155">
        <f t="shared" si="22"/>
        <v>1</v>
      </c>
    </row>
    <row r="156" spans="1:26" x14ac:dyDescent="0.2">
      <c r="A156">
        <f t="shared" si="23"/>
        <v>154</v>
      </c>
      <c r="B156">
        <v>2014</v>
      </c>
      <c r="C156" t="s">
        <v>50</v>
      </c>
      <c r="D156" t="s">
        <v>77</v>
      </c>
      <c r="E156">
        <v>4</v>
      </c>
      <c r="F156" s="2">
        <v>183</v>
      </c>
      <c r="G156" s="2" t="s">
        <v>36</v>
      </c>
      <c r="H156" s="2" t="s">
        <v>37</v>
      </c>
      <c r="I156" s="2" t="s">
        <v>33</v>
      </c>
      <c r="J156" s="2">
        <v>11</v>
      </c>
      <c r="K156" s="3">
        <v>218.07</v>
      </c>
      <c r="L156" s="3">
        <v>217.17</v>
      </c>
      <c r="M156" s="3">
        <v>97.19</v>
      </c>
      <c r="N156" s="3">
        <v>13688.2539</v>
      </c>
      <c r="O156" s="3">
        <v>13630</v>
      </c>
      <c r="P156" s="3">
        <v>382849</v>
      </c>
      <c r="Q156" s="3">
        <v>15.914999999999999</v>
      </c>
      <c r="R156" s="3">
        <v>16.25</v>
      </c>
      <c r="S156" s="3">
        <v>60.879800000000003</v>
      </c>
      <c r="T156" s="1">
        <f t="shared" si="16"/>
        <v>0.90000000000000568</v>
      </c>
      <c r="U156" s="1">
        <f t="shared" si="17"/>
        <v>48.594999999999999</v>
      </c>
      <c r="V156" s="1">
        <f t="shared" si="18"/>
        <v>58.253899999999703</v>
      </c>
      <c r="W156" s="1">
        <f t="shared" si="19"/>
        <v>191424.5</v>
      </c>
      <c r="X156" s="1">
        <f t="shared" si="20"/>
        <v>-0.33500000000000085</v>
      </c>
      <c r="Y156" s="1">
        <f t="shared" si="21"/>
        <v>30.439900000000002</v>
      </c>
      <c r="Z156">
        <f t="shared" si="22"/>
        <v>1</v>
      </c>
    </row>
    <row r="157" spans="1:26" x14ac:dyDescent="0.2">
      <c r="A157">
        <f t="shared" si="23"/>
        <v>155</v>
      </c>
      <c r="B157">
        <v>2015</v>
      </c>
      <c r="C157" t="s">
        <v>52</v>
      </c>
      <c r="D157" t="s">
        <v>53</v>
      </c>
      <c r="E157">
        <v>4</v>
      </c>
      <c r="F157" s="2">
        <v>122</v>
      </c>
      <c r="G157" s="2" t="s">
        <v>75</v>
      </c>
      <c r="H157" s="2" t="s">
        <v>76</v>
      </c>
      <c r="I157" s="2" t="s">
        <v>41</v>
      </c>
      <c r="J157" s="2">
        <v>311</v>
      </c>
      <c r="K157" s="3">
        <v>172.97</v>
      </c>
      <c r="L157" s="3">
        <v>172.02</v>
      </c>
      <c r="M157" s="3">
        <v>125.18</v>
      </c>
      <c r="N157" s="3">
        <v>10857.3269</v>
      </c>
      <c r="O157" s="3">
        <v>10797</v>
      </c>
      <c r="P157" s="3">
        <v>493089</v>
      </c>
      <c r="Q157" s="3">
        <v>1.9</v>
      </c>
      <c r="R157" s="3">
        <v>2.2000000000000002</v>
      </c>
      <c r="S157" s="3">
        <v>1.6871</v>
      </c>
      <c r="T157" s="1">
        <f t="shared" si="16"/>
        <v>0.94999999999998863</v>
      </c>
      <c r="U157" s="1">
        <f t="shared" si="17"/>
        <v>62.59</v>
      </c>
      <c r="V157" s="1">
        <f t="shared" si="18"/>
        <v>60.326900000000023</v>
      </c>
      <c r="W157" s="1">
        <f t="shared" si="19"/>
        <v>246544.5</v>
      </c>
      <c r="X157" s="1">
        <f t="shared" si="20"/>
        <v>-0.30000000000000027</v>
      </c>
      <c r="Y157" s="1">
        <f t="shared" si="21"/>
        <v>0.84355000000000002</v>
      </c>
      <c r="Z157">
        <f t="shared" si="22"/>
        <v>0</v>
      </c>
    </row>
    <row r="158" spans="1:26" x14ac:dyDescent="0.2">
      <c r="A158">
        <f t="shared" si="23"/>
        <v>156</v>
      </c>
      <c r="B158">
        <v>2015</v>
      </c>
      <c r="C158" t="s">
        <v>84</v>
      </c>
      <c r="D158" t="s">
        <v>85</v>
      </c>
      <c r="E158">
        <v>4</v>
      </c>
      <c r="F158" s="2">
        <v>173</v>
      </c>
      <c r="G158" s="2" t="s">
        <v>31</v>
      </c>
      <c r="H158" s="2" t="s">
        <v>32</v>
      </c>
      <c r="I158" s="2" t="s">
        <v>33</v>
      </c>
      <c r="J158" s="2">
        <v>311</v>
      </c>
      <c r="K158" s="3">
        <v>198.53</v>
      </c>
      <c r="L158" s="3">
        <v>197.54</v>
      </c>
      <c r="M158" s="3">
        <v>296.25</v>
      </c>
      <c r="N158" s="3">
        <v>12461.7281</v>
      </c>
      <c r="O158" s="3">
        <v>12398</v>
      </c>
      <c r="P158" s="3">
        <v>1166970</v>
      </c>
      <c r="Q158" s="3">
        <v>-4.28E-17</v>
      </c>
      <c r="R158" s="3">
        <v>0.6875</v>
      </c>
      <c r="S158" s="3">
        <v>0.21049999999999999</v>
      </c>
      <c r="T158" s="1">
        <f t="shared" si="16"/>
        <v>0.99000000000000909</v>
      </c>
      <c r="U158" s="1">
        <f t="shared" si="17"/>
        <v>148.125</v>
      </c>
      <c r="V158" s="1">
        <f t="shared" si="18"/>
        <v>63.728100000000268</v>
      </c>
      <c r="W158" s="1">
        <f t="shared" si="19"/>
        <v>583485</v>
      </c>
      <c r="X158" s="1">
        <f t="shared" si="20"/>
        <v>-0.6875</v>
      </c>
      <c r="Y158" s="1">
        <f t="shared" si="21"/>
        <v>0.10525</v>
      </c>
      <c r="Z158">
        <f t="shared" si="22"/>
        <v>0</v>
      </c>
    </row>
    <row r="159" spans="1:26" x14ac:dyDescent="0.2">
      <c r="A159">
        <f t="shared" si="23"/>
        <v>157</v>
      </c>
      <c r="B159">
        <v>2015</v>
      </c>
      <c r="C159" t="s">
        <v>84</v>
      </c>
      <c r="D159" t="s">
        <v>85</v>
      </c>
      <c r="E159">
        <v>4</v>
      </c>
      <c r="F159" s="2">
        <v>153</v>
      </c>
      <c r="G159" s="2" t="s">
        <v>44</v>
      </c>
      <c r="H159" s="2" t="s">
        <v>45</v>
      </c>
      <c r="I159" s="2" t="s">
        <v>33</v>
      </c>
      <c r="J159" s="2">
        <v>3711</v>
      </c>
      <c r="K159" s="3">
        <v>198.54</v>
      </c>
      <c r="L159" s="3">
        <v>197.54</v>
      </c>
      <c r="M159" s="3">
        <v>296.25</v>
      </c>
      <c r="N159" s="3">
        <v>12462.355799999999</v>
      </c>
      <c r="O159" s="3">
        <v>12398</v>
      </c>
      <c r="P159" s="3">
        <v>1166970</v>
      </c>
      <c r="Q159" s="3">
        <v>-1.41E-17</v>
      </c>
      <c r="R159" s="3">
        <v>0.6875</v>
      </c>
      <c r="S159" s="3">
        <v>0.21049999999999999</v>
      </c>
      <c r="T159" s="1">
        <f t="shared" si="16"/>
        <v>1</v>
      </c>
      <c r="U159" s="1">
        <f t="shared" si="17"/>
        <v>148.125</v>
      </c>
      <c r="V159" s="1">
        <f t="shared" si="18"/>
        <v>64.355799999999363</v>
      </c>
      <c r="W159" s="1">
        <f t="shared" si="19"/>
        <v>583485</v>
      </c>
      <c r="X159" s="1">
        <f t="shared" si="20"/>
        <v>-0.6875</v>
      </c>
      <c r="Y159" s="1">
        <f t="shared" si="21"/>
        <v>0.10525</v>
      </c>
      <c r="Z159">
        <f t="shared" si="22"/>
        <v>0</v>
      </c>
    </row>
    <row r="160" spans="1:26" x14ac:dyDescent="0.2">
      <c r="A160">
        <f t="shared" si="23"/>
        <v>158</v>
      </c>
      <c r="B160">
        <v>2015</v>
      </c>
      <c r="C160" t="s">
        <v>72</v>
      </c>
      <c r="D160" t="s">
        <v>73</v>
      </c>
      <c r="E160">
        <v>4</v>
      </c>
      <c r="F160" s="2">
        <v>41</v>
      </c>
      <c r="G160" s="2" t="s">
        <v>31</v>
      </c>
      <c r="H160" s="2" t="s">
        <v>62</v>
      </c>
      <c r="I160" s="2" t="s">
        <v>30</v>
      </c>
      <c r="J160" s="2">
        <v>311</v>
      </c>
      <c r="K160" s="3">
        <v>197.84</v>
      </c>
      <c r="L160" s="3">
        <v>196.81</v>
      </c>
      <c r="M160" s="3">
        <v>48.17</v>
      </c>
      <c r="N160" s="3">
        <v>12418.416800000001</v>
      </c>
      <c r="O160" s="3">
        <v>12352</v>
      </c>
      <c r="P160" s="3">
        <v>189801</v>
      </c>
      <c r="Q160" s="3">
        <v>5.625</v>
      </c>
      <c r="R160" s="3">
        <v>6.9</v>
      </c>
      <c r="S160" s="3">
        <v>2.0556999999999999</v>
      </c>
      <c r="T160" s="1">
        <f t="shared" si="16"/>
        <v>1.0300000000000011</v>
      </c>
      <c r="U160" s="1">
        <f t="shared" si="17"/>
        <v>24.085000000000001</v>
      </c>
      <c r="V160" s="1">
        <f t="shared" si="18"/>
        <v>66.416800000000876</v>
      </c>
      <c r="W160" s="1">
        <f t="shared" si="19"/>
        <v>94900.5</v>
      </c>
      <c r="X160" s="1">
        <f t="shared" si="20"/>
        <v>-1.2750000000000004</v>
      </c>
      <c r="Y160" s="1">
        <f t="shared" si="21"/>
        <v>1.0278499999999999</v>
      </c>
      <c r="Z160">
        <f t="shared" si="22"/>
        <v>1</v>
      </c>
    </row>
    <row r="161" spans="1:26" x14ac:dyDescent="0.2">
      <c r="A161">
        <f t="shared" si="23"/>
        <v>159</v>
      </c>
      <c r="B161">
        <v>2015</v>
      </c>
      <c r="C161" t="s">
        <v>64</v>
      </c>
      <c r="D161" t="s">
        <v>94</v>
      </c>
      <c r="E161">
        <v>4</v>
      </c>
      <c r="F161" s="2">
        <v>153</v>
      </c>
      <c r="G161" s="2" t="s">
        <v>44</v>
      </c>
      <c r="H161" s="2" t="s">
        <v>45</v>
      </c>
      <c r="I161" s="2" t="s">
        <v>33</v>
      </c>
      <c r="J161" s="2">
        <v>3711</v>
      </c>
      <c r="K161" s="3">
        <v>127.48</v>
      </c>
      <c r="L161" s="3">
        <v>126.4</v>
      </c>
      <c r="M161" s="3">
        <v>16.2</v>
      </c>
      <c r="N161" s="3">
        <v>8001.9196000000011</v>
      </c>
      <c r="O161" s="3">
        <v>7933.19</v>
      </c>
      <c r="P161" s="3">
        <v>63827</v>
      </c>
      <c r="Q161" s="3">
        <v>6.75</v>
      </c>
      <c r="R161" s="3">
        <v>10.9</v>
      </c>
      <c r="S161" s="3">
        <v>13.4703</v>
      </c>
      <c r="T161" s="1">
        <f t="shared" si="16"/>
        <v>1.0799999999999983</v>
      </c>
      <c r="U161" s="1">
        <f t="shared" si="17"/>
        <v>8.1</v>
      </c>
      <c r="V161" s="1">
        <f t="shared" si="18"/>
        <v>68.729600000001483</v>
      </c>
      <c r="W161" s="1">
        <f t="shared" si="19"/>
        <v>31913.5</v>
      </c>
      <c r="X161" s="1">
        <f t="shared" si="20"/>
        <v>-4.1500000000000004</v>
      </c>
      <c r="Y161" s="1">
        <f t="shared" si="21"/>
        <v>6.73515</v>
      </c>
      <c r="Z161">
        <f t="shared" si="22"/>
        <v>1</v>
      </c>
    </row>
    <row r="162" spans="1:26" x14ac:dyDescent="0.2">
      <c r="A162">
        <f t="shared" si="23"/>
        <v>160</v>
      </c>
      <c r="B162">
        <v>2014</v>
      </c>
      <c r="C162" t="s">
        <v>88</v>
      </c>
      <c r="D162" t="s">
        <v>89</v>
      </c>
      <c r="E162">
        <v>4</v>
      </c>
      <c r="F162" s="2">
        <v>153</v>
      </c>
      <c r="G162" s="2" t="s">
        <v>44</v>
      </c>
      <c r="H162" s="2" t="s">
        <v>45</v>
      </c>
      <c r="I162" s="2" t="s">
        <v>33</v>
      </c>
      <c r="J162" s="2">
        <v>3711</v>
      </c>
      <c r="K162" s="3">
        <v>152.03</v>
      </c>
      <c r="L162" s="3">
        <v>150.94999999999999</v>
      </c>
      <c r="M162" s="3">
        <v>162.88</v>
      </c>
      <c r="N162" s="3">
        <v>9542.9231</v>
      </c>
      <c r="O162" s="3">
        <v>9474</v>
      </c>
      <c r="P162" s="3">
        <v>641596</v>
      </c>
      <c r="Q162" s="3">
        <v>0.67500000000000004</v>
      </c>
      <c r="R162" s="3">
        <v>1.25</v>
      </c>
      <c r="S162" s="3">
        <v>0.16339999999999999</v>
      </c>
      <c r="T162" s="1">
        <f t="shared" si="16"/>
        <v>1.0800000000000125</v>
      </c>
      <c r="U162" s="1">
        <f t="shared" si="17"/>
        <v>81.44</v>
      </c>
      <c r="V162" s="1">
        <f t="shared" si="18"/>
        <v>68.923099999999977</v>
      </c>
      <c r="W162" s="1">
        <f t="shared" si="19"/>
        <v>320798</v>
      </c>
      <c r="X162" s="1">
        <f t="shared" si="20"/>
        <v>-0.57499999999999996</v>
      </c>
      <c r="Y162" s="1">
        <f t="shared" si="21"/>
        <v>8.1699999999999995E-2</v>
      </c>
      <c r="Z162">
        <f t="shared" si="22"/>
        <v>0</v>
      </c>
    </row>
    <row r="163" spans="1:26" x14ac:dyDescent="0.2">
      <c r="A163">
        <f t="shared" si="23"/>
        <v>161</v>
      </c>
      <c r="B163">
        <v>2015</v>
      </c>
      <c r="C163" t="s">
        <v>54</v>
      </c>
      <c r="D163" t="s">
        <v>69</v>
      </c>
      <c r="E163">
        <v>4</v>
      </c>
      <c r="F163" s="2">
        <v>173</v>
      </c>
      <c r="G163" s="2" t="s">
        <v>31</v>
      </c>
      <c r="H163" s="2" t="s">
        <v>32</v>
      </c>
      <c r="I163" s="2" t="s">
        <v>33</v>
      </c>
      <c r="J163" s="2">
        <v>311</v>
      </c>
      <c r="K163" s="3">
        <v>247.78</v>
      </c>
      <c r="L163" s="3">
        <v>246.63</v>
      </c>
      <c r="M163" s="3">
        <v>212.78</v>
      </c>
      <c r="N163" s="3">
        <v>15553.150600000001</v>
      </c>
      <c r="O163" s="3">
        <v>15479</v>
      </c>
      <c r="P163" s="3">
        <v>838171</v>
      </c>
      <c r="Q163" s="3">
        <v>45</v>
      </c>
      <c r="R163" s="3">
        <v>32.5</v>
      </c>
      <c r="S163" s="3">
        <v>207.72</v>
      </c>
      <c r="T163" s="1">
        <f t="shared" si="16"/>
        <v>1.1500000000000057</v>
      </c>
      <c r="U163" s="1">
        <f t="shared" si="17"/>
        <v>106.39</v>
      </c>
      <c r="V163" s="1">
        <f t="shared" si="18"/>
        <v>74.15060000000085</v>
      </c>
      <c r="W163" s="1">
        <f t="shared" si="19"/>
        <v>419085.5</v>
      </c>
      <c r="X163" s="1">
        <f t="shared" si="20"/>
        <v>12.5</v>
      </c>
      <c r="Y163" s="1">
        <f t="shared" si="21"/>
        <v>103.86</v>
      </c>
      <c r="Z163">
        <f t="shared" si="22"/>
        <v>1</v>
      </c>
    </row>
    <row r="164" spans="1:26" x14ac:dyDescent="0.2">
      <c r="A164">
        <f t="shared" si="23"/>
        <v>162</v>
      </c>
      <c r="B164">
        <v>2015</v>
      </c>
      <c r="C164" t="s">
        <v>64</v>
      </c>
      <c r="D164" t="s">
        <v>94</v>
      </c>
      <c r="E164">
        <v>4</v>
      </c>
      <c r="F164" s="2">
        <v>51</v>
      </c>
      <c r="G164" s="2" t="s">
        <v>36</v>
      </c>
      <c r="H164" s="2" t="s">
        <v>66</v>
      </c>
      <c r="I164" s="2" t="s">
        <v>30</v>
      </c>
      <c r="J164" s="2">
        <v>11</v>
      </c>
      <c r="K164" s="3">
        <v>127.58</v>
      </c>
      <c r="L164" s="3">
        <v>126.4</v>
      </c>
      <c r="M164" s="3">
        <v>16.2</v>
      </c>
      <c r="N164" s="3">
        <v>8008.1966000000002</v>
      </c>
      <c r="O164" s="3">
        <v>7933.19</v>
      </c>
      <c r="P164" s="3">
        <v>63827</v>
      </c>
      <c r="Q164" s="3">
        <v>8.5</v>
      </c>
      <c r="R164" s="3">
        <v>10.9</v>
      </c>
      <c r="S164" s="3">
        <v>13.4703</v>
      </c>
      <c r="T164" s="1">
        <f t="shared" si="16"/>
        <v>1.1799999999999926</v>
      </c>
      <c r="U164" s="1">
        <f t="shared" si="17"/>
        <v>8.1</v>
      </c>
      <c r="V164" s="1">
        <f t="shared" si="18"/>
        <v>75.006600000000617</v>
      </c>
      <c r="W164" s="1">
        <f t="shared" si="19"/>
        <v>31913.5</v>
      </c>
      <c r="X164" s="1">
        <f t="shared" si="20"/>
        <v>-2.4000000000000004</v>
      </c>
      <c r="Y164" s="1">
        <f t="shared" si="21"/>
        <v>6.73515</v>
      </c>
      <c r="Z164">
        <f t="shared" si="22"/>
        <v>1</v>
      </c>
    </row>
    <row r="165" spans="1:26" x14ac:dyDescent="0.2">
      <c r="A165">
        <f t="shared" si="23"/>
        <v>163</v>
      </c>
      <c r="B165">
        <v>2014</v>
      </c>
      <c r="C165" t="s">
        <v>72</v>
      </c>
      <c r="D165" t="s">
        <v>73</v>
      </c>
      <c r="E165">
        <v>4</v>
      </c>
      <c r="F165" s="2">
        <v>102</v>
      </c>
      <c r="G165" s="2" t="s">
        <v>36</v>
      </c>
      <c r="H165" s="2" t="s">
        <v>29</v>
      </c>
      <c r="I165" s="2" t="s">
        <v>41</v>
      </c>
      <c r="J165" s="2">
        <v>11</v>
      </c>
      <c r="K165" s="3">
        <v>196.02</v>
      </c>
      <c r="L165" s="3">
        <v>194.83</v>
      </c>
      <c r="M165" s="3">
        <v>87.97</v>
      </c>
      <c r="N165" s="3">
        <v>12304.175400000002</v>
      </c>
      <c r="O165" s="3">
        <v>12228</v>
      </c>
      <c r="P165" s="3">
        <v>346541</v>
      </c>
      <c r="Q165" s="3">
        <v>6.25</v>
      </c>
      <c r="R165" s="3">
        <v>6.35</v>
      </c>
      <c r="S165" s="3">
        <v>1.4718</v>
      </c>
      <c r="T165" s="1">
        <f t="shared" si="16"/>
        <v>1.1899999999999977</v>
      </c>
      <c r="U165" s="1">
        <f t="shared" si="17"/>
        <v>43.984999999999999</v>
      </c>
      <c r="V165" s="1">
        <f t="shared" si="18"/>
        <v>76.1754000000019</v>
      </c>
      <c r="W165" s="1">
        <f t="shared" si="19"/>
        <v>173270.5</v>
      </c>
      <c r="X165" s="1">
        <f t="shared" si="20"/>
        <v>-9.9999999999999645E-2</v>
      </c>
      <c r="Y165" s="1">
        <f t="shared" si="21"/>
        <v>0.7359</v>
      </c>
      <c r="Z165">
        <f t="shared" si="22"/>
        <v>1</v>
      </c>
    </row>
    <row r="166" spans="1:26" x14ac:dyDescent="0.2">
      <c r="A166">
        <f t="shared" si="23"/>
        <v>164</v>
      </c>
      <c r="B166">
        <v>2014</v>
      </c>
      <c r="C166" t="s">
        <v>52</v>
      </c>
      <c r="D166" t="s">
        <v>79</v>
      </c>
      <c r="E166">
        <v>4</v>
      </c>
      <c r="F166" s="2">
        <v>61</v>
      </c>
      <c r="G166" s="2" t="s">
        <v>38</v>
      </c>
      <c r="H166" s="2" t="s">
        <v>39</v>
      </c>
      <c r="I166" s="2" t="s">
        <v>30</v>
      </c>
      <c r="J166" s="2">
        <v>311</v>
      </c>
      <c r="K166" s="3">
        <v>166.25</v>
      </c>
      <c r="L166" s="3">
        <v>165.03</v>
      </c>
      <c r="M166" s="3">
        <v>19.100000000000001</v>
      </c>
      <c r="N166" s="3">
        <v>10435.512500000001</v>
      </c>
      <c r="O166" s="3">
        <v>10358</v>
      </c>
      <c r="P166" s="3">
        <v>75251</v>
      </c>
      <c r="Q166" s="3">
        <v>68.75</v>
      </c>
      <c r="R166" s="3">
        <v>70</v>
      </c>
      <c r="S166" s="3">
        <v>10.1486</v>
      </c>
      <c r="T166" s="1">
        <f t="shared" si="16"/>
        <v>1.2199999999999989</v>
      </c>
      <c r="U166" s="1">
        <f t="shared" si="17"/>
        <v>9.5500000000000007</v>
      </c>
      <c r="V166" s="1">
        <f t="shared" si="18"/>
        <v>77.512500000000728</v>
      </c>
      <c r="W166" s="1">
        <f t="shared" si="19"/>
        <v>37625.5</v>
      </c>
      <c r="X166" s="1">
        <f t="shared" si="20"/>
        <v>-1.25</v>
      </c>
      <c r="Y166" s="1">
        <f t="shared" si="21"/>
        <v>5.0743</v>
      </c>
      <c r="Z166">
        <f t="shared" si="22"/>
        <v>1</v>
      </c>
    </row>
    <row r="167" spans="1:26" x14ac:dyDescent="0.2">
      <c r="A167">
        <f t="shared" si="23"/>
        <v>165</v>
      </c>
      <c r="B167">
        <v>2015</v>
      </c>
      <c r="C167" t="s">
        <v>67</v>
      </c>
      <c r="D167" t="s">
        <v>83</v>
      </c>
      <c r="E167">
        <v>4</v>
      </c>
      <c r="F167" s="2">
        <v>31</v>
      </c>
      <c r="G167" s="2" t="s">
        <v>28</v>
      </c>
      <c r="H167" s="2" t="s">
        <v>29</v>
      </c>
      <c r="I167" s="2" t="s">
        <v>30</v>
      </c>
      <c r="J167" s="2">
        <v>11</v>
      </c>
      <c r="K167" s="3">
        <v>145.97</v>
      </c>
      <c r="L167" s="3">
        <v>144.63999999999999</v>
      </c>
      <c r="M167" s="3">
        <v>77.010000000000005</v>
      </c>
      <c r="N167" s="3">
        <v>9162.536900000001</v>
      </c>
      <c r="O167" s="3">
        <v>9078.2900000000009</v>
      </c>
      <c r="P167" s="3">
        <v>303378</v>
      </c>
      <c r="Q167" s="3">
        <v>67.5</v>
      </c>
      <c r="R167" s="3">
        <v>65</v>
      </c>
      <c r="S167" s="3">
        <v>25.341100000000001</v>
      </c>
      <c r="T167" s="1">
        <f t="shared" si="16"/>
        <v>1.3300000000000125</v>
      </c>
      <c r="U167" s="1">
        <f t="shared" si="17"/>
        <v>38.505000000000003</v>
      </c>
      <c r="V167" s="1">
        <f t="shared" si="18"/>
        <v>84.246900000000096</v>
      </c>
      <c r="W167" s="1">
        <f t="shared" si="19"/>
        <v>151689</v>
      </c>
      <c r="X167" s="1">
        <f t="shared" si="20"/>
        <v>2.5</v>
      </c>
      <c r="Y167" s="1">
        <f t="shared" si="21"/>
        <v>12.67055</v>
      </c>
      <c r="Z167">
        <f t="shared" si="22"/>
        <v>1</v>
      </c>
    </row>
    <row r="168" spans="1:26" x14ac:dyDescent="0.2">
      <c r="A168">
        <f t="shared" si="23"/>
        <v>166</v>
      </c>
      <c r="B168">
        <v>2014</v>
      </c>
      <c r="C168" t="s">
        <v>64</v>
      </c>
      <c r="D168" t="s">
        <v>65</v>
      </c>
      <c r="E168">
        <v>4</v>
      </c>
      <c r="F168" s="2">
        <v>21</v>
      </c>
      <c r="G168" s="2" t="s">
        <v>71</v>
      </c>
      <c r="H168" s="2" t="s">
        <v>66</v>
      </c>
      <c r="I168" s="2" t="s">
        <v>30</v>
      </c>
      <c r="J168" s="2">
        <v>711</v>
      </c>
      <c r="K168" s="3">
        <v>202.81</v>
      </c>
      <c r="L168" s="3">
        <v>201.48</v>
      </c>
      <c r="M168" s="3">
        <v>45.55</v>
      </c>
      <c r="N168" s="3">
        <v>12730.3837</v>
      </c>
      <c r="O168" s="3">
        <v>12646</v>
      </c>
      <c r="P168" s="3">
        <v>179407</v>
      </c>
      <c r="Q168" s="3">
        <v>7.75</v>
      </c>
      <c r="R168" s="3">
        <v>9.875</v>
      </c>
      <c r="S168" s="3">
        <v>2.2923</v>
      </c>
      <c r="T168" s="1">
        <f t="shared" si="16"/>
        <v>1.3300000000000125</v>
      </c>
      <c r="U168" s="1">
        <f t="shared" si="17"/>
        <v>22.774999999999999</v>
      </c>
      <c r="V168" s="1">
        <f t="shared" si="18"/>
        <v>84.383700000000317</v>
      </c>
      <c r="W168" s="1">
        <f t="shared" si="19"/>
        <v>89703.5</v>
      </c>
      <c r="X168" s="1">
        <f t="shared" si="20"/>
        <v>-2.125</v>
      </c>
      <c r="Y168" s="1">
        <f t="shared" si="21"/>
        <v>1.14615</v>
      </c>
      <c r="Z168">
        <f t="shared" si="22"/>
        <v>1</v>
      </c>
    </row>
    <row r="169" spans="1:26" x14ac:dyDescent="0.2">
      <c r="A169">
        <f t="shared" si="23"/>
        <v>167</v>
      </c>
      <c r="B169">
        <v>2015</v>
      </c>
      <c r="C169" t="s">
        <v>54</v>
      </c>
      <c r="D169" t="s">
        <v>69</v>
      </c>
      <c r="E169">
        <v>4</v>
      </c>
      <c r="F169" s="2">
        <v>82</v>
      </c>
      <c r="G169" s="2" t="s">
        <v>31</v>
      </c>
      <c r="H169" s="2" t="s">
        <v>46</v>
      </c>
      <c r="I169" s="2" t="s">
        <v>41</v>
      </c>
      <c r="J169" s="2">
        <v>311</v>
      </c>
      <c r="K169" s="3">
        <v>247.96</v>
      </c>
      <c r="L169" s="3">
        <v>246.63</v>
      </c>
      <c r="M169" s="3">
        <v>212.78</v>
      </c>
      <c r="N169" s="3">
        <v>15564.449200000001</v>
      </c>
      <c r="O169" s="3">
        <v>15479</v>
      </c>
      <c r="P169" s="3">
        <v>838171</v>
      </c>
      <c r="Q169" s="3">
        <v>36.25</v>
      </c>
      <c r="R169" s="3">
        <v>32.5</v>
      </c>
      <c r="S169" s="3">
        <v>207.72</v>
      </c>
      <c r="T169" s="1">
        <f t="shared" si="16"/>
        <v>1.3300000000000125</v>
      </c>
      <c r="U169" s="1">
        <f t="shared" si="17"/>
        <v>106.39</v>
      </c>
      <c r="V169" s="1">
        <f t="shared" si="18"/>
        <v>85.449200000000928</v>
      </c>
      <c r="W169" s="1">
        <f t="shared" si="19"/>
        <v>419085.5</v>
      </c>
      <c r="X169" s="1">
        <f t="shared" si="20"/>
        <v>3.75</v>
      </c>
      <c r="Y169" s="1">
        <f t="shared" si="21"/>
        <v>103.86</v>
      </c>
      <c r="Z169">
        <f t="shared" si="22"/>
        <v>1</v>
      </c>
    </row>
    <row r="170" spans="1:26" x14ac:dyDescent="0.2">
      <c r="A170">
        <f t="shared" si="23"/>
        <v>168</v>
      </c>
      <c r="B170">
        <v>2015</v>
      </c>
      <c r="C170" t="s">
        <v>60</v>
      </c>
      <c r="D170" t="s">
        <v>61</v>
      </c>
      <c r="E170">
        <v>6</v>
      </c>
      <c r="F170" s="2">
        <v>92</v>
      </c>
      <c r="G170" s="2" t="s">
        <v>42</v>
      </c>
      <c r="H170" s="2" t="s">
        <v>43</v>
      </c>
      <c r="I170" s="2" t="s">
        <v>41</v>
      </c>
      <c r="J170" s="2">
        <v>311</v>
      </c>
      <c r="K170" s="3">
        <v>265.01</v>
      </c>
      <c r="L170" s="3">
        <v>263.64</v>
      </c>
      <c r="M170" s="3">
        <v>207.31</v>
      </c>
      <c r="N170" s="3">
        <v>16634.6777</v>
      </c>
      <c r="O170" s="3">
        <v>16547</v>
      </c>
      <c r="P170" s="3">
        <v>816614</v>
      </c>
      <c r="Q170" s="3">
        <v>15.166700000000001</v>
      </c>
      <c r="R170" s="3">
        <v>25.5</v>
      </c>
      <c r="S170" s="3">
        <v>40.421999999999997</v>
      </c>
      <c r="T170" s="1">
        <f t="shared" si="16"/>
        <v>1.3700000000000045</v>
      </c>
      <c r="U170" s="1">
        <f t="shared" si="17"/>
        <v>69.103333333333339</v>
      </c>
      <c r="V170" s="1">
        <f t="shared" si="18"/>
        <v>87.677700000000186</v>
      </c>
      <c r="W170" s="1">
        <f t="shared" si="19"/>
        <v>272204.66666666669</v>
      </c>
      <c r="X170" s="1">
        <f t="shared" si="20"/>
        <v>-10.333299999999999</v>
      </c>
      <c r="Y170" s="1">
        <f t="shared" si="21"/>
        <v>13.473999999999998</v>
      </c>
      <c r="Z170">
        <f t="shared" si="22"/>
        <v>1</v>
      </c>
    </row>
    <row r="171" spans="1:26" x14ac:dyDescent="0.2">
      <c r="A171">
        <f t="shared" si="23"/>
        <v>169</v>
      </c>
      <c r="B171">
        <v>2014</v>
      </c>
      <c r="C171" t="s">
        <v>72</v>
      </c>
      <c r="D171" t="s">
        <v>73</v>
      </c>
      <c r="E171">
        <v>4</v>
      </c>
      <c r="F171" s="2">
        <v>51</v>
      </c>
      <c r="G171" s="2" t="s">
        <v>36</v>
      </c>
      <c r="H171" s="2" t="s">
        <v>66</v>
      </c>
      <c r="I171" s="2" t="s">
        <v>30</v>
      </c>
      <c r="J171" s="2">
        <v>11</v>
      </c>
      <c r="K171" s="3">
        <v>196.31</v>
      </c>
      <c r="L171" s="3">
        <v>194.83</v>
      </c>
      <c r="M171" s="3">
        <v>87.97</v>
      </c>
      <c r="N171" s="3">
        <v>12322.378700000001</v>
      </c>
      <c r="O171" s="3">
        <v>12228</v>
      </c>
      <c r="P171" s="3">
        <v>346541</v>
      </c>
      <c r="Q171" s="3">
        <v>5.0999999999999996</v>
      </c>
      <c r="R171" s="3">
        <v>6.35</v>
      </c>
      <c r="S171" s="3">
        <v>1.4718</v>
      </c>
      <c r="T171" s="1">
        <f t="shared" si="16"/>
        <v>1.4799999999999898</v>
      </c>
      <c r="U171" s="1">
        <f t="shared" si="17"/>
        <v>43.984999999999999</v>
      </c>
      <c r="V171" s="1">
        <f t="shared" si="18"/>
        <v>94.378700000001118</v>
      </c>
      <c r="W171" s="1">
        <f t="shared" si="19"/>
        <v>173270.5</v>
      </c>
      <c r="X171" s="1">
        <f t="shared" si="20"/>
        <v>-1.25</v>
      </c>
      <c r="Y171" s="1">
        <f t="shared" si="21"/>
        <v>0.7359</v>
      </c>
      <c r="Z171">
        <f t="shared" si="22"/>
        <v>1</v>
      </c>
    </row>
    <row r="172" spans="1:26" x14ac:dyDescent="0.2">
      <c r="A172">
        <f t="shared" si="23"/>
        <v>170</v>
      </c>
      <c r="B172">
        <v>2015</v>
      </c>
      <c r="C172" t="s">
        <v>84</v>
      </c>
      <c r="D172" t="s">
        <v>85</v>
      </c>
      <c r="E172">
        <v>4</v>
      </c>
      <c r="F172" s="2">
        <v>92</v>
      </c>
      <c r="G172" s="2" t="s">
        <v>42</v>
      </c>
      <c r="H172" s="2" t="s">
        <v>43</v>
      </c>
      <c r="I172" s="2" t="s">
        <v>41</v>
      </c>
      <c r="J172" s="2">
        <v>311</v>
      </c>
      <c r="K172" s="3">
        <v>199.06</v>
      </c>
      <c r="L172" s="3">
        <v>197.54</v>
      </c>
      <c r="M172" s="3">
        <v>296.25</v>
      </c>
      <c r="N172" s="3">
        <v>12494.996200000001</v>
      </c>
      <c r="O172" s="3">
        <v>12398</v>
      </c>
      <c r="P172" s="3">
        <v>1166970</v>
      </c>
      <c r="Q172" s="3">
        <v>-2.8400000000000003E-17</v>
      </c>
      <c r="R172" s="3">
        <v>0.6875</v>
      </c>
      <c r="S172" s="3">
        <v>0.21049999999999999</v>
      </c>
      <c r="T172" s="1">
        <f t="shared" si="16"/>
        <v>1.5200000000000102</v>
      </c>
      <c r="U172" s="1">
        <f t="shared" si="17"/>
        <v>148.125</v>
      </c>
      <c r="V172" s="1">
        <f t="shared" si="18"/>
        <v>96.996200000001409</v>
      </c>
      <c r="W172" s="1">
        <f t="shared" si="19"/>
        <v>583485</v>
      </c>
      <c r="X172" s="1">
        <f t="shared" si="20"/>
        <v>-0.6875</v>
      </c>
      <c r="Y172" s="1">
        <f t="shared" si="21"/>
        <v>0.10525</v>
      </c>
      <c r="Z172">
        <f t="shared" si="22"/>
        <v>0</v>
      </c>
    </row>
    <row r="173" spans="1:26" x14ac:dyDescent="0.2">
      <c r="A173">
        <f t="shared" si="23"/>
        <v>171</v>
      </c>
      <c r="B173">
        <v>2014</v>
      </c>
      <c r="C173" t="s">
        <v>50</v>
      </c>
      <c r="D173" t="s">
        <v>87</v>
      </c>
      <c r="E173">
        <v>4</v>
      </c>
      <c r="F173" s="2">
        <v>102</v>
      </c>
      <c r="G173" s="2" t="s">
        <v>36</v>
      </c>
      <c r="H173" s="2" t="s">
        <v>29</v>
      </c>
      <c r="I173" s="2" t="s">
        <v>41</v>
      </c>
      <c r="J173" s="2">
        <v>11</v>
      </c>
      <c r="K173" s="3">
        <v>198.98</v>
      </c>
      <c r="L173" s="3">
        <v>197.4</v>
      </c>
      <c r="M173" s="3">
        <v>34.08</v>
      </c>
      <c r="N173" s="3">
        <v>12489.9746</v>
      </c>
      <c r="O173" s="3">
        <v>12389</v>
      </c>
      <c r="P173" s="3">
        <v>134269</v>
      </c>
      <c r="Q173" s="3">
        <v>6.5</v>
      </c>
      <c r="R173" s="3">
        <v>10.75</v>
      </c>
      <c r="S173" s="3">
        <v>17.947199999999999</v>
      </c>
      <c r="T173" s="1">
        <f t="shared" si="16"/>
        <v>1.5799999999999841</v>
      </c>
      <c r="U173" s="1">
        <f t="shared" si="17"/>
        <v>17.04</v>
      </c>
      <c r="V173" s="1">
        <f t="shared" si="18"/>
        <v>100.97459999999955</v>
      </c>
      <c r="W173" s="1">
        <f t="shared" si="19"/>
        <v>67134.5</v>
      </c>
      <c r="X173" s="1">
        <f t="shared" si="20"/>
        <v>-4.25</v>
      </c>
      <c r="Y173" s="1">
        <f t="shared" si="21"/>
        <v>8.9735999999999994</v>
      </c>
      <c r="Z173">
        <f t="shared" si="22"/>
        <v>1</v>
      </c>
    </row>
    <row r="174" spans="1:26" x14ac:dyDescent="0.2">
      <c r="A174">
        <f t="shared" si="23"/>
        <v>172</v>
      </c>
      <c r="B174">
        <v>2014</v>
      </c>
      <c r="C174" t="s">
        <v>88</v>
      </c>
      <c r="D174" t="s">
        <v>89</v>
      </c>
      <c r="E174">
        <v>4</v>
      </c>
      <c r="F174" s="2">
        <v>41</v>
      </c>
      <c r="G174" s="2" t="s">
        <v>31</v>
      </c>
      <c r="H174" s="2" t="s">
        <v>62</v>
      </c>
      <c r="I174" s="2" t="s">
        <v>30</v>
      </c>
      <c r="J174" s="2">
        <v>311</v>
      </c>
      <c r="K174" s="3">
        <v>152.55000000000001</v>
      </c>
      <c r="L174" s="3">
        <v>150.94999999999999</v>
      </c>
      <c r="M174" s="3">
        <v>162.88</v>
      </c>
      <c r="N174" s="3">
        <v>9575.563500000002</v>
      </c>
      <c r="O174" s="3">
        <v>9474</v>
      </c>
      <c r="P174" s="3">
        <v>641596</v>
      </c>
      <c r="Q174" s="3">
        <v>1</v>
      </c>
      <c r="R174" s="3">
        <v>1.25</v>
      </c>
      <c r="S174" s="3">
        <v>0.16339999999999999</v>
      </c>
      <c r="T174" s="1">
        <f t="shared" si="16"/>
        <v>1.6000000000000227</v>
      </c>
      <c r="U174" s="1">
        <f t="shared" si="17"/>
        <v>81.44</v>
      </c>
      <c r="V174" s="1">
        <f t="shared" si="18"/>
        <v>101.56350000000202</v>
      </c>
      <c r="W174" s="1">
        <f t="shared" si="19"/>
        <v>320798</v>
      </c>
      <c r="X174" s="1">
        <f t="shared" si="20"/>
        <v>-0.25</v>
      </c>
      <c r="Y174" s="1">
        <f t="shared" si="21"/>
        <v>8.1699999999999995E-2</v>
      </c>
      <c r="Z174">
        <f t="shared" si="22"/>
        <v>0</v>
      </c>
    </row>
    <row r="175" spans="1:26" x14ac:dyDescent="0.2">
      <c r="A175">
        <f t="shared" si="23"/>
        <v>173</v>
      </c>
      <c r="B175">
        <v>2015</v>
      </c>
      <c r="C175" t="s">
        <v>52</v>
      </c>
      <c r="D175" t="s">
        <v>79</v>
      </c>
      <c r="E175">
        <v>4</v>
      </c>
      <c r="F175" s="2">
        <v>142</v>
      </c>
      <c r="G175" s="2" t="s">
        <v>63</v>
      </c>
      <c r="H175" s="2" t="s">
        <v>46</v>
      </c>
      <c r="I175" s="2" t="s">
        <v>41</v>
      </c>
      <c r="J175" s="2">
        <v>3</v>
      </c>
      <c r="K175" s="3">
        <v>168.15</v>
      </c>
      <c r="L175" s="3">
        <v>166.53</v>
      </c>
      <c r="M175" s="3">
        <v>37.15</v>
      </c>
      <c r="N175" s="3">
        <v>10554.775500000002</v>
      </c>
      <c r="O175" s="3">
        <v>10452</v>
      </c>
      <c r="P175" s="3">
        <v>146343</v>
      </c>
      <c r="Q175" s="3">
        <v>53.75</v>
      </c>
      <c r="R175" s="3">
        <v>58.75</v>
      </c>
      <c r="S175" s="3">
        <v>35.233899999999998</v>
      </c>
      <c r="T175" s="1">
        <f t="shared" si="16"/>
        <v>1.6200000000000045</v>
      </c>
      <c r="U175" s="1">
        <f t="shared" si="17"/>
        <v>18.574999999999999</v>
      </c>
      <c r="V175" s="1">
        <f t="shared" si="18"/>
        <v>102.77550000000156</v>
      </c>
      <c r="W175" s="1">
        <f t="shared" si="19"/>
        <v>73171.5</v>
      </c>
      <c r="X175" s="1">
        <f t="shared" si="20"/>
        <v>-5</v>
      </c>
      <c r="Y175" s="1">
        <f t="shared" si="21"/>
        <v>17.616949999999999</v>
      </c>
      <c r="Z175">
        <f t="shared" si="22"/>
        <v>1</v>
      </c>
    </row>
    <row r="176" spans="1:26" x14ac:dyDescent="0.2">
      <c r="A176">
        <f t="shared" si="23"/>
        <v>174</v>
      </c>
      <c r="B176">
        <v>2015</v>
      </c>
      <c r="C176" t="s">
        <v>64</v>
      </c>
      <c r="D176" t="s">
        <v>94</v>
      </c>
      <c r="E176">
        <v>4</v>
      </c>
      <c r="F176" s="2">
        <v>41</v>
      </c>
      <c r="G176" s="2" t="s">
        <v>31</v>
      </c>
      <c r="H176" s="2" t="s">
        <v>62</v>
      </c>
      <c r="I176" s="2" t="s">
        <v>30</v>
      </c>
      <c r="J176" s="2">
        <v>311</v>
      </c>
      <c r="K176" s="3">
        <v>128.05000000000001</v>
      </c>
      <c r="L176" s="3">
        <v>126.4</v>
      </c>
      <c r="M176" s="3">
        <v>16.2</v>
      </c>
      <c r="N176" s="3">
        <v>8037.6985000000013</v>
      </c>
      <c r="O176" s="3">
        <v>7933.19</v>
      </c>
      <c r="P176" s="3">
        <v>63827</v>
      </c>
      <c r="Q176" s="3">
        <v>8.25</v>
      </c>
      <c r="R176" s="3">
        <v>10.9</v>
      </c>
      <c r="S176" s="3">
        <v>13.4703</v>
      </c>
      <c r="T176" s="1">
        <f t="shared" si="16"/>
        <v>1.6500000000000057</v>
      </c>
      <c r="U176" s="1">
        <f t="shared" si="17"/>
        <v>8.1</v>
      </c>
      <c r="V176" s="1">
        <f t="shared" si="18"/>
        <v>104.50850000000173</v>
      </c>
      <c r="W176" s="1">
        <f t="shared" si="19"/>
        <v>31913.5</v>
      </c>
      <c r="X176" s="1">
        <f t="shared" si="20"/>
        <v>-2.6500000000000004</v>
      </c>
      <c r="Y176" s="1">
        <f t="shared" si="21"/>
        <v>6.73515</v>
      </c>
      <c r="Z176">
        <f t="shared" si="22"/>
        <v>1</v>
      </c>
    </row>
    <row r="177" spans="1:26" x14ac:dyDescent="0.2">
      <c r="A177">
        <f t="shared" si="23"/>
        <v>175</v>
      </c>
      <c r="B177">
        <v>2015</v>
      </c>
      <c r="C177" t="s">
        <v>52</v>
      </c>
      <c r="D177" t="s">
        <v>79</v>
      </c>
      <c r="E177">
        <v>4</v>
      </c>
      <c r="F177" s="2">
        <v>173</v>
      </c>
      <c r="G177" s="2" t="s">
        <v>31</v>
      </c>
      <c r="H177" s="2" t="s">
        <v>32</v>
      </c>
      <c r="I177" s="2" t="s">
        <v>33</v>
      </c>
      <c r="J177" s="2">
        <v>311</v>
      </c>
      <c r="K177" s="3">
        <v>168.2</v>
      </c>
      <c r="L177" s="3">
        <v>166.53</v>
      </c>
      <c r="M177" s="3">
        <v>37.15</v>
      </c>
      <c r="N177" s="3">
        <v>10557.914000000001</v>
      </c>
      <c r="O177" s="3">
        <v>10452</v>
      </c>
      <c r="P177" s="3">
        <v>146343</v>
      </c>
      <c r="Q177" s="3">
        <v>53.75</v>
      </c>
      <c r="R177" s="3">
        <v>58.75</v>
      </c>
      <c r="S177" s="3">
        <v>35.233899999999998</v>
      </c>
      <c r="T177" s="1">
        <f t="shared" si="16"/>
        <v>1.6699999999999875</v>
      </c>
      <c r="U177" s="1">
        <f t="shared" si="17"/>
        <v>18.574999999999999</v>
      </c>
      <c r="V177" s="1">
        <f t="shared" si="18"/>
        <v>105.91400000000067</v>
      </c>
      <c r="W177" s="1">
        <f t="shared" si="19"/>
        <v>73171.5</v>
      </c>
      <c r="X177" s="1">
        <f t="shared" si="20"/>
        <v>-5</v>
      </c>
      <c r="Y177" s="1">
        <f t="shared" si="21"/>
        <v>17.616949999999999</v>
      </c>
      <c r="Z177">
        <f t="shared" si="22"/>
        <v>1</v>
      </c>
    </row>
    <row r="178" spans="1:26" x14ac:dyDescent="0.2">
      <c r="A178">
        <f t="shared" si="23"/>
        <v>176</v>
      </c>
      <c r="B178">
        <v>2015</v>
      </c>
      <c r="C178" t="s">
        <v>88</v>
      </c>
      <c r="D178" t="s">
        <v>90</v>
      </c>
      <c r="E178">
        <v>4</v>
      </c>
      <c r="F178" s="2">
        <v>92</v>
      </c>
      <c r="G178" s="2" t="s">
        <v>42</v>
      </c>
      <c r="H178" s="2" t="s">
        <v>43</v>
      </c>
      <c r="I178" s="2" t="s">
        <v>41</v>
      </c>
      <c r="J178" s="2">
        <v>311</v>
      </c>
      <c r="K178" s="3">
        <v>216.24</v>
      </c>
      <c r="L178" s="3">
        <v>214.57</v>
      </c>
      <c r="M178" s="3">
        <v>51.3</v>
      </c>
      <c r="N178" s="3">
        <v>13573.384800000002</v>
      </c>
      <c r="O178" s="3">
        <v>13467</v>
      </c>
      <c r="P178" s="3">
        <v>202142</v>
      </c>
      <c r="Q178" s="3">
        <v>0</v>
      </c>
      <c r="R178" s="3">
        <v>0</v>
      </c>
      <c r="S178" s="3">
        <v>0</v>
      </c>
      <c r="T178" s="1">
        <f t="shared" si="16"/>
        <v>1.6700000000000159</v>
      </c>
      <c r="U178" s="1">
        <f t="shared" si="17"/>
        <v>25.65</v>
      </c>
      <c r="V178" s="1">
        <f t="shared" si="18"/>
        <v>106.38480000000163</v>
      </c>
      <c r="W178" s="1">
        <f t="shared" si="19"/>
        <v>101071</v>
      </c>
      <c r="X178" s="1">
        <f t="shared" si="20"/>
        <v>0</v>
      </c>
      <c r="Y178" s="1">
        <f t="shared" si="21"/>
        <v>0</v>
      </c>
      <c r="Z178">
        <f t="shared" si="22"/>
        <v>0</v>
      </c>
    </row>
    <row r="179" spans="1:26" x14ac:dyDescent="0.2">
      <c r="A179">
        <f t="shared" si="23"/>
        <v>177</v>
      </c>
      <c r="B179">
        <v>2015</v>
      </c>
      <c r="C179" t="s">
        <v>64</v>
      </c>
      <c r="D179" t="s">
        <v>91</v>
      </c>
      <c r="E179">
        <v>6</v>
      </c>
      <c r="F179" s="2">
        <v>21</v>
      </c>
      <c r="G179" s="2" t="s">
        <v>71</v>
      </c>
      <c r="H179" s="2" t="s">
        <v>66</v>
      </c>
      <c r="I179" s="2" t="s">
        <v>30</v>
      </c>
      <c r="J179" s="2">
        <v>711</v>
      </c>
      <c r="K179" s="3">
        <v>197.04</v>
      </c>
      <c r="L179" s="3">
        <v>195.3</v>
      </c>
      <c r="M179" s="3">
        <v>52.46</v>
      </c>
      <c r="N179" s="3">
        <v>12368.200800000001</v>
      </c>
      <c r="O179" s="3">
        <v>12258</v>
      </c>
      <c r="P179" s="3">
        <v>206693</v>
      </c>
      <c r="Q179" s="3">
        <v>30</v>
      </c>
      <c r="R179" s="3">
        <v>30</v>
      </c>
      <c r="S179" s="3">
        <v>49.622199999999999</v>
      </c>
      <c r="T179" s="1">
        <f t="shared" si="16"/>
        <v>1.7399999999999807</v>
      </c>
      <c r="U179" s="1">
        <f t="shared" si="17"/>
        <v>17.486666666666668</v>
      </c>
      <c r="V179" s="1">
        <f t="shared" si="18"/>
        <v>110.20080000000053</v>
      </c>
      <c r="W179" s="1">
        <f t="shared" si="19"/>
        <v>68897.666666666672</v>
      </c>
      <c r="X179" s="1">
        <f t="shared" si="20"/>
        <v>0</v>
      </c>
      <c r="Y179" s="1">
        <f t="shared" si="21"/>
        <v>16.540733333333332</v>
      </c>
      <c r="Z179">
        <f t="shared" si="22"/>
        <v>1</v>
      </c>
    </row>
    <row r="180" spans="1:26" x14ac:dyDescent="0.2">
      <c r="A180">
        <f t="shared" si="23"/>
        <v>178</v>
      </c>
      <c r="B180">
        <v>2014</v>
      </c>
      <c r="C180" t="s">
        <v>52</v>
      </c>
      <c r="D180" t="s">
        <v>53</v>
      </c>
      <c r="E180">
        <v>4</v>
      </c>
      <c r="F180" s="2">
        <v>112</v>
      </c>
      <c r="G180" s="2" t="s">
        <v>40</v>
      </c>
      <c r="H180" s="2" t="s">
        <v>39</v>
      </c>
      <c r="I180" s="2" t="s">
        <v>41</v>
      </c>
      <c r="J180" s="2">
        <v>311</v>
      </c>
      <c r="K180" s="3">
        <v>192.6</v>
      </c>
      <c r="L180" s="3">
        <v>190.74</v>
      </c>
      <c r="M180" s="3">
        <v>134.78</v>
      </c>
      <c r="N180" s="3">
        <v>12089.502</v>
      </c>
      <c r="O180" s="3">
        <v>11971</v>
      </c>
      <c r="P180" s="3">
        <v>530904</v>
      </c>
      <c r="Q180" s="3">
        <v>2.25</v>
      </c>
      <c r="R180" s="3">
        <v>4</v>
      </c>
      <c r="S180" s="3">
        <v>1.1295999999999999</v>
      </c>
      <c r="T180" s="1">
        <f t="shared" si="16"/>
        <v>1.8599999999999852</v>
      </c>
      <c r="U180" s="1">
        <f t="shared" si="17"/>
        <v>67.39</v>
      </c>
      <c r="V180" s="1">
        <f t="shared" si="18"/>
        <v>118.50200000000041</v>
      </c>
      <c r="W180" s="1">
        <f t="shared" si="19"/>
        <v>265452</v>
      </c>
      <c r="X180" s="1">
        <f t="shared" si="20"/>
        <v>-1.75</v>
      </c>
      <c r="Y180" s="1">
        <f t="shared" si="21"/>
        <v>0.56479999999999997</v>
      </c>
      <c r="Z180">
        <f t="shared" si="22"/>
        <v>0</v>
      </c>
    </row>
    <row r="181" spans="1:26" x14ac:dyDescent="0.2">
      <c r="A181">
        <f t="shared" si="23"/>
        <v>179</v>
      </c>
      <c r="B181">
        <v>2014</v>
      </c>
      <c r="C181" t="s">
        <v>88</v>
      </c>
      <c r="D181" t="s">
        <v>89</v>
      </c>
      <c r="E181">
        <v>4</v>
      </c>
      <c r="F181" s="2">
        <v>112</v>
      </c>
      <c r="G181" s="2" t="s">
        <v>40</v>
      </c>
      <c r="H181" s="2" t="s">
        <v>39</v>
      </c>
      <c r="I181" s="2" t="s">
        <v>41</v>
      </c>
      <c r="J181" s="2">
        <v>311</v>
      </c>
      <c r="K181" s="3">
        <v>152.88</v>
      </c>
      <c r="L181" s="3">
        <v>150.94999999999999</v>
      </c>
      <c r="M181" s="3">
        <v>162.88</v>
      </c>
      <c r="N181" s="3">
        <v>9596.2775999999994</v>
      </c>
      <c r="O181" s="3">
        <v>9474</v>
      </c>
      <c r="P181" s="3">
        <v>641596</v>
      </c>
      <c r="Q181" s="3">
        <v>0.45</v>
      </c>
      <c r="R181" s="3">
        <v>1.25</v>
      </c>
      <c r="S181" s="3">
        <v>0.16339999999999999</v>
      </c>
      <c r="T181" s="1">
        <f t="shared" si="16"/>
        <v>1.9300000000000068</v>
      </c>
      <c r="U181" s="1">
        <f t="shared" si="17"/>
        <v>81.44</v>
      </c>
      <c r="V181" s="1">
        <f t="shared" si="18"/>
        <v>122.27759999999944</v>
      </c>
      <c r="W181" s="1">
        <f t="shared" si="19"/>
        <v>320798</v>
      </c>
      <c r="X181" s="1">
        <f t="shared" si="20"/>
        <v>-0.8</v>
      </c>
      <c r="Y181" s="1">
        <f t="shared" si="21"/>
        <v>8.1699999999999995E-2</v>
      </c>
      <c r="Z181">
        <f t="shared" si="22"/>
        <v>0</v>
      </c>
    </row>
    <row r="182" spans="1:26" x14ac:dyDescent="0.2">
      <c r="A182">
        <f t="shared" si="23"/>
        <v>180</v>
      </c>
      <c r="B182">
        <v>2015</v>
      </c>
      <c r="C182" t="s">
        <v>67</v>
      </c>
      <c r="D182" t="s">
        <v>83</v>
      </c>
      <c r="E182">
        <v>4</v>
      </c>
      <c r="F182" s="2">
        <v>92</v>
      </c>
      <c r="G182" s="2" t="s">
        <v>42</v>
      </c>
      <c r="H182" s="2" t="s">
        <v>43</v>
      </c>
      <c r="I182" s="2" t="s">
        <v>41</v>
      </c>
      <c r="J182" s="2">
        <v>311</v>
      </c>
      <c r="K182" s="3">
        <v>146.66</v>
      </c>
      <c r="L182" s="3">
        <v>144.63999999999999</v>
      </c>
      <c r="M182" s="3">
        <v>77.010000000000005</v>
      </c>
      <c r="N182" s="3">
        <v>9205.8482000000004</v>
      </c>
      <c r="O182" s="3">
        <v>9078.2900000000009</v>
      </c>
      <c r="P182" s="3">
        <v>303378</v>
      </c>
      <c r="Q182" s="3">
        <v>65</v>
      </c>
      <c r="R182" s="3">
        <v>65</v>
      </c>
      <c r="S182" s="3">
        <v>25.341100000000001</v>
      </c>
      <c r="T182" s="1">
        <f t="shared" si="16"/>
        <v>2.0200000000000102</v>
      </c>
      <c r="U182" s="1">
        <f t="shared" si="17"/>
        <v>38.505000000000003</v>
      </c>
      <c r="V182" s="1">
        <f t="shared" si="18"/>
        <v>127.55819999999949</v>
      </c>
      <c r="W182" s="1">
        <f t="shared" si="19"/>
        <v>151689</v>
      </c>
      <c r="X182" s="1">
        <f t="shared" si="20"/>
        <v>0</v>
      </c>
      <c r="Y182" s="1">
        <f t="shared" si="21"/>
        <v>12.67055</v>
      </c>
      <c r="Z182">
        <f t="shared" si="22"/>
        <v>1</v>
      </c>
    </row>
    <row r="183" spans="1:26" x14ac:dyDescent="0.2">
      <c r="A183">
        <f t="shared" si="23"/>
        <v>181</v>
      </c>
      <c r="B183">
        <v>2014</v>
      </c>
      <c r="C183" t="s">
        <v>50</v>
      </c>
      <c r="D183" t="s">
        <v>77</v>
      </c>
      <c r="E183">
        <v>4</v>
      </c>
      <c r="F183" s="2">
        <v>112</v>
      </c>
      <c r="G183" s="2" t="s">
        <v>40</v>
      </c>
      <c r="H183" s="2" t="s">
        <v>39</v>
      </c>
      <c r="I183" s="2" t="s">
        <v>41</v>
      </c>
      <c r="J183" s="2">
        <v>311</v>
      </c>
      <c r="K183" s="3">
        <v>219.18</v>
      </c>
      <c r="L183" s="3">
        <v>217.17</v>
      </c>
      <c r="M183" s="3">
        <v>97.19</v>
      </c>
      <c r="N183" s="3">
        <v>13757.928600000001</v>
      </c>
      <c r="O183" s="3">
        <v>13630</v>
      </c>
      <c r="P183" s="3">
        <v>382849</v>
      </c>
      <c r="Q183" s="3">
        <v>17.085000000000001</v>
      </c>
      <c r="R183" s="3">
        <v>16.25</v>
      </c>
      <c r="S183" s="3">
        <v>60.879800000000003</v>
      </c>
      <c r="T183" s="1">
        <f t="shared" si="16"/>
        <v>2.0100000000000193</v>
      </c>
      <c r="U183" s="1">
        <f t="shared" si="17"/>
        <v>48.594999999999999</v>
      </c>
      <c r="V183" s="1">
        <f t="shared" si="18"/>
        <v>127.9286000000011</v>
      </c>
      <c r="W183" s="1">
        <f t="shared" si="19"/>
        <v>191424.5</v>
      </c>
      <c r="X183" s="1">
        <f t="shared" si="20"/>
        <v>0.83500000000000085</v>
      </c>
      <c r="Y183" s="1">
        <f t="shared" si="21"/>
        <v>30.439900000000002</v>
      </c>
      <c r="Z183">
        <f t="shared" si="22"/>
        <v>1</v>
      </c>
    </row>
    <row r="184" spans="1:26" x14ac:dyDescent="0.2">
      <c r="A184">
        <f t="shared" si="23"/>
        <v>182</v>
      </c>
      <c r="B184">
        <v>2015</v>
      </c>
      <c r="C184" t="s">
        <v>52</v>
      </c>
      <c r="D184" t="s">
        <v>79</v>
      </c>
      <c r="E184">
        <v>4</v>
      </c>
      <c r="F184" s="2">
        <v>21</v>
      </c>
      <c r="G184" s="2" t="s">
        <v>71</v>
      </c>
      <c r="H184" s="2" t="s">
        <v>66</v>
      </c>
      <c r="I184" s="2" t="s">
        <v>30</v>
      </c>
      <c r="J184" s="2">
        <v>711</v>
      </c>
      <c r="K184" s="3">
        <v>168.58</v>
      </c>
      <c r="L184" s="3">
        <v>166.53</v>
      </c>
      <c r="M184" s="3">
        <v>37.15</v>
      </c>
      <c r="N184" s="3">
        <v>10581.766600000001</v>
      </c>
      <c r="O184" s="3">
        <v>10452</v>
      </c>
      <c r="P184" s="3">
        <v>146343</v>
      </c>
      <c r="Q184" s="3">
        <v>52.5</v>
      </c>
      <c r="R184" s="3">
        <v>58.75</v>
      </c>
      <c r="S184" s="3">
        <v>35.233899999999998</v>
      </c>
      <c r="T184" s="1">
        <f t="shared" si="16"/>
        <v>2.0500000000000114</v>
      </c>
      <c r="U184" s="1">
        <f t="shared" si="17"/>
        <v>18.574999999999999</v>
      </c>
      <c r="V184" s="1">
        <f t="shared" si="18"/>
        <v>129.76660000000084</v>
      </c>
      <c r="W184" s="1">
        <f t="shared" si="19"/>
        <v>73171.5</v>
      </c>
      <c r="X184" s="1">
        <f t="shared" si="20"/>
        <v>-6.25</v>
      </c>
      <c r="Y184" s="1">
        <f t="shared" si="21"/>
        <v>17.616949999999999</v>
      </c>
      <c r="Z184">
        <f t="shared" si="22"/>
        <v>1</v>
      </c>
    </row>
    <row r="185" spans="1:26" x14ac:dyDescent="0.2">
      <c r="A185">
        <f t="shared" si="23"/>
        <v>183</v>
      </c>
      <c r="B185">
        <v>2014</v>
      </c>
      <c r="C185" t="s">
        <v>50</v>
      </c>
      <c r="D185" t="s">
        <v>80</v>
      </c>
      <c r="E185">
        <v>4</v>
      </c>
      <c r="F185" s="2">
        <v>41</v>
      </c>
      <c r="G185" s="2" t="s">
        <v>31</v>
      </c>
      <c r="H185" s="2" t="s">
        <v>62</v>
      </c>
      <c r="I185" s="2" t="s">
        <v>30</v>
      </c>
      <c r="J185" s="2">
        <v>311</v>
      </c>
      <c r="K185" s="3">
        <v>214.43</v>
      </c>
      <c r="L185" s="3">
        <v>212.3</v>
      </c>
      <c r="M185" s="3">
        <v>100.21</v>
      </c>
      <c r="N185" s="3">
        <v>13459.771100000002</v>
      </c>
      <c r="O185" s="3">
        <v>13324</v>
      </c>
      <c r="P185" s="3">
        <v>394707</v>
      </c>
      <c r="Q185" s="3">
        <v>35</v>
      </c>
      <c r="R185" s="3">
        <v>23.75</v>
      </c>
      <c r="S185" s="3">
        <v>150.47</v>
      </c>
      <c r="T185" s="1">
        <f t="shared" si="16"/>
        <v>2.1299999999999955</v>
      </c>
      <c r="U185" s="1">
        <f t="shared" si="17"/>
        <v>50.104999999999997</v>
      </c>
      <c r="V185" s="1">
        <f t="shared" si="18"/>
        <v>135.77110000000175</v>
      </c>
      <c r="W185" s="1">
        <f t="shared" si="19"/>
        <v>197353.5</v>
      </c>
      <c r="X185" s="1">
        <f t="shared" si="20"/>
        <v>11.25</v>
      </c>
      <c r="Y185" s="1">
        <f t="shared" si="21"/>
        <v>75.234999999999999</v>
      </c>
      <c r="Z185">
        <f t="shared" si="22"/>
        <v>1</v>
      </c>
    </row>
    <row r="186" spans="1:26" x14ac:dyDescent="0.2">
      <c r="A186">
        <f t="shared" si="23"/>
        <v>184</v>
      </c>
      <c r="B186">
        <v>2015</v>
      </c>
      <c r="C186" t="s">
        <v>52</v>
      </c>
      <c r="D186" t="s">
        <v>79</v>
      </c>
      <c r="E186">
        <v>4</v>
      </c>
      <c r="F186" s="2">
        <v>163</v>
      </c>
      <c r="G186" s="2" t="s">
        <v>58</v>
      </c>
      <c r="H186" s="2" t="s">
        <v>59</v>
      </c>
      <c r="I186" s="2" t="s">
        <v>33</v>
      </c>
      <c r="J186" s="2">
        <v>311</v>
      </c>
      <c r="K186" s="3">
        <v>168.72</v>
      </c>
      <c r="L186" s="3">
        <v>166.53</v>
      </c>
      <c r="M186" s="3">
        <v>37.15</v>
      </c>
      <c r="N186" s="3">
        <v>10590.554400000001</v>
      </c>
      <c r="O186" s="3">
        <v>10452</v>
      </c>
      <c r="P186" s="3">
        <v>146343</v>
      </c>
      <c r="Q186" s="3">
        <v>57.5</v>
      </c>
      <c r="R186" s="3">
        <v>58.75</v>
      </c>
      <c r="S186" s="3">
        <v>35.233899999999998</v>
      </c>
      <c r="T186" s="1">
        <f t="shared" si="16"/>
        <v>2.1899999999999977</v>
      </c>
      <c r="U186" s="1">
        <f t="shared" si="17"/>
        <v>18.574999999999999</v>
      </c>
      <c r="V186" s="1">
        <f t="shared" si="18"/>
        <v>138.5544000000009</v>
      </c>
      <c r="W186" s="1">
        <f t="shared" si="19"/>
        <v>73171.5</v>
      </c>
      <c r="X186" s="1">
        <f t="shared" si="20"/>
        <v>-1.25</v>
      </c>
      <c r="Y186" s="1">
        <f t="shared" si="21"/>
        <v>17.616949999999999</v>
      </c>
      <c r="Z186">
        <f t="shared" si="22"/>
        <v>1</v>
      </c>
    </row>
    <row r="187" spans="1:26" x14ac:dyDescent="0.2">
      <c r="A187">
        <f t="shared" si="23"/>
        <v>185</v>
      </c>
      <c r="B187">
        <v>2015</v>
      </c>
      <c r="C187" t="s">
        <v>72</v>
      </c>
      <c r="D187" t="s">
        <v>73</v>
      </c>
      <c r="E187">
        <v>4</v>
      </c>
      <c r="F187" s="2">
        <v>102</v>
      </c>
      <c r="G187" s="2" t="s">
        <v>36</v>
      </c>
      <c r="H187" s="2" t="s">
        <v>29</v>
      </c>
      <c r="I187" s="2" t="s">
        <v>41</v>
      </c>
      <c r="J187" s="2">
        <v>11</v>
      </c>
      <c r="K187" s="3">
        <v>199.07</v>
      </c>
      <c r="L187" s="3">
        <v>196.81</v>
      </c>
      <c r="M187" s="3">
        <v>48.17</v>
      </c>
      <c r="N187" s="3">
        <v>12495.623900000001</v>
      </c>
      <c r="O187" s="3">
        <v>12352</v>
      </c>
      <c r="P187" s="3">
        <v>189801</v>
      </c>
      <c r="Q187" s="3">
        <v>2.75</v>
      </c>
      <c r="R187" s="3">
        <v>6.9</v>
      </c>
      <c r="S187" s="3">
        <v>2.0556999999999999</v>
      </c>
      <c r="T187" s="1">
        <f t="shared" si="16"/>
        <v>2.2599999999999909</v>
      </c>
      <c r="U187" s="1">
        <f t="shared" si="17"/>
        <v>24.085000000000001</v>
      </c>
      <c r="V187" s="1">
        <f t="shared" si="18"/>
        <v>143.6239000000005</v>
      </c>
      <c r="W187" s="1">
        <f t="shared" si="19"/>
        <v>94900.5</v>
      </c>
      <c r="X187" s="1">
        <f t="shared" si="20"/>
        <v>-4.1500000000000004</v>
      </c>
      <c r="Y187" s="1">
        <f t="shared" si="21"/>
        <v>1.0278499999999999</v>
      </c>
      <c r="Z187">
        <f t="shared" si="22"/>
        <v>0</v>
      </c>
    </row>
    <row r="188" spans="1:26" x14ac:dyDescent="0.2">
      <c r="A188">
        <f t="shared" si="23"/>
        <v>186</v>
      </c>
      <c r="B188">
        <v>2015</v>
      </c>
      <c r="C188" t="s">
        <v>52</v>
      </c>
      <c r="D188" t="s">
        <v>53</v>
      </c>
      <c r="E188">
        <v>4</v>
      </c>
      <c r="F188" s="2">
        <v>112</v>
      </c>
      <c r="G188" s="2" t="s">
        <v>40</v>
      </c>
      <c r="H188" s="2" t="s">
        <v>39</v>
      </c>
      <c r="I188" s="2" t="s">
        <v>41</v>
      </c>
      <c r="J188" s="2">
        <v>311</v>
      </c>
      <c r="K188" s="3">
        <v>174.35</v>
      </c>
      <c r="L188" s="3">
        <v>172.02</v>
      </c>
      <c r="M188" s="3">
        <v>125.18</v>
      </c>
      <c r="N188" s="3">
        <v>10943.949500000001</v>
      </c>
      <c r="O188" s="3">
        <v>10797</v>
      </c>
      <c r="P188" s="3">
        <v>493089</v>
      </c>
      <c r="Q188" s="3">
        <v>0.72499999999999998</v>
      </c>
      <c r="R188" s="3">
        <v>2.2000000000000002</v>
      </c>
      <c r="S188" s="3">
        <v>1.6871</v>
      </c>
      <c r="T188" s="1">
        <f t="shared" si="16"/>
        <v>2.3299999999999841</v>
      </c>
      <c r="U188" s="1">
        <f t="shared" si="17"/>
        <v>62.59</v>
      </c>
      <c r="V188" s="1">
        <f t="shared" si="18"/>
        <v>146.94950000000063</v>
      </c>
      <c r="W188" s="1">
        <f t="shared" si="19"/>
        <v>246544.5</v>
      </c>
      <c r="X188" s="1">
        <f t="shared" si="20"/>
        <v>-1.4750000000000001</v>
      </c>
      <c r="Y188" s="1">
        <f t="shared" si="21"/>
        <v>0.84355000000000002</v>
      </c>
      <c r="Z188">
        <f t="shared" si="22"/>
        <v>0</v>
      </c>
    </row>
    <row r="189" spans="1:26" x14ac:dyDescent="0.2">
      <c r="A189">
        <f t="shared" si="23"/>
        <v>187</v>
      </c>
      <c r="B189">
        <v>2015</v>
      </c>
      <c r="C189" t="s">
        <v>52</v>
      </c>
      <c r="D189" t="s">
        <v>79</v>
      </c>
      <c r="E189">
        <v>4</v>
      </c>
      <c r="F189" s="2">
        <v>153</v>
      </c>
      <c r="G189" s="2" t="s">
        <v>44</v>
      </c>
      <c r="H189" s="2" t="s">
        <v>45</v>
      </c>
      <c r="I189" s="2" t="s">
        <v>33</v>
      </c>
      <c r="J189" s="2">
        <v>3711</v>
      </c>
      <c r="K189" s="3">
        <v>168.86</v>
      </c>
      <c r="L189" s="3">
        <v>166.53</v>
      </c>
      <c r="M189" s="3">
        <v>37.15</v>
      </c>
      <c r="N189" s="3">
        <v>10599.342200000001</v>
      </c>
      <c r="O189" s="3">
        <v>10452</v>
      </c>
      <c r="P189" s="3">
        <v>146343</v>
      </c>
      <c r="Q189" s="3">
        <v>50</v>
      </c>
      <c r="R189" s="3">
        <v>58.75</v>
      </c>
      <c r="S189" s="3">
        <v>35.233899999999998</v>
      </c>
      <c r="T189" s="1">
        <f t="shared" si="16"/>
        <v>2.3300000000000125</v>
      </c>
      <c r="U189" s="1">
        <f t="shared" si="17"/>
        <v>18.574999999999999</v>
      </c>
      <c r="V189" s="1">
        <f t="shared" si="18"/>
        <v>147.34220000000096</v>
      </c>
      <c r="W189" s="1">
        <f t="shared" si="19"/>
        <v>73171.5</v>
      </c>
      <c r="X189" s="1">
        <f t="shared" si="20"/>
        <v>-8.75</v>
      </c>
      <c r="Y189" s="1">
        <f t="shared" si="21"/>
        <v>17.616949999999999</v>
      </c>
      <c r="Z189">
        <f t="shared" si="22"/>
        <v>1</v>
      </c>
    </row>
    <row r="190" spans="1:26" x14ac:dyDescent="0.2">
      <c r="A190">
        <f t="shared" si="23"/>
        <v>188</v>
      </c>
      <c r="B190">
        <v>2015</v>
      </c>
      <c r="C190" t="s">
        <v>64</v>
      </c>
      <c r="D190" t="s">
        <v>94</v>
      </c>
      <c r="E190">
        <v>4</v>
      </c>
      <c r="F190" s="2">
        <v>21</v>
      </c>
      <c r="G190" s="2" t="s">
        <v>71</v>
      </c>
      <c r="H190" s="2" t="s">
        <v>66</v>
      </c>
      <c r="I190" s="2" t="s">
        <v>30</v>
      </c>
      <c r="J190" s="2">
        <v>711</v>
      </c>
      <c r="K190" s="3">
        <v>128.78</v>
      </c>
      <c r="L190" s="3">
        <v>126.4</v>
      </c>
      <c r="M190" s="3">
        <v>16.2</v>
      </c>
      <c r="N190" s="3">
        <v>8083.5206000000007</v>
      </c>
      <c r="O190" s="3">
        <v>7933.19</v>
      </c>
      <c r="P190" s="3">
        <v>63827</v>
      </c>
      <c r="Q190" s="3">
        <v>7.25</v>
      </c>
      <c r="R190" s="3">
        <v>10.9</v>
      </c>
      <c r="S190" s="3">
        <v>13.4703</v>
      </c>
      <c r="T190" s="1">
        <f t="shared" si="16"/>
        <v>2.3799999999999955</v>
      </c>
      <c r="U190" s="1">
        <f t="shared" si="17"/>
        <v>8.1</v>
      </c>
      <c r="V190" s="1">
        <f t="shared" si="18"/>
        <v>150.33060000000114</v>
      </c>
      <c r="W190" s="1">
        <f t="shared" si="19"/>
        <v>31913.5</v>
      </c>
      <c r="X190" s="1">
        <f t="shared" si="20"/>
        <v>-3.6500000000000004</v>
      </c>
      <c r="Y190" s="1">
        <f t="shared" si="21"/>
        <v>6.73515</v>
      </c>
      <c r="Z190">
        <f t="shared" si="22"/>
        <v>1</v>
      </c>
    </row>
    <row r="191" spans="1:26" x14ac:dyDescent="0.2">
      <c r="A191">
        <f t="shared" si="23"/>
        <v>189</v>
      </c>
      <c r="B191">
        <v>2014</v>
      </c>
      <c r="C191" t="s">
        <v>64</v>
      </c>
      <c r="D191" t="s">
        <v>70</v>
      </c>
      <c r="E191">
        <v>4</v>
      </c>
      <c r="F191" s="2">
        <v>61</v>
      </c>
      <c r="G191" s="2" t="s">
        <v>38</v>
      </c>
      <c r="H191" s="2" t="s">
        <v>39</v>
      </c>
      <c r="I191" s="2" t="s">
        <v>30</v>
      </c>
      <c r="J191" s="2">
        <v>311</v>
      </c>
      <c r="K191" s="3">
        <v>216.57</v>
      </c>
      <c r="L191" s="3">
        <v>214.18</v>
      </c>
      <c r="M191" s="3">
        <v>106.85</v>
      </c>
      <c r="N191" s="3">
        <v>13594.098900000001</v>
      </c>
      <c r="O191" s="3">
        <v>13442</v>
      </c>
      <c r="P191" s="3">
        <v>420908</v>
      </c>
      <c r="Q191" s="3">
        <v>7.5</v>
      </c>
      <c r="R191" s="3">
        <v>10</v>
      </c>
      <c r="S191" s="3">
        <v>6.2126000000000001</v>
      </c>
      <c r="T191" s="1">
        <f t="shared" si="16"/>
        <v>2.3899999999999864</v>
      </c>
      <c r="U191" s="1">
        <f t="shared" si="17"/>
        <v>53.424999999999997</v>
      </c>
      <c r="V191" s="1">
        <f t="shared" si="18"/>
        <v>152.09890000000087</v>
      </c>
      <c r="W191" s="1">
        <f t="shared" si="19"/>
        <v>210454</v>
      </c>
      <c r="X191" s="1">
        <f t="shared" si="20"/>
        <v>-2.5</v>
      </c>
      <c r="Y191" s="1">
        <f t="shared" si="21"/>
        <v>3.1063000000000001</v>
      </c>
      <c r="Z191">
        <f t="shared" si="22"/>
        <v>1</v>
      </c>
    </row>
    <row r="192" spans="1:26" x14ac:dyDescent="0.2">
      <c r="A192">
        <f t="shared" si="23"/>
        <v>190</v>
      </c>
      <c r="B192">
        <v>2014</v>
      </c>
      <c r="C192" t="s">
        <v>64</v>
      </c>
      <c r="D192" t="s">
        <v>70</v>
      </c>
      <c r="E192">
        <v>4</v>
      </c>
      <c r="F192" s="2">
        <v>173</v>
      </c>
      <c r="G192" s="2" t="s">
        <v>31</v>
      </c>
      <c r="H192" s="2" t="s">
        <v>32</v>
      </c>
      <c r="I192" s="2" t="s">
        <v>33</v>
      </c>
      <c r="J192" s="2">
        <v>311</v>
      </c>
      <c r="K192" s="3">
        <v>216.57</v>
      </c>
      <c r="L192" s="3">
        <v>214.18</v>
      </c>
      <c r="M192" s="3">
        <v>106.85</v>
      </c>
      <c r="N192" s="3">
        <v>13594.098900000001</v>
      </c>
      <c r="O192" s="3">
        <v>13442</v>
      </c>
      <c r="P192" s="3">
        <v>420908</v>
      </c>
      <c r="Q192" s="3">
        <v>7.5</v>
      </c>
      <c r="R192" s="3">
        <v>10</v>
      </c>
      <c r="S192" s="3">
        <v>6.2126000000000001</v>
      </c>
      <c r="T192" s="1">
        <f t="shared" si="16"/>
        <v>2.3899999999999864</v>
      </c>
      <c r="U192" s="1">
        <f t="shared" si="17"/>
        <v>53.424999999999997</v>
      </c>
      <c r="V192" s="1">
        <f t="shared" si="18"/>
        <v>152.09890000000087</v>
      </c>
      <c r="W192" s="1">
        <f t="shared" si="19"/>
        <v>210454</v>
      </c>
      <c r="X192" s="1">
        <f t="shared" si="20"/>
        <v>-2.5</v>
      </c>
      <c r="Y192" s="1">
        <f t="shared" si="21"/>
        <v>3.1063000000000001</v>
      </c>
      <c r="Z192">
        <f t="shared" si="22"/>
        <v>1</v>
      </c>
    </row>
    <row r="193" spans="1:26" x14ac:dyDescent="0.2">
      <c r="A193">
        <f t="shared" si="23"/>
        <v>191</v>
      </c>
      <c r="B193">
        <v>2015</v>
      </c>
      <c r="C193" t="s">
        <v>34</v>
      </c>
      <c r="D193" t="s">
        <v>35</v>
      </c>
      <c r="E193">
        <v>4</v>
      </c>
      <c r="F193" s="2">
        <v>193</v>
      </c>
      <c r="G193" s="2" t="s">
        <v>40</v>
      </c>
      <c r="H193" s="2" t="s">
        <v>39</v>
      </c>
      <c r="I193" s="2" t="s">
        <v>33</v>
      </c>
      <c r="J193" s="2">
        <v>311</v>
      </c>
      <c r="K193" s="3">
        <v>130.02000000000001</v>
      </c>
      <c r="L193" s="3">
        <v>127.58</v>
      </c>
      <c r="M193" s="3">
        <v>1197.8900000000001</v>
      </c>
      <c r="N193" s="3">
        <v>8161.3554000000013</v>
      </c>
      <c r="O193" s="3">
        <v>8007.33</v>
      </c>
      <c r="P193" s="3">
        <v>4718559</v>
      </c>
      <c r="Q193" s="3">
        <v>0</v>
      </c>
      <c r="R193" s="3">
        <v>0</v>
      </c>
      <c r="S193" s="3">
        <v>0</v>
      </c>
      <c r="T193" s="1">
        <f t="shared" si="16"/>
        <v>2.4400000000000119</v>
      </c>
      <c r="U193" s="1">
        <f t="shared" si="17"/>
        <v>598.94500000000005</v>
      </c>
      <c r="V193" s="1">
        <f t="shared" si="18"/>
        <v>154.02540000000135</v>
      </c>
      <c r="W193" s="1">
        <f t="shared" si="19"/>
        <v>2359279.5</v>
      </c>
      <c r="X193" s="1">
        <f t="shared" si="20"/>
        <v>0</v>
      </c>
      <c r="Y193" s="1">
        <f t="shared" si="21"/>
        <v>0</v>
      </c>
      <c r="Z193">
        <f t="shared" si="22"/>
        <v>0</v>
      </c>
    </row>
    <row r="194" spans="1:26" x14ac:dyDescent="0.2">
      <c r="A194">
        <f t="shared" si="23"/>
        <v>192</v>
      </c>
      <c r="B194">
        <v>2015</v>
      </c>
      <c r="C194" t="s">
        <v>64</v>
      </c>
      <c r="D194" t="s">
        <v>94</v>
      </c>
      <c r="E194">
        <v>4</v>
      </c>
      <c r="F194" s="2">
        <v>82</v>
      </c>
      <c r="G194" s="2" t="s">
        <v>31</v>
      </c>
      <c r="H194" s="2" t="s">
        <v>46</v>
      </c>
      <c r="I194" s="2" t="s">
        <v>41</v>
      </c>
      <c r="J194" s="2">
        <v>311</v>
      </c>
      <c r="K194" s="3">
        <v>128.88</v>
      </c>
      <c r="L194" s="3">
        <v>126.4</v>
      </c>
      <c r="M194" s="3">
        <v>16.2</v>
      </c>
      <c r="N194" s="3">
        <v>8089.7975999999999</v>
      </c>
      <c r="O194" s="3">
        <v>7933.19</v>
      </c>
      <c r="P194" s="3">
        <v>63827</v>
      </c>
      <c r="Q194" s="3">
        <v>8</v>
      </c>
      <c r="R194" s="3">
        <v>10.9</v>
      </c>
      <c r="S194" s="3">
        <v>13.4703</v>
      </c>
      <c r="T194" s="1">
        <f t="shared" si="16"/>
        <v>2.4799999999999898</v>
      </c>
      <c r="U194" s="1">
        <f t="shared" si="17"/>
        <v>8.1</v>
      </c>
      <c r="V194" s="1">
        <f t="shared" si="18"/>
        <v>156.60760000000028</v>
      </c>
      <c r="W194" s="1">
        <f t="shared" si="19"/>
        <v>31913.5</v>
      </c>
      <c r="X194" s="1">
        <f t="shared" si="20"/>
        <v>-2.9000000000000004</v>
      </c>
      <c r="Y194" s="1">
        <f t="shared" si="21"/>
        <v>6.73515</v>
      </c>
      <c r="Z194">
        <f t="shared" si="22"/>
        <v>1</v>
      </c>
    </row>
    <row r="195" spans="1:26" x14ac:dyDescent="0.2">
      <c r="A195">
        <f t="shared" si="23"/>
        <v>193</v>
      </c>
      <c r="B195">
        <v>2015</v>
      </c>
      <c r="C195" t="s">
        <v>92</v>
      </c>
      <c r="D195" t="s">
        <v>93</v>
      </c>
      <c r="E195">
        <v>4</v>
      </c>
      <c r="F195" s="2">
        <v>92</v>
      </c>
      <c r="G195" s="2" t="s">
        <v>42</v>
      </c>
      <c r="H195" s="2" t="s">
        <v>43</v>
      </c>
      <c r="I195" s="2" t="s">
        <v>41</v>
      </c>
      <c r="J195" s="2">
        <v>311</v>
      </c>
      <c r="K195" s="3">
        <v>216.28</v>
      </c>
      <c r="L195" s="3">
        <v>213.77</v>
      </c>
      <c r="M195" s="3">
        <v>77.13</v>
      </c>
      <c r="N195" s="3">
        <v>13575.895600000002</v>
      </c>
      <c r="O195" s="3">
        <v>13417</v>
      </c>
      <c r="P195" s="3">
        <v>303850</v>
      </c>
      <c r="Q195" s="3">
        <v>4</v>
      </c>
      <c r="R195" s="3">
        <v>21.75</v>
      </c>
      <c r="S195" s="3">
        <v>29.549499999999998</v>
      </c>
      <c r="T195" s="1">
        <f t="shared" ref="T195:T258" si="24">K195-L195</f>
        <v>2.5099999999999909</v>
      </c>
      <c r="U195" s="1">
        <f t="shared" ref="U195:U258" si="25">(2*M195)/E195</f>
        <v>38.564999999999998</v>
      </c>
      <c r="V195" s="1">
        <f t="shared" ref="V195:V258" si="26">N195-O195</f>
        <v>158.89560000000165</v>
      </c>
      <c r="W195" s="1">
        <f t="shared" ref="W195:W258" si="27">(2*P195)/E195</f>
        <v>151925</v>
      </c>
      <c r="X195" s="1">
        <f t="shared" ref="X195:X258" si="28">Q195-R195</f>
        <v>-17.75</v>
      </c>
      <c r="Y195" s="1">
        <f t="shared" ref="Y195:Y258" si="29">(2*S195)/E195</f>
        <v>14.774749999999999</v>
      </c>
      <c r="Z195">
        <f t="shared" ref="Z195:Z258" si="30">IF(Q195&lt;5,0,1)</f>
        <v>0</v>
      </c>
    </row>
    <row r="196" spans="1:26" x14ac:dyDescent="0.2">
      <c r="A196">
        <f t="shared" ref="A196:A259" si="31">A195+1</f>
        <v>194</v>
      </c>
      <c r="B196">
        <v>2015</v>
      </c>
      <c r="C196" t="s">
        <v>72</v>
      </c>
      <c r="D196" t="s">
        <v>73</v>
      </c>
      <c r="E196">
        <v>4</v>
      </c>
      <c r="F196" s="2">
        <v>163</v>
      </c>
      <c r="G196" s="2" t="s">
        <v>58</v>
      </c>
      <c r="H196" s="2" t="s">
        <v>59</v>
      </c>
      <c r="I196" s="2" t="s">
        <v>33</v>
      </c>
      <c r="J196" s="2">
        <v>311</v>
      </c>
      <c r="K196" s="3">
        <v>199.32</v>
      </c>
      <c r="L196" s="3">
        <v>196.81</v>
      </c>
      <c r="M196" s="3">
        <v>48.17</v>
      </c>
      <c r="N196" s="3">
        <v>12511.3164</v>
      </c>
      <c r="O196" s="3">
        <v>12352</v>
      </c>
      <c r="P196" s="3">
        <v>189801</v>
      </c>
      <c r="Q196" s="3">
        <v>2.0750000000000002</v>
      </c>
      <c r="R196" s="3">
        <v>6.9</v>
      </c>
      <c r="S196" s="3">
        <v>2.0556999999999999</v>
      </c>
      <c r="T196" s="1">
        <f t="shared" si="24"/>
        <v>2.5099999999999909</v>
      </c>
      <c r="U196" s="1">
        <f t="shared" si="25"/>
        <v>24.085000000000001</v>
      </c>
      <c r="V196" s="1">
        <f t="shared" si="26"/>
        <v>159.3163999999997</v>
      </c>
      <c r="W196" s="1">
        <f t="shared" si="27"/>
        <v>94900.5</v>
      </c>
      <c r="X196" s="1">
        <f t="shared" si="28"/>
        <v>-4.8250000000000002</v>
      </c>
      <c r="Y196" s="1">
        <f t="shared" si="29"/>
        <v>1.0278499999999999</v>
      </c>
      <c r="Z196">
        <f t="shared" si="30"/>
        <v>0</v>
      </c>
    </row>
    <row r="197" spans="1:26" x14ac:dyDescent="0.2">
      <c r="A197">
        <f t="shared" si="31"/>
        <v>195</v>
      </c>
      <c r="B197">
        <v>2014</v>
      </c>
      <c r="C197" t="s">
        <v>50</v>
      </c>
      <c r="D197" t="s">
        <v>80</v>
      </c>
      <c r="E197">
        <v>4</v>
      </c>
      <c r="F197" s="2">
        <v>102</v>
      </c>
      <c r="G197" s="2" t="s">
        <v>36</v>
      </c>
      <c r="H197" s="2" t="s">
        <v>29</v>
      </c>
      <c r="I197" s="2" t="s">
        <v>41</v>
      </c>
      <c r="J197" s="2">
        <v>11</v>
      </c>
      <c r="K197" s="3">
        <v>214.85</v>
      </c>
      <c r="L197" s="3">
        <v>212.3</v>
      </c>
      <c r="M197" s="3">
        <v>100.21</v>
      </c>
      <c r="N197" s="3">
        <v>13486.1345</v>
      </c>
      <c r="O197" s="3">
        <v>13324</v>
      </c>
      <c r="P197" s="3">
        <v>394707</v>
      </c>
      <c r="Q197" s="3">
        <v>32.5</v>
      </c>
      <c r="R197" s="3">
        <v>23.75</v>
      </c>
      <c r="S197" s="3">
        <v>150.47</v>
      </c>
      <c r="T197" s="1">
        <f t="shared" si="24"/>
        <v>2.5499999999999829</v>
      </c>
      <c r="U197" s="1">
        <f t="shared" si="25"/>
        <v>50.104999999999997</v>
      </c>
      <c r="V197" s="1">
        <f t="shared" si="26"/>
        <v>162.13450000000012</v>
      </c>
      <c r="W197" s="1">
        <f t="shared" si="27"/>
        <v>197353.5</v>
      </c>
      <c r="X197" s="1">
        <f t="shared" si="28"/>
        <v>8.75</v>
      </c>
      <c r="Y197" s="1">
        <f t="shared" si="29"/>
        <v>75.234999999999999</v>
      </c>
      <c r="Z197">
        <f t="shared" si="30"/>
        <v>1</v>
      </c>
    </row>
    <row r="198" spans="1:26" x14ac:dyDescent="0.2">
      <c r="A198">
        <f t="shared" si="31"/>
        <v>196</v>
      </c>
      <c r="B198">
        <v>2015</v>
      </c>
      <c r="C198" t="s">
        <v>26</v>
      </c>
      <c r="D198" t="s">
        <v>27</v>
      </c>
      <c r="E198">
        <v>4</v>
      </c>
      <c r="F198" s="2">
        <v>21</v>
      </c>
      <c r="G198" s="2" t="s">
        <v>71</v>
      </c>
      <c r="H198" s="2" t="s">
        <v>66</v>
      </c>
      <c r="I198" s="2" t="s">
        <v>30</v>
      </c>
      <c r="J198" s="2">
        <v>711</v>
      </c>
      <c r="K198" s="3">
        <v>257.5</v>
      </c>
      <c r="L198" s="3">
        <v>254.92</v>
      </c>
      <c r="M198" s="3">
        <v>868.14</v>
      </c>
      <c r="N198" s="3">
        <v>16163.275000000001</v>
      </c>
      <c r="O198" s="3">
        <v>16000</v>
      </c>
      <c r="P198" s="3">
        <v>3419739</v>
      </c>
      <c r="Q198" s="3">
        <v>17.565000000000001</v>
      </c>
      <c r="R198" s="3">
        <v>40.627499999999998</v>
      </c>
      <c r="S198" s="3">
        <v>385.81</v>
      </c>
      <c r="T198" s="1">
        <f t="shared" si="24"/>
        <v>2.5800000000000125</v>
      </c>
      <c r="U198" s="1">
        <f t="shared" si="25"/>
        <v>434.07</v>
      </c>
      <c r="V198" s="1">
        <f t="shared" si="26"/>
        <v>163.27500000000146</v>
      </c>
      <c r="W198" s="1">
        <f t="shared" si="27"/>
        <v>1709869.5</v>
      </c>
      <c r="X198" s="1">
        <f t="shared" si="28"/>
        <v>-23.062499999999996</v>
      </c>
      <c r="Y198" s="1">
        <f t="shared" si="29"/>
        <v>192.905</v>
      </c>
      <c r="Z198">
        <f t="shared" si="30"/>
        <v>1</v>
      </c>
    </row>
    <row r="199" spans="1:26" x14ac:dyDescent="0.2">
      <c r="A199">
        <f t="shared" si="31"/>
        <v>197</v>
      </c>
      <c r="B199">
        <v>2014</v>
      </c>
      <c r="C199" t="s">
        <v>54</v>
      </c>
      <c r="D199" t="s">
        <v>55</v>
      </c>
      <c r="E199">
        <v>4</v>
      </c>
      <c r="F199" s="2">
        <v>41</v>
      </c>
      <c r="G199" s="2" t="s">
        <v>31</v>
      </c>
      <c r="H199" s="2" t="s">
        <v>62</v>
      </c>
      <c r="I199" s="2" t="s">
        <v>30</v>
      </c>
      <c r="J199" s="2">
        <v>311</v>
      </c>
      <c r="K199" s="3">
        <v>201.8</v>
      </c>
      <c r="L199" s="3">
        <v>199.21</v>
      </c>
      <c r="M199" s="3">
        <v>340.41</v>
      </c>
      <c r="N199" s="3">
        <v>12666.986000000001</v>
      </c>
      <c r="O199" s="3">
        <v>12503</v>
      </c>
      <c r="P199" s="3">
        <v>1340951</v>
      </c>
      <c r="Q199" s="3">
        <v>1.35</v>
      </c>
      <c r="R199" s="3">
        <v>1.0625</v>
      </c>
      <c r="S199" s="3">
        <v>15.753399999999999</v>
      </c>
      <c r="T199" s="1">
        <f t="shared" si="24"/>
        <v>2.5900000000000034</v>
      </c>
      <c r="U199" s="1">
        <f t="shared" si="25"/>
        <v>170.20500000000001</v>
      </c>
      <c r="V199" s="1">
        <f t="shared" si="26"/>
        <v>163.98600000000079</v>
      </c>
      <c r="W199" s="1">
        <f t="shared" si="27"/>
        <v>670475.5</v>
      </c>
      <c r="X199" s="1">
        <f t="shared" si="28"/>
        <v>0.28750000000000009</v>
      </c>
      <c r="Y199" s="1">
        <f t="shared" si="29"/>
        <v>7.8766999999999996</v>
      </c>
      <c r="Z199">
        <f t="shared" si="30"/>
        <v>0</v>
      </c>
    </row>
    <row r="200" spans="1:26" x14ac:dyDescent="0.2">
      <c r="A200">
        <f t="shared" si="31"/>
        <v>198</v>
      </c>
      <c r="B200">
        <v>2015</v>
      </c>
      <c r="C200" t="s">
        <v>64</v>
      </c>
      <c r="D200" t="s">
        <v>65</v>
      </c>
      <c r="E200">
        <v>4</v>
      </c>
      <c r="F200" s="2">
        <v>21</v>
      </c>
      <c r="G200" s="2" t="s">
        <v>71</v>
      </c>
      <c r="H200" s="2" t="s">
        <v>66</v>
      </c>
      <c r="I200" s="2" t="s">
        <v>30</v>
      </c>
      <c r="J200" s="2">
        <v>711</v>
      </c>
      <c r="K200" s="3">
        <v>218.92</v>
      </c>
      <c r="L200" s="3">
        <v>216.3</v>
      </c>
      <c r="M200" s="3">
        <v>218.38</v>
      </c>
      <c r="N200" s="3">
        <v>13741.608399999999</v>
      </c>
      <c r="O200" s="3">
        <v>13576</v>
      </c>
      <c r="P200" s="3">
        <v>860223</v>
      </c>
      <c r="Q200" s="3">
        <v>4.5</v>
      </c>
      <c r="R200" s="3">
        <v>7</v>
      </c>
      <c r="S200" s="3">
        <v>3.3643000000000001</v>
      </c>
      <c r="T200" s="1">
        <f t="shared" si="24"/>
        <v>2.6199999999999761</v>
      </c>
      <c r="U200" s="1">
        <f t="shared" si="25"/>
        <v>109.19</v>
      </c>
      <c r="V200" s="1">
        <f t="shared" si="26"/>
        <v>165.60839999999916</v>
      </c>
      <c r="W200" s="1">
        <f t="shared" si="27"/>
        <v>430111.5</v>
      </c>
      <c r="X200" s="1">
        <f t="shared" si="28"/>
        <v>-2.5</v>
      </c>
      <c r="Y200" s="1">
        <f t="shared" si="29"/>
        <v>1.68215</v>
      </c>
      <c r="Z200">
        <f t="shared" si="30"/>
        <v>0</v>
      </c>
    </row>
    <row r="201" spans="1:26" x14ac:dyDescent="0.2">
      <c r="A201">
        <f t="shared" si="31"/>
        <v>199</v>
      </c>
      <c r="B201">
        <v>2015</v>
      </c>
      <c r="C201" t="s">
        <v>52</v>
      </c>
      <c r="D201" t="s">
        <v>79</v>
      </c>
      <c r="E201">
        <v>4</v>
      </c>
      <c r="F201" s="2">
        <v>82</v>
      </c>
      <c r="G201" s="2" t="s">
        <v>31</v>
      </c>
      <c r="H201" s="2" t="s">
        <v>46</v>
      </c>
      <c r="I201" s="2" t="s">
        <v>41</v>
      </c>
      <c r="J201" s="2">
        <v>311</v>
      </c>
      <c r="K201" s="3">
        <v>169.18</v>
      </c>
      <c r="L201" s="3">
        <v>166.53</v>
      </c>
      <c r="M201" s="3">
        <v>37.15</v>
      </c>
      <c r="N201" s="3">
        <v>10619.428600000001</v>
      </c>
      <c r="O201" s="3">
        <v>10452</v>
      </c>
      <c r="P201" s="3">
        <v>146343</v>
      </c>
      <c r="Q201" s="3">
        <v>53.75</v>
      </c>
      <c r="R201" s="3">
        <v>58.75</v>
      </c>
      <c r="S201" s="3">
        <v>35.233899999999998</v>
      </c>
      <c r="T201" s="1">
        <f t="shared" si="24"/>
        <v>2.6500000000000057</v>
      </c>
      <c r="U201" s="1">
        <f t="shared" si="25"/>
        <v>18.574999999999999</v>
      </c>
      <c r="V201" s="1">
        <f t="shared" si="26"/>
        <v>167.4286000000011</v>
      </c>
      <c r="W201" s="1">
        <f t="shared" si="27"/>
        <v>73171.5</v>
      </c>
      <c r="X201" s="1">
        <f t="shared" si="28"/>
        <v>-5</v>
      </c>
      <c r="Y201" s="1">
        <f t="shared" si="29"/>
        <v>17.616949999999999</v>
      </c>
      <c r="Z201">
        <f t="shared" si="30"/>
        <v>1</v>
      </c>
    </row>
    <row r="202" spans="1:26" x14ac:dyDescent="0.2">
      <c r="A202">
        <f t="shared" si="31"/>
        <v>200</v>
      </c>
      <c r="B202">
        <v>2014</v>
      </c>
      <c r="C202" t="s">
        <v>64</v>
      </c>
      <c r="D202" t="s">
        <v>78</v>
      </c>
      <c r="E202">
        <v>4</v>
      </c>
      <c r="F202" s="2">
        <v>183</v>
      </c>
      <c r="G202" s="2" t="s">
        <v>36</v>
      </c>
      <c r="H202" s="2" t="s">
        <v>37</v>
      </c>
      <c r="I202" s="2" t="s">
        <v>33</v>
      </c>
      <c r="J202" s="2">
        <v>11</v>
      </c>
      <c r="K202" s="3">
        <v>198.02</v>
      </c>
      <c r="L202" s="3">
        <v>195.37</v>
      </c>
      <c r="M202" s="3">
        <v>228.55</v>
      </c>
      <c r="N202" s="3">
        <v>12429.715400000001</v>
      </c>
      <c r="O202" s="3">
        <v>12262</v>
      </c>
      <c r="P202" s="3">
        <v>900285</v>
      </c>
      <c r="Q202" s="3">
        <v>7</v>
      </c>
      <c r="R202" s="3">
        <v>15</v>
      </c>
      <c r="S202" s="3">
        <v>15.3675</v>
      </c>
      <c r="T202" s="1">
        <f t="shared" si="24"/>
        <v>2.6500000000000057</v>
      </c>
      <c r="U202" s="1">
        <f t="shared" si="25"/>
        <v>114.27500000000001</v>
      </c>
      <c r="V202" s="1">
        <f t="shared" si="26"/>
        <v>167.71540000000095</v>
      </c>
      <c r="W202" s="1">
        <f t="shared" si="27"/>
        <v>450142.5</v>
      </c>
      <c r="X202" s="1">
        <f t="shared" si="28"/>
        <v>-8</v>
      </c>
      <c r="Y202" s="1">
        <f t="shared" si="29"/>
        <v>7.6837499999999999</v>
      </c>
      <c r="Z202">
        <f t="shared" si="30"/>
        <v>1</v>
      </c>
    </row>
    <row r="203" spans="1:26" x14ac:dyDescent="0.2">
      <c r="A203">
        <f t="shared" si="31"/>
        <v>201</v>
      </c>
      <c r="B203">
        <v>2015</v>
      </c>
      <c r="C203" t="s">
        <v>88</v>
      </c>
      <c r="D203" t="s">
        <v>90</v>
      </c>
      <c r="E203">
        <v>4</v>
      </c>
      <c r="F203" s="2">
        <v>21</v>
      </c>
      <c r="G203" s="2" t="s">
        <v>71</v>
      </c>
      <c r="H203" s="2" t="s">
        <v>66</v>
      </c>
      <c r="I203" s="2" t="s">
        <v>30</v>
      </c>
      <c r="J203" s="2">
        <v>711</v>
      </c>
      <c r="K203" s="3">
        <v>217.22</v>
      </c>
      <c r="L203" s="3">
        <v>214.57</v>
      </c>
      <c r="M203" s="3">
        <v>51.3</v>
      </c>
      <c r="N203" s="3">
        <v>13634.8994</v>
      </c>
      <c r="O203" s="3">
        <v>13467</v>
      </c>
      <c r="P203" s="3">
        <v>202142</v>
      </c>
      <c r="Q203" s="3">
        <v>0</v>
      </c>
      <c r="R203" s="3">
        <v>0</v>
      </c>
      <c r="S203" s="3">
        <v>0</v>
      </c>
      <c r="T203" s="1">
        <f t="shared" si="24"/>
        <v>2.6500000000000057</v>
      </c>
      <c r="U203" s="1">
        <f t="shared" si="25"/>
        <v>25.65</v>
      </c>
      <c r="V203" s="1">
        <f t="shared" si="26"/>
        <v>167.89940000000024</v>
      </c>
      <c r="W203" s="1">
        <f t="shared" si="27"/>
        <v>101071</v>
      </c>
      <c r="X203" s="1">
        <f t="shared" si="28"/>
        <v>0</v>
      </c>
      <c r="Y203" s="1">
        <f t="shared" si="29"/>
        <v>0</v>
      </c>
      <c r="Z203">
        <f t="shared" si="30"/>
        <v>0</v>
      </c>
    </row>
    <row r="204" spans="1:26" x14ac:dyDescent="0.2">
      <c r="A204">
        <f t="shared" si="31"/>
        <v>202</v>
      </c>
      <c r="B204">
        <v>2014</v>
      </c>
      <c r="C204" t="s">
        <v>67</v>
      </c>
      <c r="D204" t="s">
        <v>68</v>
      </c>
      <c r="E204">
        <v>4</v>
      </c>
      <c r="F204" s="2">
        <v>51</v>
      </c>
      <c r="G204" s="2" t="s">
        <v>36</v>
      </c>
      <c r="H204" s="2" t="s">
        <v>66</v>
      </c>
      <c r="I204" s="2" t="s">
        <v>30</v>
      </c>
      <c r="J204" s="2">
        <v>11</v>
      </c>
      <c r="K204" s="3">
        <v>187.52</v>
      </c>
      <c r="L204" s="3">
        <v>184.84</v>
      </c>
      <c r="M204" s="1">
        <v>153.71</v>
      </c>
      <c r="N204" s="3">
        <v>11770.630400000002</v>
      </c>
      <c r="O204" s="3">
        <v>11601</v>
      </c>
      <c r="P204" s="1">
        <v>605499</v>
      </c>
      <c r="Q204" s="3">
        <v>32.369999999999997</v>
      </c>
      <c r="R204" s="3">
        <v>35.222499999999997</v>
      </c>
      <c r="S204" s="3">
        <v>66.884600000000006</v>
      </c>
      <c r="T204" s="1">
        <f t="shared" si="24"/>
        <v>2.6800000000000068</v>
      </c>
      <c r="U204" s="1">
        <f t="shared" si="25"/>
        <v>76.855000000000004</v>
      </c>
      <c r="V204" s="1">
        <f t="shared" si="26"/>
        <v>169.63040000000183</v>
      </c>
      <c r="W204" s="1">
        <f t="shared" si="27"/>
        <v>302749.5</v>
      </c>
      <c r="X204" s="1">
        <f t="shared" si="28"/>
        <v>-2.8524999999999991</v>
      </c>
      <c r="Y204" s="1">
        <f t="shared" si="29"/>
        <v>33.442300000000003</v>
      </c>
      <c r="Z204">
        <f t="shared" si="30"/>
        <v>1</v>
      </c>
    </row>
    <row r="205" spans="1:26" x14ac:dyDescent="0.2">
      <c r="A205">
        <f t="shared" si="31"/>
        <v>203</v>
      </c>
      <c r="B205">
        <v>2014</v>
      </c>
      <c r="C205" t="s">
        <v>50</v>
      </c>
      <c r="D205" t="s">
        <v>80</v>
      </c>
      <c r="E205">
        <v>4</v>
      </c>
      <c r="F205" s="2">
        <v>163</v>
      </c>
      <c r="G205" s="2" t="s">
        <v>58</v>
      </c>
      <c r="H205" s="2" t="s">
        <v>59</v>
      </c>
      <c r="I205" s="2" t="s">
        <v>33</v>
      </c>
      <c r="J205" s="2">
        <v>311</v>
      </c>
      <c r="K205" s="3">
        <v>214.97</v>
      </c>
      <c r="L205" s="3">
        <v>212.3</v>
      </c>
      <c r="M205" s="3">
        <v>100.21</v>
      </c>
      <c r="N205" s="3">
        <v>13493.6669</v>
      </c>
      <c r="O205" s="3">
        <v>13324</v>
      </c>
      <c r="P205" s="3">
        <v>394707</v>
      </c>
      <c r="Q205" s="3">
        <v>23.3325</v>
      </c>
      <c r="R205" s="3">
        <v>23.75</v>
      </c>
      <c r="S205" s="3">
        <v>150.47</v>
      </c>
      <c r="T205" s="1">
        <f t="shared" si="24"/>
        <v>2.6699999999999875</v>
      </c>
      <c r="U205" s="1">
        <f t="shared" si="25"/>
        <v>50.104999999999997</v>
      </c>
      <c r="V205" s="1">
        <f t="shared" si="26"/>
        <v>169.66690000000017</v>
      </c>
      <c r="W205" s="1">
        <f t="shared" si="27"/>
        <v>197353.5</v>
      </c>
      <c r="X205" s="1">
        <f t="shared" si="28"/>
        <v>-0.41750000000000043</v>
      </c>
      <c r="Y205" s="1">
        <f t="shared" si="29"/>
        <v>75.234999999999999</v>
      </c>
      <c r="Z205">
        <f t="shared" si="30"/>
        <v>1</v>
      </c>
    </row>
    <row r="206" spans="1:26" x14ac:dyDescent="0.2">
      <c r="A206">
        <f t="shared" si="31"/>
        <v>204</v>
      </c>
      <c r="B206">
        <v>2014</v>
      </c>
      <c r="C206" t="s">
        <v>88</v>
      </c>
      <c r="D206" t="s">
        <v>89</v>
      </c>
      <c r="E206">
        <v>4</v>
      </c>
      <c r="F206" s="2">
        <v>193</v>
      </c>
      <c r="G206" s="2" t="s">
        <v>40</v>
      </c>
      <c r="H206" s="2" t="s">
        <v>39</v>
      </c>
      <c r="I206" s="2" t="s">
        <v>33</v>
      </c>
      <c r="J206" s="2">
        <v>311</v>
      </c>
      <c r="K206" s="3">
        <v>153.69999999999999</v>
      </c>
      <c r="L206" s="3">
        <v>150.94999999999999</v>
      </c>
      <c r="M206" s="3">
        <v>162.88</v>
      </c>
      <c r="N206" s="3">
        <v>9647.7489999999998</v>
      </c>
      <c r="O206" s="3">
        <v>9474</v>
      </c>
      <c r="P206" s="3">
        <v>641596</v>
      </c>
      <c r="Q206" s="3">
        <v>0.375</v>
      </c>
      <c r="R206" s="3">
        <v>1.25</v>
      </c>
      <c r="S206" s="3">
        <v>0.16339999999999999</v>
      </c>
      <c r="T206" s="1">
        <f t="shared" si="24"/>
        <v>2.75</v>
      </c>
      <c r="U206" s="1">
        <f t="shared" si="25"/>
        <v>81.44</v>
      </c>
      <c r="V206" s="1">
        <f t="shared" si="26"/>
        <v>173.7489999999998</v>
      </c>
      <c r="W206" s="1">
        <f t="shared" si="27"/>
        <v>320798</v>
      </c>
      <c r="X206" s="1">
        <f t="shared" si="28"/>
        <v>-0.875</v>
      </c>
      <c r="Y206" s="1">
        <f t="shared" si="29"/>
        <v>8.1699999999999995E-2</v>
      </c>
      <c r="Z206">
        <f t="shared" si="30"/>
        <v>0</v>
      </c>
    </row>
    <row r="207" spans="1:26" x14ac:dyDescent="0.2">
      <c r="A207">
        <f t="shared" si="31"/>
        <v>205</v>
      </c>
      <c r="B207">
        <v>2015</v>
      </c>
      <c r="C207" t="s">
        <v>60</v>
      </c>
      <c r="D207" t="s">
        <v>61</v>
      </c>
      <c r="E207">
        <v>6</v>
      </c>
      <c r="F207" s="2">
        <v>173</v>
      </c>
      <c r="G207" s="2" t="s">
        <v>31</v>
      </c>
      <c r="H207" s="2" t="s">
        <v>32</v>
      </c>
      <c r="I207" s="2" t="s">
        <v>33</v>
      </c>
      <c r="J207" s="2">
        <v>311</v>
      </c>
      <c r="K207" s="3">
        <v>266.45</v>
      </c>
      <c r="L207" s="3">
        <v>263.64</v>
      </c>
      <c r="M207" s="3">
        <v>207.31</v>
      </c>
      <c r="N207" s="3">
        <v>16725.066500000001</v>
      </c>
      <c r="O207" s="3">
        <v>16547</v>
      </c>
      <c r="P207" s="3">
        <v>816614</v>
      </c>
      <c r="Q207" s="3">
        <v>12.666700000000001</v>
      </c>
      <c r="R207" s="3">
        <v>25.5</v>
      </c>
      <c r="S207" s="3">
        <v>40.421999999999997</v>
      </c>
      <c r="T207" s="1">
        <f t="shared" si="24"/>
        <v>2.8100000000000023</v>
      </c>
      <c r="U207" s="1">
        <f t="shared" si="25"/>
        <v>69.103333333333339</v>
      </c>
      <c r="V207" s="1">
        <f t="shared" si="26"/>
        <v>178.06650000000081</v>
      </c>
      <c r="W207" s="1">
        <f t="shared" si="27"/>
        <v>272204.66666666669</v>
      </c>
      <c r="X207" s="1">
        <f t="shared" si="28"/>
        <v>-12.833299999999999</v>
      </c>
      <c r="Y207" s="1">
        <f t="shared" si="29"/>
        <v>13.473999999999998</v>
      </c>
      <c r="Z207">
        <f t="shared" si="30"/>
        <v>1</v>
      </c>
    </row>
    <row r="208" spans="1:26" x14ac:dyDescent="0.2">
      <c r="A208">
        <f t="shared" si="31"/>
        <v>206</v>
      </c>
      <c r="B208">
        <v>2015</v>
      </c>
      <c r="C208" t="s">
        <v>64</v>
      </c>
      <c r="D208" t="s">
        <v>94</v>
      </c>
      <c r="E208">
        <v>4</v>
      </c>
      <c r="F208" s="2">
        <v>193</v>
      </c>
      <c r="G208" s="2" t="s">
        <v>40</v>
      </c>
      <c r="H208" s="2" t="s">
        <v>39</v>
      </c>
      <c r="I208" s="2" t="s">
        <v>33</v>
      </c>
      <c r="J208" s="2">
        <v>311</v>
      </c>
      <c r="K208" s="3">
        <v>129.25</v>
      </c>
      <c r="L208" s="3">
        <v>126.4</v>
      </c>
      <c r="M208" s="3">
        <v>16.2</v>
      </c>
      <c r="N208" s="3">
        <v>8113.0225</v>
      </c>
      <c r="O208" s="3">
        <v>7933.19</v>
      </c>
      <c r="P208" s="3">
        <v>63827</v>
      </c>
      <c r="Q208" s="3">
        <v>5</v>
      </c>
      <c r="R208" s="3">
        <v>10.9</v>
      </c>
      <c r="S208" s="3">
        <v>13.4703</v>
      </c>
      <c r="T208" s="1">
        <f t="shared" si="24"/>
        <v>2.8499999999999943</v>
      </c>
      <c r="U208" s="1">
        <f t="shared" si="25"/>
        <v>8.1</v>
      </c>
      <c r="V208" s="1">
        <f t="shared" si="26"/>
        <v>179.83250000000044</v>
      </c>
      <c r="W208" s="1">
        <f t="shared" si="27"/>
        <v>31913.5</v>
      </c>
      <c r="X208" s="1">
        <f t="shared" si="28"/>
        <v>-5.9</v>
      </c>
      <c r="Y208" s="1">
        <f t="shared" si="29"/>
        <v>6.73515</v>
      </c>
      <c r="Z208">
        <f t="shared" si="30"/>
        <v>1</v>
      </c>
    </row>
    <row r="209" spans="1:26" x14ac:dyDescent="0.2">
      <c r="A209">
        <f t="shared" si="31"/>
        <v>207</v>
      </c>
      <c r="B209">
        <v>2014</v>
      </c>
      <c r="C209" t="s">
        <v>52</v>
      </c>
      <c r="D209" t="s">
        <v>79</v>
      </c>
      <c r="E209">
        <v>4</v>
      </c>
      <c r="F209" s="2">
        <v>21</v>
      </c>
      <c r="G209" s="2" t="s">
        <v>71</v>
      </c>
      <c r="H209" s="2" t="s">
        <v>66</v>
      </c>
      <c r="I209" s="2" t="s">
        <v>30</v>
      </c>
      <c r="J209" s="2">
        <v>711</v>
      </c>
      <c r="K209" s="3">
        <v>167.94</v>
      </c>
      <c r="L209" s="3">
        <v>165.03</v>
      </c>
      <c r="M209" s="3">
        <v>19.100000000000001</v>
      </c>
      <c r="N209" s="3">
        <v>10541.593800000001</v>
      </c>
      <c r="O209" s="3">
        <v>10358</v>
      </c>
      <c r="P209" s="3">
        <v>75251</v>
      </c>
      <c r="Q209" s="3">
        <v>65</v>
      </c>
      <c r="R209" s="3">
        <v>70</v>
      </c>
      <c r="S209" s="3">
        <v>10.1486</v>
      </c>
      <c r="T209" s="1">
        <f t="shared" si="24"/>
        <v>2.9099999999999966</v>
      </c>
      <c r="U209" s="1">
        <f t="shared" si="25"/>
        <v>9.5500000000000007</v>
      </c>
      <c r="V209" s="1">
        <f t="shared" si="26"/>
        <v>183.59380000000056</v>
      </c>
      <c r="W209" s="1">
        <f t="shared" si="27"/>
        <v>37625.5</v>
      </c>
      <c r="X209" s="1">
        <f t="shared" si="28"/>
        <v>-5</v>
      </c>
      <c r="Y209" s="1">
        <f t="shared" si="29"/>
        <v>5.0743</v>
      </c>
      <c r="Z209">
        <f t="shared" si="30"/>
        <v>1</v>
      </c>
    </row>
    <row r="210" spans="1:26" x14ac:dyDescent="0.2">
      <c r="A210">
        <f t="shared" si="31"/>
        <v>208</v>
      </c>
      <c r="B210">
        <v>2014</v>
      </c>
      <c r="C210" t="s">
        <v>50</v>
      </c>
      <c r="D210" t="s">
        <v>87</v>
      </c>
      <c r="E210">
        <v>4</v>
      </c>
      <c r="F210" s="2">
        <v>31</v>
      </c>
      <c r="G210" s="2" t="s">
        <v>28</v>
      </c>
      <c r="H210" s="2" t="s">
        <v>29</v>
      </c>
      <c r="I210" s="2" t="s">
        <v>30</v>
      </c>
      <c r="J210" s="2">
        <v>11</v>
      </c>
      <c r="K210" s="3">
        <v>200.32</v>
      </c>
      <c r="L210" s="3">
        <v>197.4</v>
      </c>
      <c r="M210" s="3">
        <v>34.08</v>
      </c>
      <c r="N210" s="3">
        <v>12574.0864</v>
      </c>
      <c r="O210" s="3">
        <v>12389</v>
      </c>
      <c r="P210" s="3">
        <v>134269</v>
      </c>
      <c r="Q210" s="3">
        <v>7.75</v>
      </c>
      <c r="R210" s="3">
        <v>10.75</v>
      </c>
      <c r="S210" s="3">
        <v>17.947199999999999</v>
      </c>
      <c r="T210" s="1">
        <f t="shared" si="24"/>
        <v>2.9199999999999875</v>
      </c>
      <c r="U210" s="1">
        <f t="shared" si="25"/>
        <v>17.04</v>
      </c>
      <c r="V210" s="1">
        <f t="shared" si="26"/>
        <v>185.08640000000014</v>
      </c>
      <c r="W210" s="1">
        <f t="shared" si="27"/>
        <v>67134.5</v>
      </c>
      <c r="X210" s="1">
        <f t="shared" si="28"/>
        <v>-3</v>
      </c>
      <c r="Y210" s="1">
        <f t="shared" si="29"/>
        <v>8.9735999999999994</v>
      </c>
      <c r="Z210">
        <f t="shared" si="30"/>
        <v>1</v>
      </c>
    </row>
    <row r="211" spans="1:26" x14ac:dyDescent="0.2">
      <c r="A211">
        <f t="shared" si="31"/>
        <v>209</v>
      </c>
      <c r="B211">
        <v>2014</v>
      </c>
      <c r="C211" t="s">
        <v>72</v>
      </c>
      <c r="D211" t="s">
        <v>73</v>
      </c>
      <c r="E211">
        <v>4</v>
      </c>
      <c r="F211" s="2">
        <v>173</v>
      </c>
      <c r="G211" s="2" t="s">
        <v>31</v>
      </c>
      <c r="H211" s="2" t="s">
        <v>32</v>
      </c>
      <c r="I211" s="2" t="s">
        <v>33</v>
      </c>
      <c r="J211" s="2">
        <v>311</v>
      </c>
      <c r="K211" s="3">
        <v>197.76</v>
      </c>
      <c r="L211" s="3">
        <v>194.83</v>
      </c>
      <c r="M211" s="3">
        <v>87.97</v>
      </c>
      <c r="N211" s="3">
        <v>12413.395200000001</v>
      </c>
      <c r="O211" s="3">
        <v>12228</v>
      </c>
      <c r="P211" s="3">
        <v>346541</v>
      </c>
      <c r="Q211" s="3">
        <v>4.45</v>
      </c>
      <c r="R211" s="3">
        <v>6.35</v>
      </c>
      <c r="S211" s="3">
        <v>1.4718</v>
      </c>
      <c r="T211" s="1">
        <f t="shared" si="24"/>
        <v>2.9299999999999784</v>
      </c>
      <c r="U211" s="1">
        <f t="shared" si="25"/>
        <v>43.984999999999999</v>
      </c>
      <c r="V211" s="1">
        <f t="shared" si="26"/>
        <v>185.39520000000084</v>
      </c>
      <c r="W211" s="1">
        <f t="shared" si="27"/>
        <v>173270.5</v>
      </c>
      <c r="X211" s="1">
        <f t="shared" si="28"/>
        <v>-1.8999999999999995</v>
      </c>
      <c r="Y211" s="1">
        <f t="shared" si="29"/>
        <v>0.7359</v>
      </c>
      <c r="Z211">
        <f t="shared" si="30"/>
        <v>0</v>
      </c>
    </row>
    <row r="212" spans="1:26" x14ac:dyDescent="0.2">
      <c r="A212">
        <f t="shared" si="31"/>
        <v>210</v>
      </c>
      <c r="B212">
        <v>2014</v>
      </c>
      <c r="C212" t="s">
        <v>50</v>
      </c>
      <c r="D212" t="s">
        <v>77</v>
      </c>
      <c r="E212">
        <v>4</v>
      </c>
      <c r="F212" s="2">
        <v>61</v>
      </c>
      <c r="G212" s="2" t="s">
        <v>38</v>
      </c>
      <c r="H212" s="2" t="s">
        <v>39</v>
      </c>
      <c r="I212" s="2" t="s">
        <v>30</v>
      </c>
      <c r="J212" s="2">
        <v>311</v>
      </c>
      <c r="K212" s="3">
        <v>220.11</v>
      </c>
      <c r="L212" s="3">
        <v>217.17</v>
      </c>
      <c r="M212" s="3">
        <v>97.19</v>
      </c>
      <c r="N212" s="3">
        <v>13816.304700000002</v>
      </c>
      <c r="O212" s="3">
        <v>13630</v>
      </c>
      <c r="P212" s="3">
        <v>382849</v>
      </c>
      <c r="Q212" s="3">
        <v>11.75</v>
      </c>
      <c r="R212" s="3">
        <v>16.25</v>
      </c>
      <c r="S212" s="3">
        <v>60.879800000000003</v>
      </c>
      <c r="T212" s="1">
        <f t="shared" si="24"/>
        <v>2.9400000000000261</v>
      </c>
      <c r="U212" s="1">
        <f t="shared" si="25"/>
        <v>48.594999999999999</v>
      </c>
      <c r="V212" s="1">
        <f t="shared" si="26"/>
        <v>186.30470000000241</v>
      </c>
      <c r="W212" s="1">
        <f t="shared" si="27"/>
        <v>191424.5</v>
      </c>
      <c r="X212" s="1">
        <f t="shared" si="28"/>
        <v>-4.5</v>
      </c>
      <c r="Y212" s="1">
        <f t="shared" si="29"/>
        <v>30.439900000000002</v>
      </c>
      <c r="Z212">
        <f t="shared" si="30"/>
        <v>1</v>
      </c>
    </row>
    <row r="213" spans="1:26" x14ac:dyDescent="0.2">
      <c r="A213">
        <f t="shared" si="31"/>
        <v>211</v>
      </c>
      <c r="B213">
        <v>2015</v>
      </c>
      <c r="C213" t="s">
        <v>72</v>
      </c>
      <c r="D213" t="s">
        <v>73</v>
      </c>
      <c r="E213">
        <v>4</v>
      </c>
      <c r="F213" s="2">
        <v>21</v>
      </c>
      <c r="G213" s="2" t="s">
        <v>71</v>
      </c>
      <c r="H213" s="2" t="s">
        <v>66</v>
      </c>
      <c r="I213" s="2" t="s">
        <v>30</v>
      </c>
      <c r="J213" s="2">
        <v>711</v>
      </c>
      <c r="K213" s="3">
        <v>199.78</v>
      </c>
      <c r="L213" s="3">
        <v>196.81</v>
      </c>
      <c r="M213" s="3">
        <v>48.17</v>
      </c>
      <c r="N213" s="3">
        <v>12540.1906</v>
      </c>
      <c r="O213" s="3">
        <v>12352</v>
      </c>
      <c r="P213" s="3">
        <v>189801</v>
      </c>
      <c r="Q213" s="3">
        <v>6.6</v>
      </c>
      <c r="R213" s="3">
        <v>6.9</v>
      </c>
      <c r="S213" s="3">
        <v>2.0556999999999999</v>
      </c>
      <c r="T213" s="1">
        <f t="shared" si="24"/>
        <v>2.9699999999999989</v>
      </c>
      <c r="U213" s="1">
        <f t="shared" si="25"/>
        <v>24.085000000000001</v>
      </c>
      <c r="V213" s="1">
        <f t="shared" si="26"/>
        <v>188.1905999999999</v>
      </c>
      <c r="W213" s="1">
        <f t="shared" si="27"/>
        <v>94900.5</v>
      </c>
      <c r="X213" s="1">
        <f t="shared" si="28"/>
        <v>-0.30000000000000071</v>
      </c>
      <c r="Y213" s="1">
        <f t="shared" si="29"/>
        <v>1.0278499999999999</v>
      </c>
      <c r="Z213">
        <f t="shared" si="30"/>
        <v>1</v>
      </c>
    </row>
    <row r="214" spans="1:26" x14ac:dyDescent="0.2">
      <c r="A214">
        <f t="shared" si="31"/>
        <v>212</v>
      </c>
      <c r="B214">
        <v>2014</v>
      </c>
      <c r="C214" t="s">
        <v>72</v>
      </c>
      <c r="D214" t="s">
        <v>73</v>
      </c>
      <c r="E214">
        <v>4</v>
      </c>
      <c r="F214" s="2">
        <v>21</v>
      </c>
      <c r="G214" s="2" t="s">
        <v>71</v>
      </c>
      <c r="H214" s="2" t="s">
        <v>66</v>
      </c>
      <c r="I214" s="2" t="s">
        <v>30</v>
      </c>
      <c r="J214" s="2">
        <v>711</v>
      </c>
      <c r="K214" s="3">
        <v>197.93</v>
      </c>
      <c r="L214" s="3">
        <v>194.83</v>
      </c>
      <c r="M214" s="3">
        <v>87.97</v>
      </c>
      <c r="N214" s="3">
        <v>12424.066100000002</v>
      </c>
      <c r="O214" s="3">
        <v>12228</v>
      </c>
      <c r="P214" s="3">
        <v>346541</v>
      </c>
      <c r="Q214" s="3">
        <v>6.9</v>
      </c>
      <c r="R214" s="3">
        <v>6.35</v>
      </c>
      <c r="S214" s="3">
        <v>1.4718</v>
      </c>
      <c r="T214" s="1">
        <f t="shared" si="24"/>
        <v>3.0999999999999943</v>
      </c>
      <c r="U214" s="1">
        <f t="shared" si="25"/>
        <v>43.984999999999999</v>
      </c>
      <c r="V214" s="1">
        <f t="shared" si="26"/>
        <v>196.06610000000182</v>
      </c>
      <c r="W214" s="1">
        <f t="shared" si="27"/>
        <v>173270.5</v>
      </c>
      <c r="X214" s="1">
        <f t="shared" si="28"/>
        <v>0.55000000000000071</v>
      </c>
      <c r="Y214" s="1">
        <f t="shared" si="29"/>
        <v>0.7359</v>
      </c>
      <c r="Z214">
        <f t="shared" si="30"/>
        <v>1</v>
      </c>
    </row>
    <row r="215" spans="1:26" x14ac:dyDescent="0.2">
      <c r="A215">
        <f t="shared" si="31"/>
        <v>213</v>
      </c>
      <c r="B215">
        <v>2014</v>
      </c>
      <c r="C215" t="s">
        <v>50</v>
      </c>
      <c r="D215" t="s">
        <v>87</v>
      </c>
      <c r="E215">
        <v>4</v>
      </c>
      <c r="F215" s="2">
        <v>21</v>
      </c>
      <c r="G215" s="2" t="s">
        <v>71</v>
      </c>
      <c r="H215" s="2" t="s">
        <v>66</v>
      </c>
      <c r="I215" s="2" t="s">
        <v>30</v>
      </c>
      <c r="J215" s="2">
        <v>711</v>
      </c>
      <c r="K215" s="3">
        <v>200.5</v>
      </c>
      <c r="L215" s="3">
        <v>197.4</v>
      </c>
      <c r="M215" s="3">
        <v>34.08</v>
      </c>
      <c r="N215" s="3">
        <v>12585.385</v>
      </c>
      <c r="O215" s="3">
        <v>12389</v>
      </c>
      <c r="P215" s="3">
        <v>134269</v>
      </c>
      <c r="Q215" s="3">
        <v>8.25</v>
      </c>
      <c r="R215" s="3">
        <v>10.75</v>
      </c>
      <c r="S215" s="3">
        <v>17.947199999999999</v>
      </c>
      <c r="T215" s="1">
        <f t="shared" si="24"/>
        <v>3.0999999999999943</v>
      </c>
      <c r="U215" s="1">
        <f t="shared" si="25"/>
        <v>17.04</v>
      </c>
      <c r="V215" s="1">
        <f t="shared" si="26"/>
        <v>196.38500000000022</v>
      </c>
      <c r="W215" s="1">
        <f t="shared" si="27"/>
        <v>67134.5</v>
      </c>
      <c r="X215" s="1">
        <f t="shared" si="28"/>
        <v>-2.5</v>
      </c>
      <c r="Y215" s="1">
        <f t="shared" si="29"/>
        <v>8.9735999999999994</v>
      </c>
      <c r="Z215">
        <f t="shared" si="30"/>
        <v>1</v>
      </c>
    </row>
    <row r="216" spans="1:26" x14ac:dyDescent="0.2">
      <c r="A216">
        <f t="shared" si="31"/>
        <v>214</v>
      </c>
      <c r="B216">
        <v>2015</v>
      </c>
      <c r="C216" t="s">
        <v>52</v>
      </c>
      <c r="D216" t="s">
        <v>79</v>
      </c>
      <c r="E216">
        <v>4</v>
      </c>
      <c r="F216" s="2">
        <v>31</v>
      </c>
      <c r="G216" s="2" t="s">
        <v>28</v>
      </c>
      <c r="H216" s="2" t="s">
        <v>29</v>
      </c>
      <c r="I216" s="2" t="s">
        <v>30</v>
      </c>
      <c r="J216" s="2">
        <v>11</v>
      </c>
      <c r="K216" s="3">
        <v>169.67</v>
      </c>
      <c r="L216" s="3">
        <v>166.53</v>
      </c>
      <c r="M216" s="3">
        <v>37.15</v>
      </c>
      <c r="N216" s="3">
        <v>10650.1859</v>
      </c>
      <c r="O216" s="3">
        <v>10452</v>
      </c>
      <c r="P216" s="3">
        <v>146343</v>
      </c>
      <c r="Q216" s="3">
        <v>60</v>
      </c>
      <c r="R216" s="3">
        <v>58.75</v>
      </c>
      <c r="S216" s="3">
        <v>35.233899999999998</v>
      </c>
      <c r="T216" s="1">
        <f t="shared" si="24"/>
        <v>3.1399999999999864</v>
      </c>
      <c r="U216" s="1">
        <f t="shared" si="25"/>
        <v>18.574999999999999</v>
      </c>
      <c r="V216" s="1">
        <f t="shared" si="26"/>
        <v>198.1859000000004</v>
      </c>
      <c r="W216" s="1">
        <f t="shared" si="27"/>
        <v>73171.5</v>
      </c>
      <c r="X216" s="1">
        <f t="shared" si="28"/>
        <v>1.25</v>
      </c>
      <c r="Y216" s="1">
        <f t="shared" si="29"/>
        <v>17.616949999999999</v>
      </c>
      <c r="Z216">
        <f t="shared" si="30"/>
        <v>1</v>
      </c>
    </row>
    <row r="217" spans="1:26" x14ac:dyDescent="0.2">
      <c r="A217">
        <f t="shared" si="31"/>
        <v>215</v>
      </c>
      <c r="B217">
        <v>2015</v>
      </c>
      <c r="C217" t="s">
        <v>64</v>
      </c>
      <c r="D217" t="s">
        <v>94</v>
      </c>
      <c r="E217">
        <v>4</v>
      </c>
      <c r="F217" s="2">
        <v>61</v>
      </c>
      <c r="G217" s="2" t="s">
        <v>38</v>
      </c>
      <c r="H217" s="2" t="s">
        <v>39</v>
      </c>
      <c r="I217" s="2" t="s">
        <v>30</v>
      </c>
      <c r="J217" s="2">
        <v>311</v>
      </c>
      <c r="K217" s="3">
        <v>129.55000000000001</v>
      </c>
      <c r="L217" s="3">
        <v>126.4</v>
      </c>
      <c r="M217" s="3">
        <v>16.2</v>
      </c>
      <c r="N217" s="3">
        <v>8131.8535000000011</v>
      </c>
      <c r="O217" s="3">
        <v>7933.19</v>
      </c>
      <c r="P217" s="3">
        <v>63827</v>
      </c>
      <c r="Q217" s="3">
        <v>8.25</v>
      </c>
      <c r="R217" s="3">
        <v>10.9</v>
      </c>
      <c r="S217" s="3">
        <v>13.4703</v>
      </c>
      <c r="T217" s="1">
        <f t="shared" si="24"/>
        <v>3.1500000000000057</v>
      </c>
      <c r="U217" s="1">
        <f t="shared" si="25"/>
        <v>8.1</v>
      </c>
      <c r="V217" s="1">
        <f t="shared" si="26"/>
        <v>198.66350000000148</v>
      </c>
      <c r="W217" s="1">
        <f t="shared" si="27"/>
        <v>31913.5</v>
      </c>
      <c r="X217" s="1">
        <f t="shared" si="28"/>
        <v>-2.6500000000000004</v>
      </c>
      <c r="Y217" s="1">
        <f t="shared" si="29"/>
        <v>6.73515</v>
      </c>
      <c r="Z217">
        <f t="shared" si="30"/>
        <v>1</v>
      </c>
    </row>
    <row r="218" spans="1:26" x14ac:dyDescent="0.2">
      <c r="A218">
        <f t="shared" si="31"/>
        <v>216</v>
      </c>
      <c r="B218">
        <v>2014</v>
      </c>
      <c r="C218" t="s">
        <v>88</v>
      </c>
      <c r="D218" t="s">
        <v>89</v>
      </c>
      <c r="E218">
        <v>4</v>
      </c>
      <c r="F218" s="2">
        <v>72</v>
      </c>
      <c r="G218" s="2" t="s">
        <v>47</v>
      </c>
      <c r="H218" s="2" t="s">
        <v>48</v>
      </c>
      <c r="I218" s="2" t="s">
        <v>41</v>
      </c>
      <c r="J218" s="2">
        <v>311</v>
      </c>
      <c r="K218" s="3">
        <v>154.1</v>
      </c>
      <c r="L218" s="3">
        <v>150.94999999999999</v>
      </c>
      <c r="M218" s="3">
        <v>162.88</v>
      </c>
      <c r="N218" s="3">
        <v>9672.857</v>
      </c>
      <c r="O218" s="3">
        <v>9474</v>
      </c>
      <c r="P218" s="3">
        <v>641596</v>
      </c>
      <c r="Q218" s="3">
        <v>0.82499999999999996</v>
      </c>
      <c r="R218" s="3">
        <v>1.25</v>
      </c>
      <c r="S218" s="3">
        <v>0.16339999999999999</v>
      </c>
      <c r="T218" s="1">
        <f t="shared" si="24"/>
        <v>3.1500000000000057</v>
      </c>
      <c r="U218" s="1">
        <f t="shared" si="25"/>
        <v>81.44</v>
      </c>
      <c r="V218" s="1">
        <f t="shared" si="26"/>
        <v>198.85699999999997</v>
      </c>
      <c r="W218" s="1">
        <f t="shared" si="27"/>
        <v>320798</v>
      </c>
      <c r="X218" s="1">
        <f t="shared" si="28"/>
        <v>-0.42500000000000004</v>
      </c>
      <c r="Y218" s="1">
        <f t="shared" si="29"/>
        <v>8.1699999999999995E-2</v>
      </c>
      <c r="Z218">
        <f t="shared" si="30"/>
        <v>0</v>
      </c>
    </row>
    <row r="219" spans="1:26" x14ac:dyDescent="0.2">
      <c r="A219">
        <f t="shared" si="31"/>
        <v>217</v>
      </c>
      <c r="B219">
        <v>2015</v>
      </c>
      <c r="C219" t="s">
        <v>52</v>
      </c>
      <c r="D219" t="s">
        <v>79</v>
      </c>
      <c r="E219">
        <v>4</v>
      </c>
      <c r="F219" s="2">
        <v>122</v>
      </c>
      <c r="G219" s="2" t="s">
        <v>75</v>
      </c>
      <c r="H219" s="2" t="s">
        <v>76</v>
      </c>
      <c r="I219" s="2" t="s">
        <v>41</v>
      </c>
      <c r="J219" s="2">
        <v>311</v>
      </c>
      <c r="K219" s="3">
        <v>169.69</v>
      </c>
      <c r="L219" s="3">
        <v>166.53</v>
      </c>
      <c r="M219" s="3">
        <v>37.15</v>
      </c>
      <c r="N219" s="3">
        <v>10651.4413</v>
      </c>
      <c r="O219" s="3">
        <v>10452</v>
      </c>
      <c r="P219" s="3">
        <v>146343</v>
      </c>
      <c r="Q219" s="3">
        <v>52.5</v>
      </c>
      <c r="R219" s="3">
        <v>58.75</v>
      </c>
      <c r="S219" s="3">
        <v>35.233899999999998</v>
      </c>
      <c r="T219" s="1">
        <f t="shared" si="24"/>
        <v>3.1599999999999966</v>
      </c>
      <c r="U219" s="1">
        <f t="shared" si="25"/>
        <v>18.574999999999999</v>
      </c>
      <c r="V219" s="1">
        <f t="shared" si="26"/>
        <v>199.44130000000041</v>
      </c>
      <c r="W219" s="1">
        <f t="shared" si="27"/>
        <v>73171.5</v>
      </c>
      <c r="X219" s="1">
        <f t="shared" si="28"/>
        <v>-6.25</v>
      </c>
      <c r="Y219" s="1">
        <f t="shared" si="29"/>
        <v>17.616949999999999</v>
      </c>
      <c r="Z219">
        <f t="shared" si="30"/>
        <v>1</v>
      </c>
    </row>
    <row r="220" spans="1:26" x14ac:dyDescent="0.2">
      <c r="A220">
        <f t="shared" si="31"/>
        <v>218</v>
      </c>
      <c r="B220">
        <v>2015</v>
      </c>
      <c r="C220" t="s">
        <v>67</v>
      </c>
      <c r="D220" t="s">
        <v>83</v>
      </c>
      <c r="E220">
        <v>4</v>
      </c>
      <c r="F220" s="2">
        <v>82</v>
      </c>
      <c r="G220" s="2" t="s">
        <v>31</v>
      </c>
      <c r="H220" s="2" t="s">
        <v>46</v>
      </c>
      <c r="I220" s="2" t="s">
        <v>41</v>
      </c>
      <c r="J220" s="2">
        <v>311</v>
      </c>
      <c r="K220" s="3">
        <v>147.88999999999999</v>
      </c>
      <c r="L220" s="3">
        <v>144.63999999999999</v>
      </c>
      <c r="M220" s="3">
        <v>77.010000000000005</v>
      </c>
      <c r="N220" s="3">
        <v>9283.0553</v>
      </c>
      <c r="O220" s="3">
        <v>9078.2900000000009</v>
      </c>
      <c r="P220" s="3">
        <v>303378</v>
      </c>
      <c r="Q220" s="3">
        <v>65</v>
      </c>
      <c r="R220" s="3">
        <v>65</v>
      </c>
      <c r="S220" s="3">
        <v>25.341100000000001</v>
      </c>
      <c r="T220" s="1">
        <f t="shared" si="24"/>
        <v>3.25</v>
      </c>
      <c r="U220" s="1">
        <f t="shared" si="25"/>
        <v>38.505000000000003</v>
      </c>
      <c r="V220" s="1">
        <f t="shared" si="26"/>
        <v>204.76529999999912</v>
      </c>
      <c r="W220" s="1">
        <f t="shared" si="27"/>
        <v>151689</v>
      </c>
      <c r="X220" s="1">
        <f t="shared" si="28"/>
        <v>0</v>
      </c>
      <c r="Y220" s="1">
        <f t="shared" si="29"/>
        <v>12.67055</v>
      </c>
      <c r="Z220">
        <f t="shared" si="30"/>
        <v>1</v>
      </c>
    </row>
    <row r="221" spans="1:26" x14ac:dyDescent="0.2">
      <c r="A221">
        <f t="shared" si="31"/>
        <v>219</v>
      </c>
      <c r="B221">
        <v>2014</v>
      </c>
      <c r="C221" t="s">
        <v>50</v>
      </c>
      <c r="D221" t="s">
        <v>51</v>
      </c>
      <c r="E221">
        <v>4</v>
      </c>
      <c r="F221" s="2">
        <v>31</v>
      </c>
      <c r="G221" s="2" t="s">
        <v>28</v>
      </c>
      <c r="H221" s="2" t="s">
        <v>29</v>
      </c>
      <c r="I221" s="2" t="s">
        <v>30</v>
      </c>
      <c r="J221" s="2">
        <v>11</v>
      </c>
      <c r="K221" s="3">
        <v>197.39</v>
      </c>
      <c r="L221" s="3">
        <v>194.15</v>
      </c>
      <c r="M221" s="3">
        <v>198.36</v>
      </c>
      <c r="N221" s="3">
        <v>12390.1703</v>
      </c>
      <c r="O221" s="3">
        <v>12185</v>
      </c>
      <c r="P221" s="3">
        <v>781361</v>
      </c>
      <c r="Q221" s="3">
        <v>8.75</v>
      </c>
      <c r="R221" s="3">
        <v>12.085000000000001</v>
      </c>
      <c r="S221" s="3">
        <v>2.2498</v>
      </c>
      <c r="T221" s="1">
        <f t="shared" si="24"/>
        <v>3.2399999999999807</v>
      </c>
      <c r="U221" s="1">
        <f t="shared" si="25"/>
        <v>99.18</v>
      </c>
      <c r="V221" s="1">
        <f t="shared" si="26"/>
        <v>205.17029999999977</v>
      </c>
      <c r="W221" s="1">
        <f t="shared" si="27"/>
        <v>390680.5</v>
      </c>
      <c r="X221" s="1">
        <f t="shared" si="28"/>
        <v>-3.3350000000000009</v>
      </c>
      <c r="Y221" s="1">
        <f t="shared" si="29"/>
        <v>1.1249</v>
      </c>
      <c r="Z221">
        <f t="shared" si="30"/>
        <v>1</v>
      </c>
    </row>
    <row r="222" spans="1:26" x14ac:dyDescent="0.2">
      <c r="A222">
        <f t="shared" si="31"/>
        <v>220</v>
      </c>
      <c r="B222">
        <v>2014</v>
      </c>
      <c r="C222" t="s">
        <v>64</v>
      </c>
      <c r="D222" t="s">
        <v>78</v>
      </c>
      <c r="E222">
        <v>4</v>
      </c>
      <c r="F222" s="2">
        <v>21</v>
      </c>
      <c r="G222" s="2" t="s">
        <v>71</v>
      </c>
      <c r="H222" s="2" t="s">
        <v>66</v>
      </c>
      <c r="I222" s="2" t="s">
        <v>30</v>
      </c>
      <c r="J222" s="2">
        <v>711</v>
      </c>
      <c r="K222" s="3">
        <v>198.65</v>
      </c>
      <c r="L222" s="3">
        <v>195.37</v>
      </c>
      <c r="M222" s="3">
        <v>228.55</v>
      </c>
      <c r="N222" s="3">
        <v>12469.2605</v>
      </c>
      <c r="O222" s="3">
        <v>12262</v>
      </c>
      <c r="P222" s="3">
        <v>900285</v>
      </c>
      <c r="Q222" s="3">
        <v>14</v>
      </c>
      <c r="R222" s="3">
        <v>15</v>
      </c>
      <c r="S222" s="3">
        <v>15.3675</v>
      </c>
      <c r="T222" s="1">
        <f t="shared" si="24"/>
        <v>3.2800000000000011</v>
      </c>
      <c r="U222" s="1">
        <f t="shared" si="25"/>
        <v>114.27500000000001</v>
      </c>
      <c r="V222" s="1">
        <f t="shared" si="26"/>
        <v>207.26050000000032</v>
      </c>
      <c r="W222" s="1">
        <f t="shared" si="27"/>
        <v>450142.5</v>
      </c>
      <c r="X222" s="1">
        <f t="shared" si="28"/>
        <v>-1</v>
      </c>
      <c r="Y222" s="1">
        <f t="shared" si="29"/>
        <v>7.6837499999999999</v>
      </c>
      <c r="Z222">
        <f t="shared" si="30"/>
        <v>1</v>
      </c>
    </row>
    <row r="223" spans="1:26" x14ac:dyDescent="0.2">
      <c r="A223">
        <f t="shared" si="31"/>
        <v>221</v>
      </c>
      <c r="B223">
        <v>2015</v>
      </c>
      <c r="C223" t="s">
        <v>67</v>
      </c>
      <c r="D223" t="s">
        <v>83</v>
      </c>
      <c r="E223">
        <v>4</v>
      </c>
      <c r="F223" s="2">
        <v>41</v>
      </c>
      <c r="G223" s="2" t="s">
        <v>31</v>
      </c>
      <c r="H223" s="2" t="s">
        <v>62</v>
      </c>
      <c r="I223" s="2" t="s">
        <v>30</v>
      </c>
      <c r="J223" s="2">
        <v>311</v>
      </c>
      <c r="K223" s="3">
        <v>147.99</v>
      </c>
      <c r="L223" s="3">
        <v>144.63999999999999</v>
      </c>
      <c r="M223" s="3">
        <v>77.010000000000005</v>
      </c>
      <c r="N223" s="3">
        <v>9289.3323000000019</v>
      </c>
      <c r="O223" s="3">
        <v>9078.2900000000009</v>
      </c>
      <c r="P223" s="3">
        <v>303378</v>
      </c>
      <c r="Q223" s="3">
        <v>67.5</v>
      </c>
      <c r="R223" s="3">
        <v>65</v>
      </c>
      <c r="S223" s="3">
        <v>25.341100000000001</v>
      </c>
      <c r="T223" s="1">
        <f t="shared" si="24"/>
        <v>3.3500000000000227</v>
      </c>
      <c r="U223" s="1">
        <f t="shared" si="25"/>
        <v>38.505000000000003</v>
      </c>
      <c r="V223" s="1">
        <f t="shared" si="26"/>
        <v>211.04230000000098</v>
      </c>
      <c r="W223" s="1">
        <f t="shared" si="27"/>
        <v>151689</v>
      </c>
      <c r="X223" s="1">
        <f t="shared" si="28"/>
        <v>2.5</v>
      </c>
      <c r="Y223" s="1">
        <f t="shared" si="29"/>
        <v>12.67055</v>
      </c>
      <c r="Z223">
        <f t="shared" si="30"/>
        <v>1</v>
      </c>
    </row>
    <row r="224" spans="1:26" x14ac:dyDescent="0.2">
      <c r="A224">
        <f t="shared" si="31"/>
        <v>222</v>
      </c>
      <c r="B224">
        <v>2014</v>
      </c>
      <c r="C224" t="s">
        <v>50</v>
      </c>
      <c r="D224" t="s">
        <v>80</v>
      </c>
      <c r="E224">
        <v>4</v>
      </c>
      <c r="F224" s="2">
        <v>31</v>
      </c>
      <c r="G224" s="2" t="s">
        <v>28</v>
      </c>
      <c r="H224" s="2" t="s">
        <v>29</v>
      </c>
      <c r="I224" s="2" t="s">
        <v>30</v>
      </c>
      <c r="J224" s="2">
        <v>11</v>
      </c>
      <c r="K224" s="3">
        <v>215.64</v>
      </c>
      <c r="L224" s="3">
        <v>212.3</v>
      </c>
      <c r="M224" s="3">
        <v>100.21</v>
      </c>
      <c r="N224" s="3">
        <v>13535.7228</v>
      </c>
      <c r="O224" s="3">
        <v>13324</v>
      </c>
      <c r="P224" s="3">
        <v>394707</v>
      </c>
      <c r="Q224" s="3">
        <v>40</v>
      </c>
      <c r="R224" s="3">
        <v>23.75</v>
      </c>
      <c r="S224" s="3">
        <v>150.47</v>
      </c>
      <c r="T224" s="1">
        <f t="shared" si="24"/>
        <v>3.339999999999975</v>
      </c>
      <c r="U224" s="1">
        <f t="shared" si="25"/>
        <v>50.104999999999997</v>
      </c>
      <c r="V224" s="1">
        <f t="shared" si="26"/>
        <v>211.72279999999955</v>
      </c>
      <c r="W224" s="1">
        <f t="shared" si="27"/>
        <v>197353.5</v>
      </c>
      <c r="X224" s="1">
        <f t="shared" si="28"/>
        <v>16.25</v>
      </c>
      <c r="Y224" s="1">
        <f t="shared" si="29"/>
        <v>75.234999999999999</v>
      </c>
      <c r="Z224">
        <f t="shared" si="30"/>
        <v>1</v>
      </c>
    </row>
    <row r="225" spans="1:26" x14ac:dyDescent="0.2">
      <c r="A225">
        <f t="shared" si="31"/>
        <v>223</v>
      </c>
      <c r="B225">
        <v>2015</v>
      </c>
      <c r="C225" t="s">
        <v>81</v>
      </c>
      <c r="D225" t="s">
        <v>82</v>
      </c>
      <c r="E225">
        <v>4</v>
      </c>
      <c r="F225" s="2">
        <v>153</v>
      </c>
      <c r="G225" s="2" t="s">
        <v>44</v>
      </c>
      <c r="H225" s="2" t="s">
        <v>45</v>
      </c>
      <c r="I225" s="2" t="s">
        <v>33</v>
      </c>
      <c r="J225" s="2">
        <v>3711</v>
      </c>
      <c r="K225" s="3">
        <v>247.33</v>
      </c>
      <c r="L225" s="3">
        <v>243.95</v>
      </c>
      <c r="M225" s="3">
        <v>106.45</v>
      </c>
      <c r="N225" s="3">
        <v>15524.904100000002</v>
      </c>
      <c r="O225" s="3">
        <v>15311</v>
      </c>
      <c r="P225" s="3">
        <v>419314</v>
      </c>
      <c r="Q225" s="3">
        <v>0.67500000000000004</v>
      </c>
      <c r="R225" s="3">
        <v>17.399999999999999</v>
      </c>
      <c r="S225" s="3">
        <v>31.9801</v>
      </c>
      <c r="T225" s="1">
        <f t="shared" si="24"/>
        <v>3.3800000000000239</v>
      </c>
      <c r="U225" s="1">
        <f t="shared" si="25"/>
        <v>53.225000000000001</v>
      </c>
      <c r="V225" s="1">
        <f t="shared" si="26"/>
        <v>213.90410000000156</v>
      </c>
      <c r="W225" s="1">
        <f t="shared" si="27"/>
        <v>209657</v>
      </c>
      <c r="X225" s="1">
        <f t="shared" si="28"/>
        <v>-16.724999999999998</v>
      </c>
      <c r="Y225" s="1">
        <f t="shared" si="29"/>
        <v>15.99005</v>
      </c>
      <c r="Z225">
        <f t="shared" si="30"/>
        <v>0</v>
      </c>
    </row>
    <row r="226" spans="1:26" x14ac:dyDescent="0.2">
      <c r="A226">
        <f t="shared" si="31"/>
        <v>224</v>
      </c>
      <c r="B226">
        <v>2015</v>
      </c>
      <c r="C226" t="s">
        <v>52</v>
      </c>
      <c r="D226" t="s">
        <v>79</v>
      </c>
      <c r="E226">
        <v>4</v>
      </c>
      <c r="F226" s="2">
        <v>41</v>
      </c>
      <c r="G226" s="2" t="s">
        <v>31</v>
      </c>
      <c r="H226" s="2" t="s">
        <v>62</v>
      </c>
      <c r="I226" s="2" t="s">
        <v>30</v>
      </c>
      <c r="J226" s="2">
        <v>311</v>
      </c>
      <c r="K226" s="3">
        <v>170</v>
      </c>
      <c r="L226" s="3">
        <v>166.53</v>
      </c>
      <c r="M226" s="3">
        <v>37.15</v>
      </c>
      <c r="N226" s="3">
        <v>10670.9</v>
      </c>
      <c r="O226" s="3">
        <v>10452</v>
      </c>
      <c r="P226" s="3">
        <v>146343</v>
      </c>
      <c r="Q226" s="3">
        <v>51.25</v>
      </c>
      <c r="R226" s="3">
        <v>58.75</v>
      </c>
      <c r="S226" s="3">
        <v>35.233899999999998</v>
      </c>
      <c r="T226" s="1">
        <f t="shared" si="24"/>
        <v>3.4699999999999989</v>
      </c>
      <c r="U226" s="1">
        <f t="shared" si="25"/>
        <v>18.574999999999999</v>
      </c>
      <c r="V226" s="1">
        <f t="shared" si="26"/>
        <v>218.89999999999964</v>
      </c>
      <c r="W226" s="1">
        <f t="shared" si="27"/>
        <v>73171.5</v>
      </c>
      <c r="X226" s="1">
        <f t="shared" si="28"/>
        <v>-7.5</v>
      </c>
      <c r="Y226" s="1">
        <f t="shared" si="29"/>
        <v>17.616949999999999</v>
      </c>
      <c r="Z226">
        <f t="shared" si="30"/>
        <v>1</v>
      </c>
    </row>
    <row r="227" spans="1:26" x14ac:dyDescent="0.2">
      <c r="A227">
        <f t="shared" si="31"/>
        <v>225</v>
      </c>
      <c r="B227">
        <v>2014</v>
      </c>
      <c r="C227" t="s">
        <v>64</v>
      </c>
      <c r="D227" t="s">
        <v>70</v>
      </c>
      <c r="E227">
        <v>4</v>
      </c>
      <c r="F227" s="2">
        <v>102</v>
      </c>
      <c r="G227" s="2" t="s">
        <v>36</v>
      </c>
      <c r="H227" s="2" t="s">
        <v>29</v>
      </c>
      <c r="I227" s="2" t="s">
        <v>41</v>
      </c>
      <c r="J227" s="2">
        <v>11</v>
      </c>
      <c r="K227" s="3">
        <v>217.71</v>
      </c>
      <c r="L227" s="3">
        <v>214.18</v>
      </c>
      <c r="M227" s="3">
        <v>106.85</v>
      </c>
      <c r="N227" s="3">
        <v>13665.656700000001</v>
      </c>
      <c r="O227" s="3">
        <v>13442</v>
      </c>
      <c r="P227" s="3">
        <v>420908</v>
      </c>
      <c r="Q227" s="3">
        <v>8</v>
      </c>
      <c r="R227" s="3">
        <v>10</v>
      </c>
      <c r="S227" s="3">
        <v>6.2126000000000001</v>
      </c>
      <c r="T227" s="1">
        <f t="shared" si="24"/>
        <v>3.5300000000000011</v>
      </c>
      <c r="U227" s="1">
        <f t="shared" si="25"/>
        <v>53.424999999999997</v>
      </c>
      <c r="V227" s="1">
        <f t="shared" si="26"/>
        <v>223.65670000000136</v>
      </c>
      <c r="W227" s="1">
        <f t="shared" si="27"/>
        <v>210454</v>
      </c>
      <c r="X227" s="1">
        <f t="shared" si="28"/>
        <v>-2</v>
      </c>
      <c r="Y227" s="1">
        <f t="shared" si="29"/>
        <v>3.1063000000000001</v>
      </c>
      <c r="Z227">
        <f t="shared" si="30"/>
        <v>1</v>
      </c>
    </row>
    <row r="228" spans="1:26" x14ac:dyDescent="0.2">
      <c r="A228">
        <f t="shared" si="31"/>
        <v>226</v>
      </c>
      <c r="B228">
        <v>2015</v>
      </c>
      <c r="C228" t="s">
        <v>81</v>
      </c>
      <c r="D228" t="s">
        <v>82</v>
      </c>
      <c r="E228">
        <v>4</v>
      </c>
      <c r="F228" s="2">
        <v>102</v>
      </c>
      <c r="G228" s="2" t="s">
        <v>36</v>
      </c>
      <c r="H228" s="2" t="s">
        <v>29</v>
      </c>
      <c r="I228" s="2" t="s">
        <v>41</v>
      </c>
      <c r="J228" s="2">
        <v>11</v>
      </c>
      <c r="K228" s="3">
        <v>247.54</v>
      </c>
      <c r="L228" s="3">
        <v>243.95</v>
      </c>
      <c r="M228" s="3">
        <v>106.45</v>
      </c>
      <c r="N228" s="3">
        <v>15538.085800000001</v>
      </c>
      <c r="O228" s="3">
        <v>15311</v>
      </c>
      <c r="P228" s="3">
        <v>419314</v>
      </c>
      <c r="Q228" s="3">
        <v>13.175000000000001</v>
      </c>
      <c r="R228" s="3">
        <v>17.399999999999999</v>
      </c>
      <c r="S228" s="3">
        <v>31.9801</v>
      </c>
      <c r="T228" s="1">
        <f t="shared" si="24"/>
        <v>3.5900000000000034</v>
      </c>
      <c r="U228" s="1">
        <f t="shared" si="25"/>
        <v>53.225000000000001</v>
      </c>
      <c r="V228" s="1">
        <f t="shared" si="26"/>
        <v>227.08580000000075</v>
      </c>
      <c r="W228" s="1">
        <f t="shared" si="27"/>
        <v>209657</v>
      </c>
      <c r="X228" s="1">
        <f t="shared" si="28"/>
        <v>-4.2249999999999979</v>
      </c>
      <c r="Y228" s="1">
        <f t="shared" si="29"/>
        <v>15.99005</v>
      </c>
      <c r="Z228">
        <f t="shared" si="30"/>
        <v>1</v>
      </c>
    </row>
    <row r="229" spans="1:26" x14ac:dyDescent="0.2">
      <c r="A229">
        <f t="shared" si="31"/>
        <v>227</v>
      </c>
      <c r="B229">
        <v>2014</v>
      </c>
      <c r="C229" t="s">
        <v>52</v>
      </c>
      <c r="D229" t="s">
        <v>79</v>
      </c>
      <c r="E229">
        <v>4</v>
      </c>
      <c r="F229" s="2">
        <v>31</v>
      </c>
      <c r="G229" s="2" t="s">
        <v>28</v>
      </c>
      <c r="H229" s="2" t="s">
        <v>29</v>
      </c>
      <c r="I229" s="2" t="s">
        <v>30</v>
      </c>
      <c r="J229" s="2">
        <v>11</v>
      </c>
      <c r="K229" s="3">
        <v>168.66</v>
      </c>
      <c r="L229" s="3">
        <v>165.03</v>
      </c>
      <c r="M229" s="3">
        <v>19.100000000000001</v>
      </c>
      <c r="N229" s="3">
        <v>10586.788200000001</v>
      </c>
      <c r="O229" s="3">
        <v>10358</v>
      </c>
      <c r="P229" s="3">
        <v>75251</v>
      </c>
      <c r="Q229" s="3">
        <v>63.75</v>
      </c>
      <c r="R229" s="3">
        <v>70</v>
      </c>
      <c r="S229" s="3">
        <v>10.1486</v>
      </c>
      <c r="T229" s="1">
        <f t="shared" si="24"/>
        <v>3.6299999999999955</v>
      </c>
      <c r="U229" s="1">
        <f t="shared" si="25"/>
        <v>9.5500000000000007</v>
      </c>
      <c r="V229" s="1">
        <f t="shared" si="26"/>
        <v>228.78820000000087</v>
      </c>
      <c r="W229" s="1">
        <f t="shared" si="27"/>
        <v>37625.5</v>
      </c>
      <c r="X229" s="1">
        <f t="shared" si="28"/>
        <v>-6.25</v>
      </c>
      <c r="Y229" s="1">
        <f t="shared" si="29"/>
        <v>5.0743</v>
      </c>
      <c r="Z229">
        <f t="shared" si="30"/>
        <v>1</v>
      </c>
    </row>
    <row r="230" spans="1:26" x14ac:dyDescent="0.2">
      <c r="A230">
        <f t="shared" si="31"/>
        <v>228</v>
      </c>
      <c r="B230">
        <v>2015</v>
      </c>
      <c r="C230" t="s">
        <v>64</v>
      </c>
      <c r="D230" t="s">
        <v>94</v>
      </c>
      <c r="E230">
        <v>4</v>
      </c>
      <c r="F230" s="2">
        <v>92</v>
      </c>
      <c r="G230" s="2" t="s">
        <v>42</v>
      </c>
      <c r="H230" s="2" t="s">
        <v>43</v>
      </c>
      <c r="I230" s="2" t="s">
        <v>41</v>
      </c>
      <c r="J230" s="2">
        <v>311</v>
      </c>
      <c r="K230" s="3">
        <v>130.18</v>
      </c>
      <c r="L230" s="3">
        <v>126.4</v>
      </c>
      <c r="M230" s="3">
        <v>16.2</v>
      </c>
      <c r="N230" s="3">
        <v>8171.3986000000004</v>
      </c>
      <c r="O230" s="3">
        <v>7933.19</v>
      </c>
      <c r="P230" s="3">
        <v>63827</v>
      </c>
      <c r="Q230" s="3">
        <v>5.5</v>
      </c>
      <c r="R230" s="3">
        <v>10.9</v>
      </c>
      <c r="S230" s="3">
        <v>13.4703</v>
      </c>
      <c r="T230" s="1">
        <f t="shared" si="24"/>
        <v>3.7800000000000011</v>
      </c>
      <c r="U230" s="1">
        <f t="shared" si="25"/>
        <v>8.1</v>
      </c>
      <c r="V230" s="1">
        <f t="shared" si="26"/>
        <v>238.20860000000084</v>
      </c>
      <c r="W230" s="1">
        <f t="shared" si="27"/>
        <v>31913.5</v>
      </c>
      <c r="X230" s="1">
        <f t="shared" si="28"/>
        <v>-5.4</v>
      </c>
      <c r="Y230" s="1">
        <f t="shared" si="29"/>
        <v>6.73515</v>
      </c>
      <c r="Z230">
        <f t="shared" si="30"/>
        <v>1</v>
      </c>
    </row>
    <row r="231" spans="1:26" x14ac:dyDescent="0.2">
      <c r="A231">
        <f t="shared" si="31"/>
        <v>229</v>
      </c>
      <c r="B231">
        <v>2014</v>
      </c>
      <c r="C231" t="s">
        <v>64</v>
      </c>
      <c r="D231" t="s">
        <v>70</v>
      </c>
      <c r="E231">
        <v>4</v>
      </c>
      <c r="F231" s="2">
        <v>183</v>
      </c>
      <c r="G231" s="2" t="s">
        <v>36</v>
      </c>
      <c r="H231" s="2" t="s">
        <v>37</v>
      </c>
      <c r="I231" s="2" t="s">
        <v>33</v>
      </c>
      <c r="J231" s="2">
        <v>11</v>
      </c>
      <c r="K231" s="3">
        <v>218</v>
      </c>
      <c r="L231" s="3">
        <v>214.18</v>
      </c>
      <c r="M231" s="3">
        <v>106.85</v>
      </c>
      <c r="N231" s="3">
        <v>13683.86</v>
      </c>
      <c r="O231" s="3">
        <v>13442</v>
      </c>
      <c r="P231" s="3">
        <v>420908</v>
      </c>
      <c r="Q231" s="3">
        <v>8</v>
      </c>
      <c r="R231" s="3">
        <v>10</v>
      </c>
      <c r="S231" s="3">
        <v>6.2126000000000001</v>
      </c>
      <c r="T231" s="1">
        <f t="shared" si="24"/>
        <v>3.8199999999999932</v>
      </c>
      <c r="U231" s="1">
        <f t="shared" si="25"/>
        <v>53.424999999999997</v>
      </c>
      <c r="V231" s="1">
        <f t="shared" si="26"/>
        <v>241.86000000000058</v>
      </c>
      <c r="W231" s="1">
        <f t="shared" si="27"/>
        <v>210454</v>
      </c>
      <c r="X231" s="1">
        <f t="shared" si="28"/>
        <v>-2</v>
      </c>
      <c r="Y231" s="1">
        <f t="shared" si="29"/>
        <v>3.1063000000000001</v>
      </c>
      <c r="Z231">
        <f t="shared" si="30"/>
        <v>1</v>
      </c>
    </row>
    <row r="232" spans="1:26" x14ac:dyDescent="0.2">
      <c r="A232">
        <f t="shared" si="31"/>
        <v>230</v>
      </c>
      <c r="B232">
        <v>2015</v>
      </c>
      <c r="C232" t="s">
        <v>52</v>
      </c>
      <c r="D232" t="s">
        <v>79</v>
      </c>
      <c r="E232">
        <v>4</v>
      </c>
      <c r="F232" s="2">
        <v>112</v>
      </c>
      <c r="G232" s="2" t="s">
        <v>40</v>
      </c>
      <c r="H232" s="2" t="s">
        <v>39</v>
      </c>
      <c r="I232" s="2" t="s">
        <v>41</v>
      </c>
      <c r="J232" s="2">
        <v>311</v>
      </c>
      <c r="K232" s="3">
        <v>170.38</v>
      </c>
      <c r="L232" s="3">
        <v>166.53</v>
      </c>
      <c r="M232" s="3">
        <v>37.15</v>
      </c>
      <c r="N232" s="3">
        <v>10694.7526</v>
      </c>
      <c r="O232" s="3">
        <v>10452</v>
      </c>
      <c r="P232" s="3">
        <v>146343</v>
      </c>
      <c r="Q232" s="3">
        <v>57.5</v>
      </c>
      <c r="R232" s="3">
        <v>58.75</v>
      </c>
      <c r="S232" s="3">
        <v>35.233899999999998</v>
      </c>
      <c r="T232" s="1">
        <f t="shared" si="24"/>
        <v>3.8499999999999943</v>
      </c>
      <c r="U232" s="1">
        <f t="shared" si="25"/>
        <v>18.574999999999999</v>
      </c>
      <c r="V232" s="1">
        <f t="shared" si="26"/>
        <v>242.7525999999998</v>
      </c>
      <c r="W232" s="1">
        <f t="shared" si="27"/>
        <v>73171.5</v>
      </c>
      <c r="X232" s="1">
        <f t="shared" si="28"/>
        <v>-1.25</v>
      </c>
      <c r="Y232" s="1">
        <f t="shared" si="29"/>
        <v>17.616949999999999</v>
      </c>
      <c r="Z232">
        <f t="shared" si="30"/>
        <v>1</v>
      </c>
    </row>
    <row r="233" spans="1:26" x14ac:dyDescent="0.2">
      <c r="A233">
        <f t="shared" si="31"/>
        <v>231</v>
      </c>
      <c r="B233">
        <v>2014</v>
      </c>
      <c r="C233" t="s">
        <v>50</v>
      </c>
      <c r="D233" t="s">
        <v>77</v>
      </c>
      <c r="E233">
        <v>4</v>
      </c>
      <c r="F233" s="2">
        <v>173</v>
      </c>
      <c r="G233" s="2" t="s">
        <v>31</v>
      </c>
      <c r="H233" s="2" t="s">
        <v>32</v>
      </c>
      <c r="I233" s="2" t="s">
        <v>33</v>
      </c>
      <c r="J233" s="2">
        <v>311</v>
      </c>
      <c r="K233" s="3">
        <v>221.05</v>
      </c>
      <c r="L233" s="3">
        <v>217.17</v>
      </c>
      <c r="M233" s="3">
        <v>97.19</v>
      </c>
      <c r="N233" s="3">
        <v>13875.308500000001</v>
      </c>
      <c r="O233" s="3">
        <v>13630</v>
      </c>
      <c r="P233" s="3">
        <v>382849</v>
      </c>
      <c r="Q233" s="3">
        <v>8.1675000000000004</v>
      </c>
      <c r="R233" s="3">
        <v>16.25</v>
      </c>
      <c r="S233" s="3">
        <v>60.879800000000003</v>
      </c>
      <c r="T233" s="1">
        <f t="shared" si="24"/>
        <v>3.8800000000000239</v>
      </c>
      <c r="U233" s="1">
        <f t="shared" si="25"/>
        <v>48.594999999999999</v>
      </c>
      <c r="V233" s="1">
        <f t="shared" si="26"/>
        <v>245.308500000001</v>
      </c>
      <c r="W233" s="1">
        <f t="shared" si="27"/>
        <v>191424.5</v>
      </c>
      <c r="X233" s="1">
        <f t="shared" si="28"/>
        <v>-8.0824999999999996</v>
      </c>
      <c r="Y233" s="1">
        <f t="shared" si="29"/>
        <v>30.439900000000002</v>
      </c>
      <c r="Z233">
        <f t="shared" si="30"/>
        <v>1</v>
      </c>
    </row>
    <row r="234" spans="1:26" x14ac:dyDescent="0.2">
      <c r="A234">
        <f t="shared" si="31"/>
        <v>232</v>
      </c>
      <c r="B234">
        <v>2015</v>
      </c>
      <c r="C234" t="s">
        <v>54</v>
      </c>
      <c r="D234" t="s">
        <v>69</v>
      </c>
      <c r="E234">
        <v>4</v>
      </c>
      <c r="F234" s="2">
        <v>31</v>
      </c>
      <c r="G234" s="2" t="s">
        <v>28</v>
      </c>
      <c r="H234" s="2" t="s">
        <v>29</v>
      </c>
      <c r="I234" s="2" t="s">
        <v>30</v>
      </c>
      <c r="J234" s="2">
        <v>11</v>
      </c>
      <c r="K234" s="3">
        <v>250.53</v>
      </c>
      <c r="L234" s="3">
        <v>246.63</v>
      </c>
      <c r="M234" s="3">
        <v>212.78</v>
      </c>
      <c r="N234" s="3">
        <v>15725.768100000001</v>
      </c>
      <c r="O234" s="3">
        <v>15479</v>
      </c>
      <c r="P234" s="3">
        <v>838171</v>
      </c>
      <c r="Q234" s="3">
        <v>60</v>
      </c>
      <c r="R234" s="3">
        <v>32.5</v>
      </c>
      <c r="S234" s="3">
        <v>207.72</v>
      </c>
      <c r="T234" s="1">
        <f t="shared" si="24"/>
        <v>3.9000000000000057</v>
      </c>
      <c r="U234" s="1">
        <f t="shared" si="25"/>
        <v>106.39</v>
      </c>
      <c r="V234" s="1">
        <f t="shared" si="26"/>
        <v>246.76810000000114</v>
      </c>
      <c r="W234" s="1">
        <f t="shared" si="27"/>
        <v>419085.5</v>
      </c>
      <c r="X234" s="1">
        <f t="shared" si="28"/>
        <v>27.5</v>
      </c>
      <c r="Y234" s="1">
        <f t="shared" si="29"/>
        <v>103.86</v>
      </c>
      <c r="Z234">
        <f t="shared" si="30"/>
        <v>1</v>
      </c>
    </row>
    <row r="235" spans="1:26" x14ac:dyDescent="0.2">
      <c r="A235">
        <f t="shared" si="31"/>
        <v>233</v>
      </c>
      <c r="B235">
        <v>2015</v>
      </c>
      <c r="C235" t="s">
        <v>72</v>
      </c>
      <c r="D235" t="s">
        <v>73</v>
      </c>
      <c r="E235">
        <v>4</v>
      </c>
      <c r="F235" s="2">
        <v>72</v>
      </c>
      <c r="G235" s="2" t="s">
        <v>47</v>
      </c>
      <c r="H235" s="2" t="s">
        <v>48</v>
      </c>
      <c r="I235" s="2" t="s">
        <v>41</v>
      </c>
      <c r="J235" s="2">
        <v>311</v>
      </c>
      <c r="K235" s="3">
        <v>200.75</v>
      </c>
      <c r="L235" s="3">
        <v>196.81</v>
      </c>
      <c r="M235" s="3">
        <v>48.17</v>
      </c>
      <c r="N235" s="3">
        <v>12601.077500000001</v>
      </c>
      <c r="O235" s="3">
        <v>12352</v>
      </c>
      <c r="P235" s="3">
        <v>189801</v>
      </c>
      <c r="Q235" s="3">
        <v>3.4</v>
      </c>
      <c r="R235" s="3">
        <v>6.9</v>
      </c>
      <c r="S235" s="3">
        <v>2.0556999999999999</v>
      </c>
      <c r="T235" s="1">
        <f t="shared" si="24"/>
        <v>3.9399999999999977</v>
      </c>
      <c r="U235" s="1">
        <f t="shared" si="25"/>
        <v>24.085000000000001</v>
      </c>
      <c r="V235" s="1">
        <f t="shared" si="26"/>
        <v>249.07750000000124</v>
      </c>
      <c r="W235" s="1">
        <f t="shared" si="27"/>
        <v>94900.5</v>
      </c>
      <c r="X235" s="1">
        <f t="shared" si="28"/>
        <v>-3.5000000000000004</v>
      </c>
      <c r="Y235" s="1">
        <f t="shared" si="29"/>
        <v>1.0278499999999999</v>
      </c>
      <c r="Z235">
        <f t="shared" si="30"/>
        <v>0</v>
      </c>
    </row>
    <row r="236" spans="1:26" x14ac:dyDescent="0.2">
      <c r="A236">
        <f t="shared" si="31"/>
        <v>234</v>
      </c>
      <c r="B236">
        <v>2014</v>
      </c>
      <c r="C236" t="s">
        <v>50</v>
      </c>
      <c r="D236" t="s">
        <v>86</v>
      </c>
      <c r="E236">
        <v>4</v>
      </c>
      <c r="F236" s="2">
        <v>193</v>
      </c>
      <c r="G236" s="2" t="s">
        <v>40</v>
      </c>
      <c r="H236" s="2" t="s">
        <v>39</v>
      </c>
      <c r="I236" s="2" t="s">
        <v>33</v>
      </c>
      <c r="J236" s="2">
        <v>311</v>
      </c>
      <c r="K236" s="3">
        <v>156.07</v>
      </c>
      <c r="L236" s="3">
        <v>152.02000000000001</v>
      </c>
      <c r="M236" s="3">
        <v>208.65</v>
      </c>
      <c r="N236" s="3">
        <v>9796.5138999999999</v>
      </c>
      <c r="O236" s="3">
        <v>9541.27</v>
      </c>
      <c r="P236" s="3">
        <v>821938</v>
      </c>
      <c r="Q236" s="3">
        <v>0</v>
      </c>
      <c r="R236" s="3">
        <v>0</v>
      </c>
      <c r="S236" s="3">
        <v>0</v>
      </c>
      <c r="T236" s="1">
        <f t="shared" si="24"/>
        <v>4.0499999999999829</v>
      </c>
      <c r="U236" s="1">
        <f t="shared" si="25"/>
        <v>104.325</v>
      </c>
      <c r="V236" s="1">
        <f t="shared" si="26"/>
        <v>255.24389999999948</v>
      </c>
      <c r="W236" s="1">
        <f t="shared" si="27"/>
        <v>410969</v>
      </c>
      <c r="X236" s="1">
        <f t="shared" si="28"/>
        <v>0</v>
      </c>
      <c r="Y236" s="1">
        <f t="shared" si="29"/>
        <v>0</v>
      </c>
      <c r="Z236">
        <f t="shared" si="30"/>
        <v>0</v>
      </c>
    </row>
    <row r="237" spans="1:26" x14ac:dyDescent="0.2">
      <c r="A237">
        <f t="shared" si="31"/>
        <v>235</v>
      </c>
      <c r="B237">
        <v>2015</v>
      </c>
      <c r="C237" t="s">
        <v>64</v>
      </c>
      <c r="D237" t="s">
        <v>65</v>
      </c>
      <c r="E237">
        <v>4</v>
      </c>
      <c r="F237" s="2">
        <v>82</v>
      </c>
      <c r="G237" s="2" t="s">
        <v>31</v>
      </c>
      <c r="H237" s="2" t="s">
        <v>46</v>
      </c>
      <c r="I237" s="2" t="s">
        <v>41</v>
      </c>
      <c r="J237" s="2">
        <v>311</v>
      </c>
      <c r="K237" s="3">
        <v>220.41</v>
      </c>
      <c r="L237" s="3">
        <v>216.3</v>
      </c>
      <c r="M237" s="3">
        <v>218.38</v>
      </c>
      <c r="N237" s="3">
        <v>13835.135700000001</v>
      </c>
      <c r="O237" s="3">
        <v>13576</v>
      </c>
      <c r="P237" s="3">
        <v>860223</v>
      </c>
      <c r="Q237" s="3">
        <v>7.5</v>
      </c>
      <c r="R237" s="3">
        <v>7</v>
      </c>
      <c r="S237" s="3">
        <v>3.3643000000000001</v>
      </c>
      <c r="T237" s="1">
        <f t="shared" si="24"/>
        <v>4.1099999999999852</v>
      </c>
      <c r="U237" s="1">
        <f t="shared" si="25"/>
        <v>109.19</v>
      </c>
      <c r="V237" s="1">
        <f t="shared" si="26"/>
        <v>259.13570000000072</v>
      </c>
      <c r="W237" s="1">
        <f t="shared" si="27"/>
        <v>430111.5</v>
      </c>
      <c r="X237" s="1">
        <f t="shared" si="28"/>
        <v>0.5</v>
      </c>
      <c r="Y237" s="1">
        <f t="shared" si="29"/>
        <v>1.68215</v>
      </c>
      <c r="Z237">
        <f t="shared" si="30"/>
        <v>1</v>
      </c>
    </row>
    <row r="238" spans="1:26" x14ac:dyDescent="0.2">
      <c r="A238">
        <f t="shared" si="31"/>
        <v>236</v>
      </c>
      <c r="B238">
        <v>2015</v>
      </c>
      <c r="C238" t="s">
        <v>88</v>
      </c>
      <c r="D238" t="s">
        <v>90</v>
      </c>
      <c r="E238">
        <v>4</v>
      </c>
      <c r="F238" s="2">
        <v>112</v>
      </c>
      <c r="G238" s="2" t="s">
        <v>40</v>
      </c>
      <c r="H238" s="2" t="s">
        <v>39</v>
      </c>
      <c r="I238" s="2" t="s">
        <v>41</v>
      </c>
      <c r="J238" s="2">
        <v>311</v>
      </c>
      <c r="K238" s="3">
        <v>218.75</v>
      </c>
      <c r="L238" s="3">
        <v>214.57</v>
      </c>
      <c r="M238" s="3">
        <v>51.3</v>
      </c>
      <c r="N238" s="3">
        <v>13730.9375</v>
      </c>
      <c r="O238" s="3">
        <v>13467</v>
      </c>
      <c r="P238" s="3">
        <v>202142</v>
      </c>
      <c r="Q238" s="3">
        <v>0</v>
      </c>
      <c r="R238" s="3">
        <v>0</v>
      </c>
      <c r="S238" s="3">
        <v>0</v>
      </c>
      <c r="T238" s="1">
        <f t="shared" si="24"/>
        <v>4.1800000000000068</v>
      </c>
      <c r="U238" s="1">
        <f t="shared" si="25"/>
        <v>25.65</v>
      </c>
      <c r="V238" s="1">
        <f t="shared" si="26"/>
        <v>263.9375</v>
      </c>
      <c r="W238" s="1">
        <f t="shared" si="27"/>
        <v>101071</v>
      </c>
      <c r="X238" s="1">
        <f t="shared" si="28"/>
        <v>0</v>
      </c>
      <c r="Y238" s="1">
        <f t="shared" si="29"/>
        <v>0</v>
      </c>
      <c r="Z238">
        <f t="shared" si="30"/>
        <v>0</v>
      </c>
    </row>
    <row r="239" spans="1:26" x14ac:dyDescent="0.2">
      <c r="A239">
        <f t="shared" si="31"/>
        <v>237</v>
      </c>
      <c r="B239">
        <v>2014</v>
      </c>
      <c r="C239" t="s">
        <v>64</v>
      </c>
      <c r="D239" t="s">
        <v>70</v>
      </c>
      <c r="E239">
        <v>4</v>
      </c>
      <c r="F239" s="2">
        <v>92</v>
      </c>
      <c r="G239" s="2" t="s">
        <v>42</v>
      </c>
      <c r="H239" s="2" t="s">
        <v>43</v>
      </c>
      <c r="I239" s="2" t="s">
        <v>41</v>
      </c>
      <c r="J239" s="2">
        <v>311</v>
      </c>
      <c r="K239" s="3">
        <v>218.39</v>
      </c>
      <c r="L239" s="3">
        <v>214.18</v>
      </c>
      <c r="M239" s="3">
        <v>106.85</v>
      </c>
      <c r="N239" s="3">
        <v>13708.3403</v>
      </c>
      <c r="O239" s="3">
        <v>13442</v>
      </c>
      <c r="P239" s="3">
        <v>420908</v>
      </c>
      <c r="Q239" s="3">
        <v>0.75</v>
      </c>
      <c r="R239" s="3">
        <v>10</v>
      </c>
      <c r="S239" s="3">
        <v>6.2126000000000001</v>
      </c>
      <c r="T239" s="1">
        <f t="shared" si="24"/>
        <v>4.2099999999999795</v>
      </c>
      <c r="U239" s="1">
        <f t="shared" si="25"/>
        <v>53.424999999999997</v>
      </c>
      <c r="V239" s="1">
        <f t="shared" si="26"/>
        <v>266.34029999999984</v>
      </c>
      <c r="W239" s="1">
        <f t="shared" si="27"/>
        <v>210454</v>
      </c>
      <c r="X239" s="1">
        <f t="shared" si="28"/>
        <v>-9.25</v>
      </c>
      <c r="Y239" s="1">
        <f t="shared" si="29"/>
        <v>3.1063000000000001</v>
      </c>
      <c r="Z239">
        <f t="shared" si="30"/>
        <v>0</v>
      </c>
    </row>
    <row r="240" spans="1:26" x14ac:dyDescent="0.2">
      <c r="A240">
        <f t="shared" si="31"/>
        <v>238</v>
      </c>
      <c r="B240">
        <v>2014</v>
      </c>
      <c r="C240" t="s">
        <v>50</v>
      </c>
      <c r="D240" t="s">
        <v>51</v>
      </c>
      <c r="E240">
        <v>4</v>
      </c>
      <c r="F240" s="2">
        <v>51</v>
      </c>
      <c r="G240" s="2" t="s">
        <v>36</v>
      </c>
      <c r="H240" s="2" t="s">
        <v>66</v>
      </c>
      <c r="I240" s="2" t="s">
        <v>30</v>
      </c>
      <c r="J240" s="2">
        <v>11</v>
      </c>
      <c r="K240" s="3">
        <v>198.4</v>
      </c>
      <c r="L240" s="3">
        <v>194.15</v>
      </c>
      <c r="M240" s="3">
        <v>198.36</v>
      </c>
      <c r="N240" s="3">
        <v>12453.568000000001</v>
      </c>
      <c r="O240" s="3">
        <v>12185</v>
      </c>
      <c r="P240" s="3">
        <v>781361</v>
      </c>
      <c r="Q240" s="3">
        <v>8.75</v>
      </c>
      <c r="R240" s="3">
        <v>12.085000000000001</v>
      </c>
      <c r="S240" s="3">
        <v>2.2498</v>
      </c>
      <c r="T240" s="1">
        <f t="shared" si="24"/>
        <v>4.25</v>
      </c>
      <c r="U240" s="1">
        <f t="shared" si="25"/>
        <v>99.18</v>
      </c>
      <c r="V240" s="1">
        <f t="shared" si="26"/>
        <v>268.56800000000112</v>
      </c>
      <c r="W240" s="1">
        <f t="shared" si="27"/>
        <v>390680.5</v>
      </c>
      <c r="X240" s="1">
        <f t="shared" si="28"/>
        <v>-3.3350000000000009</v>
      </c>
      <c r="Y240" s="1">
        <f t="shared" si="29"/>
        <v>1.1249</v>
      </c>
      <c r="Z240">
        <f t="shared" si="30"/>
        <v>1</v>
      </c>
    </row>
    <row r="241" spans="1:26" x14ac:dyDescent="0.2">
      <c r="A241">
        <f t="shared" si="31"/>
        <v>239</v>
      </c>
      <c r="B241">
        <v>2015</v>
      </c>
      <c r="C241" t="s">
        <v>64</v>
      </c>
      <c r="D241" t="s">
        <v>65</v>
      </c>
      <c r="E241">
        <v>4</v>
      </c>
      <c r="F241" s="2">
        <v>61</v>
      </c>
      <c r="G241" s="2" t="s">
        <v>38</v>
      </c>
      <c r="H241" s="2" t="s">
        <v>39</v>
      </c>
      <c r="I241" s="2" t="s">
        <v>30</v>
      </c>
      <c r="J241" s="2">
        <v>311</v>
      </c>
      <c r="K241" s="3">
        <v>220.6</v>
      </c>
      <c r="L241" s="3">
        <v>216.3</v>
      </c>
      <c r="M241" s="3">
        <v>218.38</v>
      </c>
      <c r="N241" s="3">
        <v>13847.062</v>
      </c>
      <c r="O241" s="3">
        <v>13576</v>
      </c>
      <c r="P241" s="3">
        <v>860223</v>
      </c>
      <c r="Q241" s="3">
        <v>7.25</v>
      </c>
      <c r="R241" s="3">
        <v>7</v>
      </c>
      <c r="S241" s="3">
        <v>3.3643000000000001</v>
      </c>
      <c r="T241" s="1">
        <f t="shared" si="24"/>
        <v>4.2999999999999829</v>
      </c>
      <c r="U241" s="1">
        <f t="shared" si="25"/>
        <v>109.19</v>
      </c>
      <c r="V241" s="1">
        <f t="shared" si="26"/>
        <v>271.0619999999999</v>
      </c>
      <c r="W241" s="1">
        <f t="shared" si="27"/>
        <v>430111.5</v>
      </c>
      <c r="X241" s="1">
        <f t="shared" si="28"/>
        <v>0.25</v>
      </c>
      <c r="Y241" s="1">
        <f t="shared" si="29"/>
        <v>1.68215</v>
      </c>
      <c r="Z241">
        <f t="shared" si="30"/>
        <v>1</v>
      </c>
    </row>
    <row r="242" spans="1:26" x14ac:dyDescent="0.2">
      <c r="A242">
        <f t="shared" si="31"/>
        <v>240</v>
      </c>
      <c r="B242">
        <v>2015</v>
      </c>
      <c r="C242" t="s">
        <v>88</v>
      </c>
      <c r="D242" t="s">
        <v>90</v>
      </c>
      <c r="E242">
        <v>4</v>
      </c>
      <c r="F242" s="2">
        <v>82</v>
      </c>
      <c r="G242" s="2" t="s">
        <v>31</v>
      </c>
      <c r="H242" s="2" t="s">
        <v>46</v>
      </c>
      <c r="I242" s="2" t="s">
        <v>41</v>
      </c>
      <c r="J242" s="2">
        <v>311</v>
      </c>
      <c r="K242" s="3">
        <v>218.87</v>
      </c>
      <c r="L242" s="3">
        <v>214.57</v>
      </c>
      <c r="M242" s="3">
        <v>51.3</v>
      </c>
      <c r="N242" s="3">
        <v>13738.469900000002</v>
      </c>
      <c r="O242" s="3">
        <v>13467</v>
      </c>
      <c r="P242" s="3">
        <v>202142</v>
      </c>
      <c r="Q242" s="3">
        <v>0</v>
      </c>
      <c r="R242" s="3">
        <v>0</v>
      </c>
      <c r="S242" s="3">
        <v>0</v>
      </c>
      <c r="T242" s="1">
        <f t="shared" si="24"/>
        <v>4.3000000000000114</v>
      </c>
      <c r="U242" s="1">
        <f t="shared" si="25"/>
        <v>25.65</v>
      </c>
      <c r="V242" s="1">
        <f t="shared" si="26"/>
        <v>271.46990000000187</v>
      </c>
      <c r="W242" s="1">
        <f t="shared" si="27"/>
        <v>101071</v>
      </c>
      <c r="X242" s="1">
        <f t="shared" si="28"/>
        <v>0</v>
      </c>
      <c r="Y242" s="1">
        <f t="shared" si="29"/>
        <v>0</v>
      </c>
      <c r="Z242">
        <f t="shared" si="30"/>
        <v>0</v>
      </c>
    </row>
    <row r="243" spans="1:26" x14ac:dyDescent="0.2">
      <c r="A243">
        <f t="shared" si="31"/>
        <v>241</v>
      </c>
      <c r="B243">
        <v>2015</v>
      </c>
      <c r="C243" t="s">
        <v>54</v>
      </c>
      <c r="D243" t="s">
        <v>69</v>
      </c>
      <c r="E243">
        <v>4</v>
      </c>
      <c r="F243" s="2">
        <v>112</v>
      </c>
      <c r="G243" s="2" t="s">
        <v>40</v>
      </c>
      <c r="H243" s="2" t="s">
        <v>39</v>
      </c>
      <c r="I243" s="2" t="s">
        <v>41</v>
      </c>
      <c r="J243" s="2">
        <v>311</v>
      </c>
      <c r="K243" s="3">
        <v>250.97</v>
      </c>
      <c r="L243" s="3">
        <v>246.63</v>
      </c>
      <c r="M243" s="3">
        <v>212.78</v>
      </c>
      <c r="N243" s="3">
        <v>15753.386900000001</v>
      </c>
      <c r="O243" s="3">
        <v>15479</v>
      </c>
      <c r="P243" s="3">
        <v>838171</v>
      </c>
      <c r="Q243" s="3">
        <v>22.5</v>
      </c>
      <c r="R243" s="3">
        <v>32.5</v>
      </c>
      <c r="S243" s="3">
        <v>207.72</v>
      </c>
      <c r="T243" s="1">
        <f t="shared" si="24"/>
        <v>4.3400000000000034</v>
      </c>
      <c r="U243" s="1">
        <f t="shared" si="25"/>
        <v>106.39</v>
      </c>
      <c r="V243" s="1">
        <f t="shared" si="26"/>
        <v>274.38690000000133</v>
      </c>
      <c r="W243" s="1">
        <f t="shared" si="27"/>
        <v>419085.5</v>
      </c>
      <c r="X243" s="1">
        <f t="shared" si="28"/>
        <v>-10</v>
      </c>
      <c r="Y243" s="1">
        <f t="shared" si="29"/>
        <v>103.86</v>
      </c>
      <c r="Z243">
        <f t="shared" si="30"/>
        <v>1</v>
      </c>
    </row>
    <row r="244" spans="1:26" x14ac:dyDescent="0.2">
      <c r="A244">
        <f t="shared" si="31"/>
        <v>242</v>
      </c>
      <c r="B244">
        <v>2015</v>
      </c>
      <c r="C244" t="s">
        <v>54</v>
      </c>
      <c r="D244" t="s">
        <v>69</v>
      </c>
      <c r="E244">
        <v>4</v>
      </c>
      <c r="F244" s="2">
        <v>61</v>
      </c>
      <c r="G244" s="2" t="s">
        <v>38</v>
      </c>
      <c r="H244" s="2" t="s">
        <v>39</v>
      </c>
      <c r="I244" s="2" t="s">
        <v>30</v>
      </c>
      <c r="J244" s="2">
        <v>311</v>
      </c>
      <c r="K244" s="3">
        <v>251.02</v>
      </c>
      <c r="L244" s="3">
        <v>246.63</v>
      </c>
      <c r="M244" s="3">
        <v>212.78</v>
      </c>
      <c r="N244" s="3">
        <v>15756.525400000002</v>
      </c>
      <c r="O244" s="3">
        <v>15479</v>
      </c>
      <c r="P244" s="3">
        <v>838171</v>
      </c>
      <c r="Q244" s="3">
        <v>41.875</v>
      </c>
      <c r="R244" s="3">
        <v>32.5</v>
      </c>
      <c r="S244" s="3">
        <v>207.72</v>
      </c>
      <c r="T244" s="1">
        <f t="shared" si="24"/>
        <v>4.3900000000000148</v>
      </c>
      <c r="U244" s="1">
        <f t="shared" si="25"/>
        <v>106.39</v>
      </c>
      <c r="V244" s="1">
        <f t="shared" si="26"/>
        <v>277.52540000000226</v>
      </c>
      <c r="W244" s="1">
        <f t="shared" si="27"/>
        <v>419085.5</v>
      </c>
      <c r="X244" s="1">
        <f t="shared" si="28"/>
        <v>9.375</v>
      </c>
      <c r="Y244" s="1">
        <f t="shared" si="29"/>
        <v>103.86</v>
      </c>
      <c r="Z244">
        <f t="shared" si="30"/>
        <v>1</v>
      </c>
    </row>
    <row r="245" spans="1:26" x14ac:dyDescent="0.2">
      <c r="A245">
        <f t="shared" si="31"/>
        <v>243</v>
      </c>
      <c r="B245">
        <v>2014</v>
      </c>
      <c r="C245" t="s">
        <v>50</v>
      </c>
      <c r="D245" t="s">
        <v>86</v>
      </c>
      <c r="E245">
        <v>4</v>
      </c>
      <c r="F245" s="2">
        <v>31</v>
      </c>
      <c r="G245" s="2" t="s">
        <v>28</v>
      </c>
      <c r="H245" s="2" t="s">
        <v>29</v>
      </c>
      <c r="I245" s="2" t="s">
        <v>30</v>
      </c>
      <c r="J245" s="2">
        <v>11</v>
      </c>
      <c r="K245" s="3">
        <v>156.43</v>
      </c>
      <c r="L245" s="3">
        <v>152.02000000000001</v>
      </c>
      <c r="M245" s="3">
        <v>208.65</v>
      </c>
      <c r="N245" s="3">
        <v>9819.1111000000001</v>
      </c>
      <c r="O245" s="3">
        <v>9541.27</v>
      </c>
      <c r="P245" s="3">
        <v>821938</v>
      </c>
      <c r="Q245" s="3">
        <v>0</v>
      </c>
      <c r="R245" s="3">
        <v>0</v>
      </c>
      <c r="S245" s="3">
        <v>0</v>
      </c>
      <c r="T245" s="1">
        <f t="shared" si="24"/>
        <v>4.4099999999999966</v>
      </c>
      <c r="U245" s="1">
        <f t="shared" si="25"/>
        <v>104.325</v>
      </c>
      <c r="V245" s="1">
        <f t="shared" si="26"/>
        <v>277.84109999999964</v>
      </c>
      <c r="W245" s="1">
        <f t="shared" si="27"/>
        <v>410969</v>
      </c>
      <c r="X245" s="1">
        <f t="shared" si="28"/>
        <v>0</v>
      </c>
      <c r="Y245" s="1">
        <f t="shared" si="29"/>
        <v>0</v>
      </c>
      <c r="Z245">
        <f t="shared" si="30"/>
        <v>0</v>
      </c>
    </row>
    <row r="246" spans="1:26" x14ac:dyDescent="0.2">
      <c r="A246">
        <f t="shared" si="31"/>
        <v>244</v>
      </c>
      <c r="B246">
        <v>2015</v>
      </c>
      <c r="C246" t="s">
        <v>72</v>
      </c>
      <c r="D246" t="s">
        <v>74</v>
      </c>
      <c r="E246">
        <v>4</v>
      </c>
      <c r="F246" s="2">
        <v>61</v>
      </c>
      <c r="G246" s="2" t="s">
        <v>38</v>
      </c>
      <c r="H246" s="2" t="s">
        <v>39</v>
      </c>
      <c r="I246" s="2" t="s">
        <v>30</v>
      </c>
      <c r="J246" s="2">
        <v>311</v>
      </c>
      <c r="K246" s="3">
        <v>178.96</v>
      </c>
      <c r="L246" s="3">
        <v>174.51</v>
      </c>
      <c r="M246" s="3">
        <v>222.67</v>
      </c>
      <c r="N246" s="3">
        <v>11233.319200000002</v>
      </c>
      <c r="O246" s="3">
        <v>10953</v>
      </c>
      <c r="P246" s="3">
        <v>877097</v>
      </c>
      <c r="Q246" s="3">
        <v>5.25</v>
      </c>
      <c r="R246" s="3">
        <v>13.05</v>
      </c>
      <c r="S246" s="3">
        <v>5.4372999999999996</v>
      </c>
      <c r="T246" s="1">
        <f t="shared" si="24"/>
        <v>4.4500000000000171</v>
      </c>
      <c r="U246" s="1">
        <f t="shared" si="25"/>
        <v>111.33499999999999</v>
      </c>
      <c r="V246" s="1">
        <f t="shared" si="26"/>
        <v>280.31920000000173</v>
      </c>
      <c r="W246" s="1">
        <f t="shared" si="27"/>
        <v>438548.5</v>
      </c>
      <c r="X246" s="1">
        <f t="shared" si="28"/>
        <v>-7.8000000000000007</v>
      </c>
      <c r="Y246" s="1">
        <f t="shared" si="29"/>
        <v>2.7186499999999998</v>
      </c>
      <c r="Z246">
        <f t="shared" si="30"/>
        <v>1</v>
      </c>
    </row>
    <row r="247" spans="1:26" x14ac:dyDescent="0.2">
      <c r="A247">
        <f t="shared" si="31"/>
        <v>245</v>
      </c>
      <c r="B247">
        <v>2015</v>
      </c>
      <c r="C247" t="s">
        <v>92</v>
      </c>
      <c r="D247" t="s">
        <v>93</v>
      </c>
      <c r="E247">
        <v>4</v>
      </c>
      <c r="F247" s="2">
        <v>41</v>
      </c>
      <c r="G247" s="2" t="s">
        <v>31</v>
      </c>
      <c r="H247" s="2" t="s">
        <v>62</v>
      </c>
      <c r="I247" s="2" t="s">
        <v>30</v>
      </c>
      <c r="J247" s="2">
        <v>311</v>
      </c>
      <c r="K247" s="3">
        <v>218.22</v>
      </c>
      <c r="L247" s="3">
        <v>213.77</v>
      </c>
      <c r="M247" s="3">
        <v>77.13</v>
      </c>
      <c r="N247" s="3">
        <v>13697.669400000001</v>
      </c>
      <c r="O247" s="3">
        <v>13417</v>
      </c>
      <c r="P247" s="3">
        <v>303850</v>
      </c>
      <c r="Q247" s="3">
        <v>32.75</v>
      </c>
      <c r="R247" s="3">
        <v>21.75</v>
      </c>
      <c r="S247" s="3">
        <v>29.549499999999998</v>
      </c>
      <c r="T247" s="1">
        <f t="shared" si="24"/>
        <v>4.4499999999999886</v>
      </c>
      <c r="U247" s="1">
        <f t="shared" si="25"/>
        <v>38.564999999999998</v>
      </c>
      <c r="V247" s="1">
        <f t="shared" si="26"/>
        <v>280.66940000000068</v>
      </c>
      <c r="W247" s="1">
        <f t="shared" si="27"/>
        <v>151925</v>
      </c>
      <c r="X247" s="1">
        <f t="shared" si="28"/>
        <v>11</v>
      </c>
      <c r="Y247" s="1">
        <f t="shared" si="29"/>
        <v>14.774749999999999</v>
      </c>
      <c r="Z247">
        <f t="shared" si="30"/>
        <v>1</v>
      </c>
    </row>
    <row r="248" spans="1:26" x14ac:dyDescent="0.2">
      <c r="A248">
        <f t="shared" si="31"/>
        <v>246</v>
      </c>
      <c r="B248">
        <v>2015</v>
      </c>
      <c r="C248" t="s">
        <v>72</v>
      </c>
      <c r="D248" t="s">
        <v>74</v>
      </c>
      <c r="E248">
        <v>4</v>
      </c>
      <c r="F248" s="2">
        <v>183</v>
      </c>
      <c r="G248" s="2" t="s">
        <v>36</v>
      </c>
      <c r="H248" s="2" t="s">
        <v>37</v>
      </c>
      <c r="I248" s="2" t="s">
        <v>33</v>
      </c>
      <c r="J248" s="2">
        <v>11</v>
      </c>
      <c r="K248" s="3">
        <v>178.97</v>
      </c>
      <c r="L248" s="3">
        <v>174.51</v>
      </c>
      <c r="M248" s="3">
        <v>222.67</v>
      </c>
      <c r="N248" s="3">
        <v>11233.946900000001</v>
      </c>
      <c r="O248" s="3">
        <v>10953</v>
      </c>
      <c r="P248" s="3">
        <v>877097</v>
      </c>
      <c r="Q248" s="3">
        <v>4.2</v>
      </c>
      <c r="R248" s="3">
        <v>13.05</v>
      </c>
      <c r="S248" s="3">
        <v>5.4372999999999996</v>
      </c>
      <c r="T248" s="1">
        <f t="shared" si="24"/>
        <v>4.460000000000008</v>
      </c>
      <c r="U248" s="1">
        <f t="shared" si="25"/>
        <v>111.33499999999999</v>
      </c>
      <c r="V248" s="1">
        <f t="shared" si="26"/>
        <v>280.94690000000082</v>
      </c>
      <c r="W248" s="1">
        <f t="shared" si="27"/>
        <v>438548.5</v>
      </c>
      <c r="X248" s="1">
        <f t="shared" si="28"/>
        <v>-8.8500000000000014</v>
      </c>
      <c r="Y248" s="1">
        <f t="shared" si="29"/>
        <v>2.7186499999999998</v>
      </c>
      <c r="Z248">
        <f t="shared" si="30"/>
        <v>0</v>
      </c>
    </row>
    <row r="249" spans="1:26" x14ac:dyDescent="0.2">
      <c r="A249">
        <f t="shared" si="31"/>
        <v>247</v>
      </c>
      <c r="B249">
        <v>2014</v>
      </c>
      <c r="C249" t="s">
        <v>50</v>
      </c>
      <c r="D249" t="s">
        <v>77</v>
      </c>
      <c r="E249">
        <v>4</v>
      </c>
      <c r="F249" s="2">
        <v>193</v>
      </c>
      <c r="G249" s="2" t="s">
        <v>40</v>
      </c>
      <c r="H249" s="2" t="s">
        <v>39</v>
      </c>
      <c r="I249" s="2" t="s">
        <v>33</v>
      </c>
      <c r="J249" s="2">
        <v>311</v>
      </c>
      <c r="K249" s="3">
        <v>221.63</v>
      </c>
      <c r="L249" s="3">
        <v>217.17</v>
      </c>
      <c r="M249" s="3">
        <v>97.19</v>
      </c>
      <c r="N249" s="3">
        <v>13911.715100000001</v>
      </c>
      <c r="O249" s="3">
        <v>13630</v>
      </c>
      <c r="P249" s="3">
        <v>382849</v>
      </c>
      <c r="Q249" s="3">
        <v>10.1675</v>
      </c>
      <c r="R249" s="3">
        <v>16.25</v>
      </c>
      <c r="S249" s="3">
        <v>60.879800000000003</v>
      </c>
      <c r="T249" s="1">
        <f t="shared" si="24"/>
        <v>4.460000000000008</v>
      </c>
      <c r="U249" s="1">
        <f t="shared" si="25"/>
        <v>48.594999999999999</v>
      </c>
      <c r="V249" s="1">
        <f t="shared" si="26"/>
        <v>281.71510000000126</v>
      </c>
      <c r="W249" s="1">
        <f t="shared" si="27"/>
        <v>191424.5</v>
      </c>
      <c r="X249" s="1">
        <f t="shared" si="28"/>
        <v>-6.0824999999999996</v>
      </c>
      <c r="Y249" s="1">
        <f t="shared" si="29"/>
        <v>30.439900000000002</v>
      </c>
      <c r="Z249">
        <f t="shared" si="30"/>
        <v>1</v>
      </c>
    </row>
    <row r="250" spans="1:26" x14ac:dyDescent="0.2">
      <c r="A250">
        <f t="shared" si="31"/>
        <v>248</v>
      </c>
      <c r="B250">
        <v>2015</v>
      </c>
      <c r="C250" t="s">
        <v>72</v>
      </c>
      <c r="D250" t="s">
        <v>74</v>
      </c>
      <c r="E250">
        <v>4</v>
      </c>
      <c r="F250" s="2">
        <v>92</v>
      </c>
      <c r="G250" s="2" t="s">
        <v>42</v>
      </c>
      <c r="H250" s="2" t="s">
        <v>43</v>
      </c>
      <c r="I250" s="2" t="s">
        <v>41</v>
      </c>
      <c r="J250" s="2">
        <v>311</v>
      </c>
      <c r="K250" s="3">
        <v>179.04</v>
      </c>
      <c r="L250" s="3">
        <v>174.51</v>
      </c>
      <c r="M250" s="3">
        <v>222.67</v>
      </c>
      <c r="N250" s="3">
        <v>11238.3408</v>
      </c>
      <c r="O250" s="3">
        <v>10953</v>
      </c>
      <c r="P250" s="3">
        <v>877097</v>
      </c>
      <c r="Q250" s="3">
        <v>3.15</v>
      </c>
      <c r="R250" s="3">
        <v>13.05</v>
      </c>
      <c r="S250" s="3">
        <v>5.4372999999999996</v>
      </c>
      <c r="T250" s="1">
        <f t="shared" si="24"/>
        <v>4.5300000000000011</v>
      </c>
      <c r="U250" s="1">
        <f t="shared" si="25"/>
        <v>111.33499999999999</v>
      </c>
      <c r="V250" s="1">
        <f t="shared" si="26"/>
        <v>285.34079999999994</v>
      </c>
      <c r="W250" s="1">
        <f t="shared" si="27"/>
        <v>438548.5</v>
      </c>
      <c r="X250" s="1">
        <f t="shared" si="28"/>
        <v>-9.9</v>
      </c>
      <c r="Y250" s="1">
        <f t="shared" si="29"/>
        <v>2.7186499999999998</v>
      </c>
      <c r="Z250">
        <f t="shared" si="30"/>
        <v>0</v>
      </c>
    </row>
    <row r="251" spans="1:26" x14ac:dyDescent="0.2">
      <c r="A251">
        <f t="shared" si="31"/>
        <v>249</v>
      </c>
      <c r="B251">
        <v>2015</v>
      </c>
      <c r="C251" t="s">
        <v>81</v>
      </c>
      <c r="D251" t="s">
        <v>82</v>
      </c>
      <c r="E251">
        <v>4</v>
      </c>
      <c r="F251" s="2">
        <v>163</v>
      </c>
      <c r="G251" s="2" t="s">
        <v>58</v>
      </c>
      <c r="H251" s="2" t="s">
        <v>59</v>
      </c>
      <c r="I251" s="2" t="s">
        <v>33</v>
      </c>
      <c r="J251" s="2">
        <v>311</v>
      </c>
      <c r="K251" s="3">
        <v>248.51</v>
      </c>
      <c r="L251" s="3">
        <v>243.95</v>
      </c>
      <c r="M251" s="3">
        <v>106.45</v>
      </c>
      <c r="N251" s="3">
        <v>15598.9727</v>
      </c>
      <c r="O251" s="3">
        <v>15311</v>
      </c>
      <c r="P251" s="3">
        <v>419314</v>
      </c>
      <c r="Q251" s="3">
        <v>2.8</v>
      </c>
      <c r="R251" s="3">
        <v>17.399999999999999</v>
      </c>
      <c r="S251" s="3">
        <v>31.9801</v>
      </c>
      <c r="T251" s="1">
        <f t="shared" si="24"/>
        <v>4.5600000000000023</v>
      </c>
      <c r="U251" s="1">
        <f t="shared" si="25"/>
        <v>53.225000000000001</v>
      </c>
      <c r="V251" s="1">
        <f t="shared" si="26"/>
        <v>287.97270000000026</v>
      </c>
      <c r="W251" s="1">
        <f t="shared" si="27"/>
        <v>209657</v>
      </c>
      <c r="X251" s="1">
        <f t="shared" si="28"/>
        <v>-14.599999999999998</v>
      </c>
      <c r="Y251" s="1">
        <f t="shared" si="29"/>
        <v>15.99005</v>
      </c>
      <c r="Z251">
        <f t="shared" si="30"/>
        <v>0</v>
      </c>
    </row>
    <row r="252" spans="1:26" x14ac:dyDescent="0.2">
      <c r="A252">
        <f t="shared" si="31"/>
        <v>250</v>
      </c>
      <c r="B252">
        <v>2014</v>
      </c>
      <c r="C252" t="s">
        <v>64</v>
      </c>
      <c r="D252" t="s">
        <v>70</v>
      </c>
      <c r="E252">
        <v>4</v>
      </c>
      <c r="F252" s="2">
        <v>41</v>
      </c>
      <c r="G252" s="2" t="s">
        <v>31</v>
      </c>
      <c r="H252" s="2" t="s">
        <v>62</v>
      </c>
      <c r="I252" s="2" t="s">
        <v>30</v>
      </c>
      <c r="J252" s="2">
        <v>311</v>
      </c>
      <c r="K252" s="3">
        <v>218.75</v>
      </c>
      <c r="L252" s="3">
        <v>214.18</v>
      </c>
      <c r="M252" s="3">
        <v>106.85</v>
      </c>
      <c r="N252" s="3">
        <v>13730.9375</v>
      </c>
      <c r="O252" s="3">
        <v>13442</v>
      </c>
      <c r="P252" s="3">
        <v>420908</v>
      </c>
      <c r="Q252" s="3">
        <v>4</v>
      </c>
      <c r="R252" s="3">
        <v>10</v>
      </c>
      <c r="S252" s="3">
        <v>6.2126000000000001</v>
      </c>
      <c r="T252" s="1">
        <f t="shared" si="24"/>
        <v>4.5699999999999932</v>
      </c>
      <c r="U252" s="1">
        <f t="shared" si="25"/>
        <v>53.424999999999997</v>
      </c>
      <c r="V252" s="1">
        <f t="shared" si="26"/>
        <v>288.9375</v>
      </c>
      <c r="W252" s="1">
        <f t="shared" si="27"/>
        <v>210454</v>
      </c>
      <c r="X252" s="1">
        <f t="shared" si="28"/>
        <v>-6</v>
      </c>
      <c r="Y252" s="1">
        <f t="shared" si="29"/>
        <v>3.1063000000000001</v>
      </c>
      <c r="Z252">
        <f t="shared" si="30"/>
        <v>0</v>
      </c>
    </row>
    <row r="253" spans="1:26" x14ac:dyDescent="0.2">
      <c r="A253">
        <f t="shared" si="31"/>
        <v>251</v>
      </c>
      <c r="B253">
        <v>2014</v>
      </c>
      <c r="C253" t="s">
        <v>64</v>
      </c>
      <c r="D253" t="s">
        <v>70</v>
      </c>
      <c r="E253">
        <v>4</v>
      </c>
      <c r="F253" s="2">
        <v>72</v>
      </c>
      <c r="G253" s="2" t="s">
        <v>47</v>
      </c>
      <c r="H253" s="2" t="s">
        <v>48</v>
      </c>
      <c r="I253" s="2" t="s">
        <v>41</v>
      </c>
      <c r="J253" s="2">
        <v>311</v>
      </c>
      <c r="K253" s="3">
        <v>218.75</v>
      </c>
      <c r="L253" s="3">
        <v>214.18</v>
      </c>
      <c r="M253" s="3">
        <v>106.85</v>
      </c>
      <c r="N253" s="3">
        <v>13730.9375</v>
      </c>
      <c r="O253" s="3">
        <v>13442</v>
      </c>
      <c r="P253" s="3">
        <v>420908</v>
      </c>
      <c r="Q253" s="3">
        <v>0.5</v>
      </c>
      <c r="R253" s="3">
        <v>10</v>
      </c>
      <c r="S253" s="3">
        <v>6.2126000000000001</v>
      </c>
      <c r="T253" s="1">
        <f t="shared" si="24"/>
        <v>4.5699999999999932</v>
      </c>
      <c r="U253" s="1">
        <f t="shared" si="25"/>
        <v>53.424999999999997</v>
      </c>
      <c r="V253" s="1">
        <f t="shared" si="26"/>
        <v>288.9375</v>
      </c>
      <c r="W253" s="1">
        <f t="shared" si="27"/>
        <v>210454</v>
      </c>
      <c r="X253" s="1">
        <f t="shared" si="28"/>
        <v>-9.5</v>
      </c>
      <c r="Y253" s="1">
        <f t="shared" si="29"/>
        <v>3.1063000000000001</v>
      </c>
      <c r="Z253">
        <f t="shared" si="30"/>
        <v>0</v>
      </c>
    </row>
    <row r="254" spans="1:26" x14ac:dyDescent="0.2">
      <c r="A254">
        <f t="shared" si="31"/>
        <v>252</v>
      </c>
      <c r="B254">
        <v>2014</v>
      </c>
      <c r="C254" t="s">
        <v>50</v>
      </c>
      <c r="D254" t="s">
        <v>87</v>
      </c>
      <c r="E254">
        <v>4</v>
      </c>
      <c r="F254" s="2">
        <v>41</v>
      </c>
      <c r="G254" s="2" t="s">
        <v>31</v>
      </c>
      <c r="H254" s="2" t="s">
        <v>62</v>
      </c>
      <c r="I254" s="2" t="s">
        <v>30</v>
      </c>
      <c r="J254" s="2">
        <v>311</v>
      </c>
      <c r="K254" s="3">
        <v>202.09</v>
      </c>
      <c r="L254" s="3">
        <v>197.4</v>
      </c>
      <c r="M254" s="3">
        <v>34.08</v>
      </c>
      <c r="N254" s="3">
        <v>12685.1893</v>
      </c>
      <c r="O254" s="3">
        <v>12389</v>
      </c>
      <c r="P254" s="3">
        <v>134269</v>
      </c>
      <c r="Q254" s="3">
        <v>7.75</v>
      </c>
      <c r="R254" s="3">
        <v>10.75</v>
      </c>
      <c r="S254" s="3">
        <v>17.947199999999999</v>
      </c>
      <c r="T254" s="1">
        <f t="shared" si="24"/>
        <v>4.6899999999999977</v>
      </c>
      <c r="U254" s="1">
        <f t="shared" si="25"/>
        <v>17.04</v>
      </c>
      <c r="V254" s="1">
        <f t="shared" si="26"/>
        <v>296.1893</v>
      </c>
      <c r="W254" s="1">
        <f t="shared" si="27"/>
        <v>67134.5</v>
      </c>
      <c r="X254" s="1">
        <f t="shared" si="28"/>
        <v>-3</v>
      </c>
      <c r="Y254" s="1">
        <f t="shared" si="29"/>
        <v>8.9735999999999994</v>
      </c>
      <c r="Z254">
        <f t="shared" si="30"/>
        <v>1</v>
      </c>
    </row>
    <row r="255" spans="1:26" x14ac:dyDescent="0.2">
      <c r="A255">
        <f t="shared" si="31"/>
        <v>253</v>
      </c>
      <c r="B255">
        <v>2015</v>
      </c>
      <c r="C255" t="s">
        <v>64</v>
      </c>
      <c r="D255" t="s">
        <v>91</v>
      </c>
      <c r="E255">
        <v>6</v>
      </c>
      <c r="F255" s="2">
        <v>112</v>
      </c>
      <c r="G255" s="2" t="s">
        <v>40</v>
      </c>
      <c r="H255" s="2" t="s">
        <v>39</v>
      </c>
      <c r="I255" s="2" t="s">
        <v>41</v>
      </c>
      <c r="J255" s="2">
        <v>311</v>
      </c>
      <c r="K255" s="3">
        <v>200.26</v>
      </c>
      <c r="L255" s="3">
        <v>195.3</v>
      </c>
      <c r="M255" s="3">
        <v>52.46</v>
      </c>
      <c r="N255" s="3">
        <v>12570.3202</v>
      </c>
      <c r="O255" s="3">
        <v>12258</v>
      </c>
      <c r="P255" s="3">
        <v>206693</v>
      </c>
      <c r="Q255" s="3">
        <v>12.833299999999999</v>
      </c>
      <c r="R255" s="3">
        <v>30</v>
      </c>
      <c r="S255" s="3">
        <v>49.622199999999999</v>
      </c>
      <c r="T255" s="1">
        <f t="shared" si="24"/>
        <v>4.9599999999999795</v>
      </c>
      <c r="U255" s="1">
        <f t="shared" si="25"/>
        <v>17.486666666666668</v>
      </c>
      <c r="V255" s="1">
        <f t="shared" si="26"/>
        <v>312.32020000000011</v>
      </c>
      <c r="W255" s="1">
        <f t="shared" si="27"/>
        <v>68897.666666666672</v>
      </c>
      <c r="X255" s="1">
        <f t="shared" si="28"/>
        <v>-17.166699999999999</v>
      </c>
      <c r="Y255" s="1">
        <f t="shared" si="29"/>
        <v>16.540733333333332</v>
      </c>
      <c r="Z255">
        <f t="shared" si="30"/>
        <v>1</v>
      </c>
    </row>
    <row r="256" spans="1:26" x14ac:dyDescent="0.2">
      <c r="A256">
        <f t="shared" si="31"/>
        <v>254</v>
      </c>
      <c r="B256">
        <v>2014</v>
      </c>
      <c r="C256" t="s">
        <v>50</v>
      </c>
      <c r="D256" t="s">
        <v>51</v>
      </c>
      <c r="E256">
        <v>4</v>
      </c>
      <c r="F256" s="2">
        <v>92</v>
      </c>
      <c r="G256" s="2" t="s">
        <v>42</v>
      </c>
      <c r="H256" s="2" t="s">
        <v>43</v>
      </c>
      <c r="I256" s="2" t="s">
        <v>41</v>
      </c>
      <c r="J256" s="2">
        <v>311</v>
      </c>
      <c r="K256" s="3">
        <v>199.16</v>
      </c>
      <c r="L256" s="3">
        <v>194.15</v>
      </c>
      <c r="M256" s="3">
        <v>198.36</v>
      </c>
      <c r="N256" s="3">
        <v>12501.2732</v>
      </c>
      <c r="O256" s="3">
        <v>12185</v>
      </c>
      <c r="P256" s="3">
        <v>781361</v>
      </c>
      <c r="Q256" s="3">
        <v>5.4175000000000004</v>
      </c>
      <c r="R256" s="3">
        <v>12.085000000000001</v>
      </c>
      <c r="S256" s="3">
        <v>2.2498</v>
      </c>
      <c r="T256" s="1">
        <f t="shared" si="24"/>
        <v>5.0099999999999909</v>
      </c>
      <c r="U256" s="1">
        <f t="shared" si="25"/>
        <v>99.18</v>
      </c>
      <c r="V256" s="1">
        <f t="shared" si="26"/>
        <v>316.27319999999963</v>
      </c>
      <c r="W256" s="1">
        <f t="shared" si="27"/>
        <v>390680.5</v>
      </c>
      <c r="X256" s="1">
        <f t="shared" si="28"/>
        <v>-6.6675000000000004</v>
      </c>
      <c r="Y256" s="1">
        <f t="shared" si="29"/>
        <v>1.1249</v>
      </c>
      <c r="Z256">
        <f t="shared" si="30"/>
        <v>1</v>
      </c>
    </row>
    <row r="257" spans="1:26" x14ac:dyDescent="0.2">
      <c r="A257">
        <f t="shared" si="31"/>
        <v>255</v>
      </c>
      <c r="B257">
        <v>2015</v>
      </c>
      <c r="C257" t="s">
        <v>72</v>
      </c>
      <c r="D257" t="s">
        <v>74</v>
      </c>
      <c r="E257">
        <v>4</v>
      </c>
      <c r="F257" s="2">
        <v>72</v>
      </c>
      <c r="G257" s="2" t="s">
        <v>47</v>
      </c>
      <c r="H257" s="2" t="s">
        <v>48</v>
      </c>
      <c r="I257" s="2" t="s">
        <v>41</v>
      </c>
      <c r="J257" s="2">
        <v>311</v>
      </c>
      <c r="K257" s="3">
        <v>179.62</v>
      </c>
      <c r="L257" s="3">
        <v>174.51</v>
      </c>
      <c r="M257" s="3">
        <v>222.67</v>
      </c>
      <c r="N257" s="3">
        <v>11274.7474</v>
      </c>
      <c r="O257" s="3">
        <v>10953</v>
      </c>
      <c r="P257" s="3">
        <v>877097</v>
      </c>
      <c r="Q257" s="3">
        <v>4.5</v>
      </c>
      <c r="R257" s="3">
        <v>13.05</v>
      </c>
      <c r="S257" s="3">
        <v>5.4372999999999996</v>
      </c>
      <c r="T257" s="1">
        <f t="shared" si="24"/>
        <v>5.1100000000000136</v>
      </c>
      <c r="U257" s="1">
        <f t="shared" si="25"/>
        <v>111.33499999999999</v>
      </c>
      <c r="V257" s="1">
        <f t="shared" si="26"/>
        <v>321.7474000000002</v>
      </c>
      <c r="W257" s="1">
        <f t="shared" si="27"/>
        <v>438548.5</v>
      </c>
      <c r="X257" s="1">
        <f t="shared" si="28"/>
        <v>-8.5500000000000007</v>
      </c>
      <c r="Y257" s="1">
        <f t="shared" si="29"/>
        <v>2.7186499999999998</v>
      </c>
      <c r="Z257">
        <f t="shared" si="30"/>
        <v>0</v>
      </c>
    </row>
    <row r="258" spans="1:26" x14ac:dyDescent="0.2">
      <c r="A258">
        <f t="shared" si="31"/>
        <v>256</v>
      </c>
      <c r="B258">
        <v>2015</v>
      </c>
      <c r="C258" t="s">
        <v>52</v>
      </c>
      <c r="D258" t="s">
        <v>79</v>
      </c>
      <c r="E258">
        <v>4</v>
      </c>
      <c r="F258" s="2">
        <v>72</v>
      </c>
      <c r="G258" s="2" t="s">
        <v>47</v>
      </c>
      <c r="H258" s="2" t="s">
        <v>48</v>
      </c>
      <c r="I258" s="2" t="s">
        <v>41</v>
      </c>
      <c r="J258" s="2">
        <v>311</v>
      </c>
      <c r="K258" s="3">
        <v>171.67</v>
      </c>
      <c r="L258" s="3">
        <v>166.53</v>
      </c>
      <c r="M258" s="3">
        <v>37.15</v>
      </c>
      <c r="N258" s="3">
        <v>10775.725899999999</v>
      </c>
      <c r="O258" s="3">
        <v>10452</v>
      </c>
      <c r="P258" s="3">
        <v>146343</v>
      </c>
      <c r="Q258" s="3">
        <v>51.25</v>
      </c>
      <c r="R258" s="3">
        <v>58.75</v>
      </c>
      <c r="S258" s="3">
        <v>35.233899999999998</v>
      </c>
      <c r="T258" s="1">
        <f t="shared" si="24"/>
        <v>5.1399999999999864</v>
      </c>
      <c r="U258" s="1">
        <f t="shared" si="25"/>
        <v>18.574999999999999</v>
      </c>
      <c r="V258" s="1">
        <f t="shared" si="26"/>
        <v>323.72589999999946</v>
      </c>
      <c r="W258" s="1">
        <f t="shared" si="27"/>
        <v>73171.5</v>
      </c>
      <c r="X258" s="1">
        <f t="shared" si="28"/>
        <v>-7.5</v>
      </c>
      <c r="Y258" s="1">
        <f t="shared" si="29"/>
        <v>17.616949999999999</v>
      </c>
      <c r="Z258">
        <f t="shared" si="30"/>
        <v>1</v>
      </c>
    </row>
    <row r="259" spans="1:26" x14ac:dyDescent="0.2">
      <c r="A259">
        <f t="shared" si="31"/>
        <v>257</v>
      </c>
      <c r="B259">
        <v>2014</v>
      </c>
      <c r="C259" t="s">
        <v>50</v>
      </c>
      <c r="D259" t="s">
        <v>77</v>
      </c>
      <c r="E259">
        <v>4</v>
      </c>
      <c r="F259" s="2">
        <v>82</v>
      </c>
      <c r="G259" s="2" t="s">
        <v>31</v>
      </c>
      <c r="H259" s="2" t="s">
        <v>46</v>
      </c>
      <c r="I259" s="2" t="s">
        <v>41</v>
      </c>
      <c r="J259" s="2">
        <v>311</v>
      </c>
      <c r="K259" s="3">
        <v>222.3</v>
      </c>
      <c r="L259" s="3">
        <v>217.17</v>
      </c>
      <c r="M259" s="3">
        <v>97.19</v>
      </c>
      <c r="N259" s="3">
        <v>13953.771000000001</v>
      </c>
      <c r="O259" s="3">
        <v>13630</v>
      </c>
      <c r="P259" s="3">
        <v>382849</v>
      </c>
      <c r="Q259" s="3">
        <v>6.5</v>
      </c>
      <c r="R259" s="3">
        <v>16.25</v>
      </c>
      <c r="S259" s="3">
        <v>60.879800000000003</v>
      </c>
      <c r="T259" s="1">
        <f t="shared" ref="T259:T322" si="32">K259-L259</f>
        <v>5.1300000000000239</v>
      </c>
      <c r="U259" s="1">
        <f t="shared" ref="U259:U322" si="33">(2*M259)/E259</f>
        <v>48.594999999999999</v>
      </c>
      <c r="V259" s="1">
        <f t="shared" ref="V259:V322" si="34">N259-O259</f>
        <v>323.77100000000064</v>
      </c>
      <c r="W259" s="1">
        <f t="shared" ref="W259:W322" si="35">(2*P259)/E259</f>
        <v>191424.5</v>
      </c>
      <c r="X259" s="1">
        <f t="shared" ref="X259:X322" si="36">Q259-R259</f>
        <v>-9.75</v>
      </c>
      <c r="Y259" s="1">
        <f t="shared" ref="Y259:Y322" si="37">(2*S259)/E259</f>
        <v>30.439900000000002</v>
      </c>
      <c r="Z259">
        <f t="shared" ref="Z259:Z322" si="38">IF(Q259&lt;5,0,1)</f>
        <v>1</v>
      </c>
    </row>
    <row r="260" spans="1:26" x14ac:dyDescent="0.2">
      <c r="A260">
        <f t="shared" ref="A260:A323" si="39">A259+1</f>
        <v>258</v>
      </c>
      <c r="B260">
        <v>2015</v>
      </c>
      <c r="C260" t="s">
        <v>52</v>
      </c>
      <c r="D260" t="s">
        <v>79</v>
      </c>
      <c r="E260">
        <v>4</v>
      </c>
      <c r="F260" s="2">
        <v>193</v>
      </c>
      <c r="G260" s="2" t="s">
        <v>40</v>
      </c>
      <c r="H260" s="2" t="s">
        <v>39</v>
      </c>
      <c r="I260" s="2" t="s">
        <v>33</v>
      </c>
      <c r="J260" s="2">
        <v>311</v>
      </c>
      <c r="K260" s="3">
        <v>171.71</v>
      </c>
      <c r="L260" s="3">
        <v>166.53</v>
      </c>
      <c r="M260" s="3">
        <v>37.15</v>
      </c>
      <c r="N260" s="3">
        <v>10778.236700000001</v>
      </c>
      <c r="O260" s="3">
        <v>10452</v>
      </c>
      <c r="P260" s="3">
        <v>146343</v>
      </c>
      <c r="Q260" s="3">
        <v>53.75</v>
      </c>
      <c r="R260" s="3">
        <v>58.75</v>
      </c>
      <c r="S260" s="3">
        <v>35.233899999999998</v>
      </c>
      <c r="T260" s="1">
        <f t="shared" si="32"/>
        <v>5.1800000000000068</v>
      </c>
      <c r="U260" s="1">
        <f t="shared" si="33"/>
        <v>18.574999999999999</v>
      </c>
      <c r="V260" s="1">
        <f t="shared" si="34"/>
        <v>326.23670000000129</v>
      </c>
      <c r="W260" s="1">
        <f t="shared" si="35"/>
        <v>73171.5</v>
      </c>
      <c r="X260" s="1">
        <f t="shared" si="36"/>
        <v>-5</v>
      </c>
      <c r="Y260" s="1">
        <f t="shared" si="37"/>
        <v>17.616949999999999</v>
      </c>
      <c r="Z260">
        <f t="shared" si="38"/>
        <v>1</v>
      </c>
    </row>
    <row r="261" spans="1:26" x14ac:dyDescent="0.2">
      <c r="A261">
        <f t="shared" si="39"/>
        <v>259</v>
      </c>
      <c r="B261">
        <v>2014</v>
      </c>
      <c r="C261" t="s">
        <v>88</v>
      </c>
      <c r="D261" t="s">
        <v>89</v>
      </c>
      <c r="E261">
        <v>4</v>
      </c>
      <c r="F261" s="2">
        <v>92</v>
      </c>
      <c r="G261" s="2" t="s">
        <v>42</v>
      </c>
      <c r="H261" s="2" t="s">
        <v>43</v>
      </c>
      <c r="I261" s="2" t="s">
        <v>41</v>
      </c>
      <c r="J261" s="2">
        <v>311</v>
      </c>
      <c r="K261" s="3">
        <v>156.18</v>
      </c>
      <c r="L261" s="3">
        <v>150.94999999999999</v>
      </c>
      <c r="M261" s="3">
        <v>162.88</v>
      </c>
      <c r="N261" s="3">
        <v>9803.4186000000009</v>
      </c>
      <c r="O261" s="3">
        <v>9474</v>
      </c>
      <c r="P261" s="3">
        <v>641596</v>
      </c>
      <c r="Q261" s="3">
        <v>0.47499999999999998</v>
      </c>
      <c r="R261" s="3">
        <v>1.25</v>
      </c>
      <c r="S261" s="3">
        <v>0.16339999999999999</v>
      </c>
      <c r="T261" s="1">
        <f t="shared" si="32"/>
        <v>5.2300000000000182</v>
      </c>
      <c r="U261" s="1">
        <f t="shared" si="33"/>
        <v>81.44</v>
      </c>
      <c r="V261" s="1">
        <f t="shared" si="34"/>
        <v>329.41860000000088</v>
      </c>
      <c r="W261" s="1">
        <f t="shared" si="35"/>
        <v>320798</v>
      </c>
      <c r="X261" s="1">
        <f t="shared" si="36"/>
        <v>-0.77500000000000002</v>
      </c>
      <c r="Y261" s="1">
        <f t="shared" si="37"/>
        <v>8.1699999999999995E-2</v>
      </c>
      <c r="Z261">
        <f t="shared" si="38"/>
        <v>0</v>
      </c>
    </row>
    <row r="262" spans="1:26" x14ac:dyDescent="0.2">
      <c r="A262">
        <f t="shared" si="39"/>
        <v>260</v>
      </c>
      <c r="B262">
        <v>2014</v>
      </c>
      <c r="C262" t="s">
        <v>52</v>
      </c>
      <c r="D262" t="s">
        <v>79</v>
      </c>
      <c r="E262">
        <v>4</v>
      </c>
      <c r="F262" s="2">
        <v>102</v>
      </c>
      <c r="G262" s="2" t="s">
        <v>36</v>
      </c>
      <c r="H262" s="2" t="s">
        <v>29</v>
      </c>
      <c r="I262" s="2" t="s">
        <v>41</v>
      </c>
      <c r="J262" s="2">
        <v>11</v>
      </c>
      <c r="K262" s="3">
        <v>170.37</v>
      </c>
      <c r="L262" s="3">
        <v>165.03</v>
      </c>
      <c r="M262" s="3">
        <v>19.100000000000001</v>
      </c>
      <c r="N262" s="3">
        <v>10694.124900000001</v>
      </c>
      <c r="O262" s="3">
        <v>10358</v>
      </c>
      <c r="P262" s="3">
        <v>75251</v>
      </c>
      <c r="Q262" s="3">
        <v>25</v>
      </c>
      <c r="R262" s="3">
        <v>70</v>
      </c>
      <c r="S262" s="3">
        <v>10.1486</v>
      </c>
      <c r="T262" s="1">
        <f t="shared" si="32"/>
        <v>5.3400000000000034</v>
      </c>
      <c r="U262" s="1">
        <f t="shared" si="33"/>
        <v>9.5500000000000007</v>
      </c>
      <c r="V262" s="1">
        <f t="shared" si="34"/>
        <v>336.12490000000071</v>
      </c>
      <c r="W262" s="1">
        <f t="shared" si="35"/>
        <v>37625.5</v>
      </c>
      <c r="X262" s="1">
        <f t="shared" si="36"/>
        <v>-45</v>
      </c>
      <c r="Y262" s="1">
        <f t="shared" si="37"/>
        <v>5.0743</v>
      </c>
      <c r="Z262">
        <f t="shared" si="38"/>
        <v>1</v>
      </c>
    </row>
    <row r="263" spans="1:26" x14ac:dyDescent="0.2">
      <c r="A263">
        <f t="shared" si="39"/>
        <v>261</v>
      </c>
      <c r="B263">
        <v>2014</v>
      </c>
      <c r="C263" t="s">
        <v>52</v>
      </c>
      <c r="D263" t="s">
        <v>79</v>
      </c>
      <c r="E263">
        <v>4</v>
      </c>
      <c r="F263" s="2">
        <v>142</v>
      </c>
      <c r="G263" s="2" t="s">
        <v>63</v>
      </c>
      <c r="H263" s="2" t="s">
        <v>46</v>
      </c>
      <c r="I263" s="2" t="s">
        <v>41</v>
      </c>
      <c r="J263" s="2">
        <v>3</v>
      </c>
      <c r="K263" s="3">
        <v>170.44</v>
      </c>
      <c r="L263" s="3">
        <v>165.03</v>
      </c>
      <c r="M263" s="3">
        <v>19.100000000000001</v>
      </c>
      <c r="N263" s="3">
        <v>10698.5188</v>
      </c>
      <c r="O263" s="3">
        <v>10358</v>
      </c>
      <c r="P263" s="3">
        <v>75251</v>
      </c>
      <c r="Q263" s="3">
        <v>30</v>
      </c>
      <c r="R263" s="3">
        <v>70</v>
      </c>
      <c r="S263" s="3">
        <v>10.1486</v>
      </c>
      <c r="T263" s="1">
        <f t="shared" si="32"/>
        <v>5.4099999999999966</v>
      </c>
      <c r="U263" s="1">
        <f t="shared" si="33"/>
        <v>9.5500000000000007</v>
      </c>
      <c r="V263" s="1">
        <f t="shared" si="34"/>
        <v>340.51879999999983</v>
      </c>
      <c r="W263" s="1">
        <f t="shared" si="35"/>
        <v>37625.5</v>
      </c>
      <c r="X263" s="1">
        <f t="shared" si="36"/>
        <v>-40</v>
      </c>
      <c r="Y263" s="1">
        <f t="shared" si="37"/>
        <v>5.0743</v>
      </c>
      <c r="Z263">
        <f t="shared" si="38"/>
        <v>1</v>
      </c>
    </row>
    <row r="264" spans="1:26" x14ac:dyDescent="0.2">
      <c r="A264">
        <f t="shared" si="39"/>
        <v>262</v>
      </c>
      <c r="B264">
        <v>2015</v>
      </c>
      <c r="C264" t="s">
        <v>92</v>
      </c>
      <c r="D264" t="s">
        <v>93</v>
      </c>
      <c r="E264">
        <v>4</v>
      </c>
      <c r="F264" s="2">
        <v>122</v>
      </c>
      <c r="G264" s="2" t="s">
        <v>75</v>
      </c>
      <c r="H264" s="2" t="s">
        <v>76</v>
      </c>
      <c r="I264" s="2" t="s">
        <v>41</v>
      </c>
      <c r="J264" s="2">
        <v>311</v>
      </c>
      <c r="K264" s="3">
        <v>219.2</v>
      </c>
      <c r="L264" s="3">
        <v>213.77</v>
      </c>
      <c r="M264" s="3">
        <v>77.13</v>
      </c>
      <c r="N264" s="3">
        <v>13759.183999999999</v>
      </c>
      <c r="O264" s="3">
        <v>13417</v>
      </c>
      <c r="P264" s="3">
        <v>303850</v>
      </c>
      <c r="Q264" s="3">
        <v>6.5</v>
      </c>
      <c r="R264" s="3">
        <v>21.75</v>
      </c>
      <c r="S264" s="3">
        <v>29.549499999999998</v>
      </c>
      <c r="T264" s="1">
        <f t="shared" si="32"/>
        <v>5.4299999999999784</v>
      </c>
      <c r="U264" s="1">
        <f t="shared" si="33"/>
        <v>38.564999999999998</v>
      </c>
      <c r="V264" s="1">
        <f t="shared" si="34"/>
        <v>342.18399999999929</v>
      </c>
      <c r="W264" s="1">
        <f t="shared" si="35"/>
        <v>151925</v>
      </c>
      <c r="X264" s="1">
        <f t="shared" si="36"/>
        <v>-15.25</v>
      </c>
      <c r="Y264" s="1">
        <f t="shared" si="37"/>
        <v>14.774749999999999</v>
      </c>
      <c r="Z264">
        <f t="shared" si="38"/>
        <v>1</v>
      </c>
    </row>
    <row r="265" spans="1:26" x14ac:dyDescent="0.2">
      <c r="A265">
        <f t="shared" si="39"/>
        <v>263</v>
      </c>
      <c r="B265">
        <v>2014</v>
      </c>
      <c r="C265" t="s">
        <v>64</v>
      </c>
      <c r="D265" t="s">
        <v>65</v>
      </c>
      <c r="E265">
        <v>4</v>
      </c>
      <c r="F265" s="2">
        <v>183</v>
      </c>
      <c r="G265" s="2" t="s">
        <v>36</v>
      </c>
      <c r="H265" s="2" t="s">
        <v>37</v>
      </c>
      <c r="I265" s="2" t="s">
        <v>33</v>
      </c>
      <c r="J265" s="2">
        <v>11</v>
      </c>
      <c r="K265" s="3">
        <v>207.01</v>
      </c>
      <c r="L265" s="3">
        <v>201.48</v>
      </c>
      <c r="M265" s="3">
        <v>45.55</v>
      </c>
      <c r="N265" s="3">
        <v>12994.0177</v>
      </c>
      <c r="O265" s="3">
        <v>12646</v>
      </c>
      <c r="P265" s="3">
        <v>179407</v>
      </c>
      <c r="Q265" s="3">
        <v>3.5</v>
      </c>
      <c r="R265" s="3">
        <v>9.875</v>
      </c>
      <c r="S265" s="3">
        <v>2.2923</v>
      </c>
      <c r="T265" s="1">
        <f t="shared" si="32"/>
        <v>5.5300000000000011</v>
      </c>
      <c r="U265" s="1">
        <f t="shared" si="33"/>
        <v>22.774999999999999</v>
      </c>
      <c r="V265" s="1">
        <f t="shared" si="34"/>
        <v>348.01770000000033</v>
      </c>
      <c r="W265" s="1">
        <f t="shared" si="35"/>
        <v>89703.5</v>
      </c>
      <c r="X265" s="1">
        <f t="shared" si="36"/>
        <v>-6.375</v>
      </c>
      <c r="Y265" s="1">
        <f t="shared" si="37"/>
        <v>1.14615</v>
      </c>
      <c r="Z265">
        <f t="shared" si="38"/>
        <v>0</v>
      </c>
    </row>
    <row r="266" spans="1:26" x14ac:dyDescent="0.2">
      <c r="A266">
        <f t="shared" si="39"/>
        <v>264</v>
      </c>
      <c r="B266">
        <v>2015</v>
      </c>
      <c r="C266" t="s">
        <v>64</v>
      </c>
      <c r="D266" t="s">
        <v>94</v>
      </c>
      <c r="E266">
        <v>4</v>
      </c>
      <c r="F266" s="2">
        <v>112</v>
      </c>
      <c r="G266" s="2" t="s">
        <v>40</v>
      </c>
      <c r="H266" s="2" t="s">
        <v>39</v>
      </c>
      <c r="I266" s="2" t="s">
        <v>41</v>
      </c>
      <c r="J266" s="2">
        <v>311</v>
      </c>
      <c r="K266" s="3">
        <v>132.08000000000001</v>
      </c>
      <c r="L266" s="3">
        <v>126.4</v>
      </c>
      <c r="M266" s="3">
        <v>16.2</v>
      </c>
      <c r="N266" s="3">
        <v>8290.6616000000013</v>
      </c>
      <c r="O266" s="3">
        <v>7933.19</v>
      </c>
      <c r="P266" s="3">
        <v>63827</v>
      </c>
      <c r="Q266" s="3">
        <v>3.75</v>
      </c>
      <c r="R266" s="3">
        <v>10.9</v>
      </c>
      <c r="S266" s="3">
        <v>13.4703</v>
      </c>
      <c r="T266" s="1">
        <f t="shared" si="32"/>
        <v>5.6800000000000068</v>
      </c>
      <c r="U266" s="1">
        <f t="shared" si="33"/>
        <v>8.1</v>
      </c>
      <c r="V266" s="1">
        <f t="shared" si="34"/>
        <v>357.47160000000167</v>
      </c>
      <c r="W266" s="1">
        <f t="shared" si="35"/>
        <v>31913.5</v>
      </c>
      <c r="X266" s="1">
        <f t="shared" si="36"/>
        <v>-7.15</v>
      </c>
      <c r="Y266" s="1">
        <f t="shared" si="37"/>
        <v>6.73515</v>
      </c>
      <c r="Z266">
        <f t="shared" si="38"/>
        <v>0</v>
      </c>
    </row>
    <row r="267" spans="1:26" x14ac:dyDescent="0.2">
      <c r="A267">
        <f t="shared" si="39"/>
        <v>265</v>
      </c>
      <c r="B267">
        <v>2014</v>
      </c>
      <c r="C267" t="s">
        <v>52</v>
      </c>
      <c r="D267" t="s">
        <v>79</v>
      </c>
      <c r="E267">
        <v>4</v>
      </c>
      <c r="F267" s="2">
        <v>193</v>
      </c>
      <c r="G267" s="2" t="s">
        <v>40</v>
      </c>
      <c r="H267" s="2" t="s">
        <v>39</v>
      </c>
      <c r="I267" s="2" t="s">
        <v>33</v>
      </c>
      <c r="J267" s="2">
        <v>311</v>
      </c>
      <c r="K267" s="3">
        <v>170.75</v>
      </c>
      <c r="L267" s="3">
        <v>165.03</v>
      </c>
      <c r="M267" s="3">
        <v>19.100000000000001</v>
      </c>
      <c r="N267" s="3">
        <v>10717.977500000001</v>
      </c>
      <c r="O267" s="3">
        <v>10358</v>
      </c>
      <c r="P267" s="3">
        <v>75251</v>
      </c>
      <c r="Q267" s="3">
        <v>30</v>
      </c>
      <c r="R267" s="3">
        <v>70</v>
      </c>
      <c r="S267" s="3">
        <v>10.1486</v>
      </c>
      <c r="T267" s="1">
        <f t="shared" si="32"/>
        <v>5.7199999999999989</v>
      </c>
      <c r="U267" s="1">
        <f t="shared" si="33"/>
        <v>9.5500000000000007</v>
      </c>
      <c r="V267" s="1">
        <f t="shared" si="34"/>
        <v>359.97750000000087</v>
      </c>
      <c r="W267" s="1">
        <f t="shared" si="35"/>
        <v>37625.5</v>
      </c>
      <c r="X267" s="1">
        <f t="shared" si="36"/>
        <v>-40</v>
      </c>
      <c r="Y267" s="1">
        <f t="shared" si="37"/>
        <v>5.0743</v>
      </c>
      <c r="Z267">
        <f t="shared" si="38"/>
        <v>1</v>
      </c>
    </row>
    <row r="268" spans="1:26" x14ac:dyDescent="0.2">
      <c r="A268">
        <f t="shared" si="39"/>
        <v>266</v>
      </c>
      <c r="B268">
        <v>2015</v>
      </c>
      <c r="C268" t="s">
        <v>72</v>
      </c>
      <c r="D268" t="s">
        <v>73</v>
      </c>
      <c r="E268">
        <v>4</v>
      </c>
      <c r="F268" s="2">
        <v>112</v>
      </c>
      <c r="G268" s="2" t="s">
        <v>40</v>
      </c>
      <c r="H268" s="2" t="s">
        <v>39</v>
      </c>
      <c r="I268" s="2" t="s">
        <v>41</v>
      </c>
      <c r="J268" s="2">
        <v>311</v>
      </c>
      <c r="K268" s="3">
        <v>202.52</v>
      </c>
      <c r="L268" s="3">
        <v>196.81</v>
      </c>
      <c r="M268" s="3">
        <v>48.17</v>
      </c>
      <c r="N268" s="3">
        <v>12712.180400000001</v>
      </c>
      <c r="O268" s="3">
        <v>12352</v>
      </c>
      <c r="P268" s="3">
        <v>189801</v>
      </c>
      <c r="Q268" s="3">
        <v>2.2999999999999998</v>
      </c>
      <c r="R268" s="3">
        <v>6.9</v>
      </c>
      <c r="S268" s="3">
        <v>2.0556999999999999</v>
      </c>
      <c r="T268" s="1">
        <f t="shared" si="32"/>
        <v>5.710000000000008</v>
      </c>
      <c r="U268" s="1">
        <f t="shared" si="33"/>
        <v>24.085000000000001</v>
      </c>
      <c r="V268" s="1">
        <f t="shared" si="34"/>
        <v>360.1804000000011</v>
      </c>
      <c r="W268" s="1">
        <f t="shared" si="35"/>
        <v>94900.5</v>
      </c>
      <c r="X268" s="1">
        <f t="shared" si="36"/>
        <v>-4.6000000000000005</v>
      </c>
      <c r="Y268" s="1">
        <f t="shared" si="37"/>
        <v>1.0278499999999999</v>
      </c>
      <c r="Z268">
        <f t="shared" si="38"/>
        <v>0</v>
      </c>
    </row>
    <row r="269" spans="1:26" x14ac:dyDescent="0.2">
      <c r="A269">
        <f t="shared" si="39"/>
        <v>267</v>
      </c>
      <c r="B269">
        <v>2015</v>
      </c>
      <c r="C269" t="s">
        <v>64</v>
      </c>
      <c r="D269" t="s">
        <v>91</v>
      </c>
      <c r="E269">
        <v>6</v>
      </c>
      <c r="F269" s="2">
        <v>72</v>
      </c>
      <c r="G269" s="2" t="s">
        <v>47</v>
      </c>
      <c r="H269" s="2" t="s">
        <v>48</v>
      </c>
      <c r="I269" s="2" t="s">
        <v>41</v>
      </c>
      <c r="J269" s="2">
        <v>311</v>
      </c>
      <c r="K269" s="3">
        <v>201.19</v>
      </c>
      <c r="L269" s="3">
        <v>195.3</v>
      </c>
      <c r="M269" s="3">
        <v>52.46</v>
      </c>
      <c r="N269" s="3">
        <v>12628.6963</v>
      </c>
      <c r="O269" s="3">
        <v>12258</v>
      </c>
      <c r="P269" s="3">
        <v>206693</v>
      </c>
      <c r="Q269" s="3">
        <v>26.666699999999999</v>
      </c>
      <c r="R269" s="3">
        <v>30</v>
      </c>
      <c r="S269" s="3">
        <v>49.622199999999999</v>
      </c>
      <c r="T269" s="1">
        <f t="shared" si="32"/>
        <v>5.8899999999999864</v>
      </c>
      <c r="U269" s="1">
        <f t="shared" si="33"/>
        <v>17.486666666666668</v>
      </c>
      <c r="V269" s="1">
        <f t="shared" si="34"/>
        <v>370.69629999999961</v>
      </c>
      <c r="W269" s="1">
        <f t="shared" si="35"/>
        <v>68897.666666666672</v>
      </c>
      <c r="X269" s="1">
        <f t="shared" si="36"/>
        <v>-3.3333000000000013</v>
      </c>
      <c r="Y269" s="1">
        <f t="shared" si="37"/>
        <v>16.540733333333332</v>
      </c>
      <c r="Z269">
        <f t="shared" si="38"/>
        <v>1</v>
      </c>
    </row>
    <row r="270" spans="1:26" x14ac:dyDescent="0.2">
      <c r="A270">
        <f t="shared" si="39"/>
        <v>268</v>
      </c>
      <c r="B270">
        <v>2015</v>
      </c>
      <c r="C270" t="s">
        <v>88</v>
      </c>
      <c r="D270" t="s">
        <v>90</v>
      </c>
      <c r="E270">
        <v>4</v>
      </c>
      <c r="F270" s="2">
        <v>61</v>
      </c>
      <c r="G270" s="2" t="s">
        <v>38</v>
      </c>
      <c r="H270" s="2" t="s">
        <v>39</v>
      </c>
      <c r="I270" s="2" t="s">
        <v>30</v>
      </c>
      <c r="J270" s="2">
        <v>311</v>
      </c>
      <c r="K270" s="3">
        <v>220.48</v>
      </c>
      <c r="L270" s="3">
        <v>214.57</v>
      </c>
      <c r="M270" s="3">
        <v>51.3</v>
      </c>
      <c r="N270" s="3">
        <v>13839.5296</v>
      </c>
      <c r="O270" s="3">
        <v>13467</v>
      </c>
      <c r="P270" s="3">
        <v>202142</v>
      </c>
      <c r="Q270" s="3">
        <v>0</v>
      </c>
      <c r="R270" s="3">
        <v>0</v>
      </c>
      <c r="S270" s="3">
        <v>0</v>
      </c>
      <c r="T270" s="1">
        <f t="shared" si="32"/>
        <v>5.9099999999999966</v>
      </c>
      <c r="U270" s="1">
        <f t="shared" si="33"/>
        <v>25.65</v>
      </c>
      <c r="V270" s="1">
        <f t="shared" si="34"/>
        <v>372.52959999999985</v>
      </c>
      <c r="W270" s="1">
        <f t="shared" si="35"/>
        <v>101071</v>
      </c>
      <c r="X270" s="1">
        <f t="shared" si="36"/>
        <v>0</v>
      </c>
      <c r="Y270" s="1">
        <f t="shared" si="37"/>
        <v>0</v>
      </c>
      <c r="Z270">
        <f t="shared" si="38"/>
        <v>0</v>
      </c>
    </row>
    <row r="271" spans="1:26" x14ac:dyDescent="0.2">
      <c r="A271">
        <f t="shared" si="39"/>
        <v>269</v>
      </c>
      <c r="B271">
        <v>2014</v>
      </c>
      <c r="C271" t="s">
        <v>67</v>
      </c>
      <c r="D271" t="s">
        <v>68</v>
      </c>
      <c r="E271">
        <v>4</v>
      </c>
      <c r="F271" s="2">
        <v>21</v>
      </c>
      <c r="G271" s="2" t="s">
        <v>71</v>
      </c>
      <c r="H271" s="2" t="s">
        <v>66</v>
      </c>
      <c r="I271" s="2" t="s">
        <v>30</v>
      </c>
      <c r="J271" s="2">
        <v>711</v>
      </c>
      <c r="K271" s="3">
        <v>190.79</v>
      </c>
      <c r="L271" s="3">
        <v>184.84</v>
      </c>
      <c r="M271" s="1">
        <v>153.71</v>
      </c>
      <c r="N271" s="3">
        <v>11975.888300000001</v>
      </c>
      <c r="O271" s="3">
        <v>11601</v>
      </c>
      <c r="P271" s="1">
        <v>605499</v>
      </c>
      <c r="Q271" s="3">
        <v>37.81</v>
      </c>
      <c r="R271" s="3">
        <v>35.222499999999997</v>
      </c>
      <c r="S271" s="3">
        <v>66.884600000000006</v>
      </c>
      <c r="T271" s="1">
        <f t="shared" si="32"/>
        <v>5.9499999999999886</v>
      </c>
      <c r="U271" s="1">
        <f t="shared" si="33"/>
        <v>76.855000000000004</v>
      </c>
      <c r="V271" s="1">
        <f t="shared" si="34"/>
        <v>374.88830000000053</v>
      </c>
      <c r="W271" s="1">
        <f t="shared" si="35"/>
        <v>302749.5</v>
      </c>
      <c r="X271" s="1">
        <f t="shared" si="36"/>
        <v>2.5875000000000057</v>
      </c>
      <c r="Y271" s="1">
        <f t="shared" si="37"/>
        <v>33.442300000000003</v>
      </c>
      <c r="Z271">
        <f t="shared" si="38"/>
        <v>1</v>
      </c>
    </row>
    <row r="272" spans="1:26" x14ac:dyDescent="0.2">
      <c r="A272">
        <f t="shared" si="39"/>
        <v>270</v>
      </c>
      <c r="B272">
        <v>2014</v>
      </c>
      <c r="C272" t="s">
        <v>50</v>
      </c>
      <c r="D272" t="s">
        <v>77</v>
      </c>
      <c r="E272">
        <v>4</v>
      </c>
      <c r="F272" s="2">
        <v>92</v>
      </c>
      <c r="G272" s="2" t="s">
        <v>42</v>
      </c>
      <c r="H272" s="2" t="s">
        <v>43</v>
      </c>
      <c r="I272" s="2" t="s">
        <v>41</v>
      </c>
      <c r="J272" s="2">
        <v>311</v>
      </c>
      <c r="K272" s="3">
        <v>223.14</v>
      </c>
      <c r="L272" s="3">
        <v>217.17</v>
      </c>
      <c r="M272" s="3">
        <v>97.19</v>
      </c>
      <c r="N272" s="3">
        <v>14006.497799999999</v>
      </c>
      <c r="O272" s="3">
        <v>13630</v>
      </c>
      <c r="P272" s="3">
        <v>382849</v>
      </c>
      <c r="Q272" s="3">
        <v>10.4175</v>
      </c>
      <c r="R272" s="3">
        <v>16.25</v>
      </c>
      <c r="S272" s="3">
        <v>60.879800000000003</v>
      </c>
      <c r="T272" s="1">
        <f t="shared" si="32"/>
        <v>5.9699999999999989</v>
      </c>
      <c r="U272" s="1">
        <f t="shared" si="33"/>
        <v>48.594999999999999</v>
      </c>
      <c r="V272" s="1">
        <f t="shared" si="34"/>
        <v>376.49779999999919</v>
      </c>
      <c r="W272" s="1">
        <f t="shared" si="35"/>
        <v>191424.5</v>
      </c>
      <c r="X272" s="1">
        <f t="shared" si="36"/>
        <v>-5.8324999999999996</v>
      </c>
      <c r="Y272" s="1">
        <f t="shared" si="37"/>
        <v>30.439900000000002</v>
      </c>
      <c r="Z272">
        <f t="shared" si="38"/>
        <v>1</v>
      </c>
    </row>
    <row r="273" spans="1:26" x14ac:dyDescent="0.2">
      <c r="A273">
        <f t="shared" si="39"/>
        <v>271</v>
      </c>
      <c r="B273">
        <v>2015</v>
      </c>
      <c r="C273" t="s">
        <v>64</v>
      </c>
      <c r="D273" t="s">
        <v>94</v>
      </c>
      <c r="E273">
        <v>4</v>
      </c>
      <c r="F273" s="2">
        <v>173</v>
      </c>
      <c r="G273" s="2" t="s">
        <v>31</v>
      </c>
      <c r="H273" s="2" t="s">
        <v>32</v>
      </c>
      <c r="I273" s="2" t="s">
        <v>33</v>
      </c>
      <c r="J273" s="2">
        <v>311</v>
      </c>
      <c r="K273" s="3">
        <v>132.4</v>
      </c>
      <c r="L273" s="3">
        <v>126.4</v>
      </c>
      <c r="M273" s="3">
        <v>16.2</v>
      </c>
      <c r="N273" s="3">
        <v>8310.7480000000014</v>
      </c>
      <c r="O273" s="3">
        <v>7933.19</v>
      </c>
      <c r="P273" s="3">
        <v>63827</v>
      </c>
      <c r="Q273" s="3">
        <v>11</v>
      </c>
      <c r="R273" s="3">
        <v>10.9</v>
      </c>
      <c r="S273" s="3">
        <v>13.4703</v>
      </c>
      <c r="T273" s="1">
        <f t="shared" si="32"/>
        <v>6</v>
      </c>
      <c r="U273" s="1">
        <f t="shared" si="33"/>
        <v>8.1</v>
      </c>
      <c r="V273" s="1">
        <f t="shared" si="34"/>
        <v>377.55800000000181</v>
      </c>
      <c r="W273" s="1">
        <f t="shared" si="35"/>
        <v>31913.5</v>
      </c>
      <c r="X273" s="1">
        <f t="shared" si="36"/>
        <v>9.9999999999999645E-2</v>
      </c>
      <c r="Y273" s="1">
        <f t="shared" si="37"/>
        <v>6.73515</v>
      </c>
      <c r="Z273">
        <f t="shared" si="38"/>
        <v>1</v>
      </c>
    </row>
    <row r="274" spans="1:26" x14ac:dyDescent="0.2">
      <c r="A274">
        <f t="shared" si="39"/>
        <v>272</v>
      </c>
      <c r="B274">
        <v>2015</v>
      </c>
      <c r="C274" t="s">
        <v>34</v>
      </c>
      <c r="D274" t="s">
        <v>35</v>
      </c>
      <c r="E274">
        <v>4</v>
      </c>
      <c r="F274" s="2">
        <v>82</v>
      </c>
      <c r="G274" s="2" t="s">
        <v>31</v>
      </c>
      <c r="H274" s="2" t="s">
        <v>46</v>
      </c>
      <c r="I274" s="2" t="s">
        <v>41</v>
      </c>
      <c r="J274" s="2">
        <v>311</v>
      </c>
      <c r="K274" s="3">
        <v>133.65</v>
      </c>
      <c r="L274" s="3">
        <v>127.58</v>
      </c>
      <c r="M274" s="3">
        <v>1197.8900000000001</v>
      </c>
      <c r="N274" s="3">
        <v>8389.210500000001</v>
      </c>
      <c r="O274" s="3">
        <v>8007.33</v>
      </c>
      <c r="P274" s="3">
        <v>4718559</v>
      </c>
      <c r="Q274" s="3">
        <v>0</v>
      </c>
      <c r="R274" s="3">
        <v>0</v>
      </c>
      <c r="S274" s="3">
        <v>0</v>
      </c>
      <c r="T274" s="1">
        <f t="shared" si="32"/>
        <v>6.0700000000000074</v>
      </c>
      <c r="U274" s="1">
        <f t="shared" si="33"/>
        <v>598.94500000000005</v>
      </c>
      <c r="V274" s="1">
        <f t="shared" si="34"/>
        <v>381.88050000000112</v>
      </c>
      <c r="W274" s="1">
        <f t="shared" si="35"/>
        <v>2359279.5</v>
      </c>
      <c r="X274" s="1">
        <f t="shared" si="36"/>
        <v>0</v>
      </c>
      <c r="Y274" s="1">
        <f t="shared" si="37"/>
        <v>0</v>
      </c>
      <c r="Z274">
        <f t="shared" si="38"/>
        <v>0</v>
      </c>
    </row>
    <row r="275" spans="1:26" x14ac:dyDescent="0.2">
      <c r="A275">
        <f t="shared" si="39"/>
        <v>273</v>
      </c>
      <c r="B275">
        <v>2015</v>
      </c>
      <c r="C275" t="s">
        <v>72</v>
      </c>
      <c r="D275" t="s">
        <v>74</v>
      </c>
      <c r="E275">
        <v>4</v>
      </c>
      <c r="F275" s="2">
        <v>51</v>
      </c>
      <c r="G275" s="2" t="s">
        <v>36</v>
      </c>
      <c r="H275" s="2" t="s">
        <v>66</v>
      </c>
      <c r="I275" s="2" t="s">
        <v>30</v>
      </c>
      <c r="J275" s="2">
        <v>11</v>
      </c>
      <c r="K275" s="3">
        <v>180.59</v>
      </c>
      <c r="L275" s="3">
        <v>174.51</v>
      </c>
      <c r="M275" s="3">
        <v>222.67</v>
      </c>
      <c r="N275" s="3">
        <v>11335.634300000002</v>
      </c>
      <c r="O275" s="3">
        <v>10953</v>
      </c>
      <c r="P275" s="3">
        <v>877097</v>
      </c>
      <c r="Q275" s="3">
        <v>9.6999999999999993</v>
      </c>
      <c r="R275" s="3">
        <v>13.05</v>
      </c>
      <c r="S275" s="3">
        <v>5.4372999999999996</v>
      </c>
      <c r="T275" s="1">
        <f t="shared" si="32"/>
        <v>6.0800000000000125</v>
      </c>
      <c r="U275" s="1">
        <f t="shared" si="33"/>
        <v>111.33499999999999</v>
      </c>
      <c r="V275" s="1">
        <f t="shared" si="34"/>
        <v>382.63430000000153</v>
      </c>
      <c r="W275" s="1">
        <f t="shared" si="35"/>
        <v>438548.5</v>
      </c>
      <c r="X275" s="1">
        <f t="shared" si="36"/>
        <v>-3.3500000000000014</v>
      </c>
      <c r="Y275" s="1">
        <f t="shared" si="37"/>
        <v>2.7186499999999998</v>
      </c>
      <c r="Z275">
        <f t="shared" si="38"/>
        <v>1</v>
      </c>
    </row>
    <row r="276" spans="1:26" x14ac:dyDescent="0.2">
      <c r="A276">
        <f t="shared" si="39"/>
        <v>274</v>
      </c>
      <c r="B276">
        <v>2014</v>
      </c>
      <c r="C276" t="s">
        <v>64</v>
      </c>
      <c r="D276" t="s">
        <v>65</v>
      </c>
      <c r="E276">
        <v>4</v>
      </c>
      <c r="F276" s="2">
        <v>61</v>
      </c>
      <c r="G276" s="2" t="s">
        <v>38</v>
      </c>
      <c r="H276" s="2" t="s">
        <v>39</v>
      </c>
      <c r="I276" s="2" t="s">
        <v>30</v>
      </c>
      <c r="J276" s="2">
        <v>311</v>
      </c>
      <c r="K276" s="3">
        <v>207.57</v>
      </c>
      <c r="L276" s="3">
        <v>201.48</v>
      </c>
      <c r="M276" s="3">
        <v>45.55</v>
      </c>
      <c r="N276" s="3">
        <v>13029.168900000001</v>
      </c>
      <c r="O276" s="3">
        <v>12646</v>
      </c>
      <c r="P276" s="3">
        <v>179407</v>
      </c>
      <c r="Q276" s="3">
        <v>6</v>
      </c>
      <c r="R276" s="3">
        <v>9.875</v>
      </c>
      <c r="S276" s="3">
        <v>2.2923</v>
      </c>
      <c r="T276" s="1">
        <f t="shared" si="32"/>
        <v>6.0900000000000034</v>
      </c>
      <c r="U276" s="1">
        <f t="shared" si="33"/>
        <v>22.774999999999999</v>
      </c>
      <c r="V276" s="1">
        <f t="shared" si="34"/>
        <v>383.16890000000058</v>
      </c>
      <c r="W276" s="1">
        <f t="shared" si="35"/>
        <v>89703.5</v>
      </c>
      <c r="X276" s="1">
        <f t="shared" si="36"/>
        <v>-3.875</v>
      </c>
      <c r="Y276" s="1">
        <f t="shared" si="37"/>
        <v>1.14615</v>
      </c>
      <c r="Z276">
        <f t="shared" si="38"/>
        <v>1</v>
      </c>
    </row>
    <row r="277" spans="1:26" x14ac:dyDescent="0.2">
      <c r="A277">
        <f t="shared" si="39"/>
        <v>275</v>
      </c>
      <c r="B277">
        <v>2014</v>
      </c>
      <c r="C277" t="s">
        <v>64</v>
      </c>
      <c r="D277" t="s">
        <v>70</v>
      </c>
      <c r="E277">
        <v>4</v>
      </c>
      <c r="F277" s="2">
        <v>153</v>
      </c>
      <c r="G277" s="2" t="s">
        <v>44</v>
      </c>
      <c r="H277" s="2" t="s">
        <v>45</v>
      </c>
      <c r="I277" s="2" t="s">
        <v>33</v>
      </c>
      <c r="J277" s="2">
        <v>3711</v>
      </c>
      <c r="K277" s="3">
        <v>220.33</v>
      </c>
      <c r="L277" s="3">
        <v>214.18</v>
      </c>
      <c r="M277" s="3">
        <v>106.85</v>
      </c>
      <c r="N277" s="3">
        <v>13830.114100000001</v>
      </c>
      <c r="O277" s="3">
        <v>13442</v>
      </c>
      <c r="P277" s="3">
        <v>420908</v>
      </c>
      <c r="Q277" s="3">
        <v>4</v>
      </c>
      <c r="R277" s="3">
        <v>10</v>
      </c>
      <c r="S277" s="3">
        <v>6.2126000000000001</v>
      </c>
      <c r="T277" s="1">
        <f t="shared" si="32"/>
        <v>6.1500000000000057</v>
      </c>
      <c r="U277" s="1">
        <f t="shared" si="33"/>
        <v>53.424999999999997</v>
      </c>
      <c r="V277" s="1">
        <f t="shared" si="34"/>
        <v>388.11410000000069</v>
      </c>
      <c r="W277" s="1">
        <f t="shared" si="35"/>
        <v>210454</v>
      </c>
      <c r="X277" s="1">
        <f t="shared" si="36"/>
        <v>-6</v>
      </c>
      <c r="Y277" s="1">
        <f t="shared" si="37"/>
        <v>3.1063000000000001</v>
      </c>
      <c r="Z277">
        <f t="shared" si="38"/>
        <v>0</v>
      </c>
    </row>
    <row r="278" spans="1:26" x14ac:dyDescent="0.2">
      <c r="A278">
        <f t="shared" si="39"/>
        <v>276</v>
      </c>
      <c r="B278">
        <v>2015</v>
      </c>
      <c r="C278" t="s">
        <v>72</v>
      </c>
      <c r="D278" t="s">
        <v>73</v>
      </c>
      <c r="E278">
        <v>4</v>
      </c>
      <c r="F278" s="2">
        <v>92</v>
      </c>
      <c r="G278" s="2" t="s">
        <v>42</v>
      </c>
      <c r="H278" s="2" t="s">
        <v>43</v>
      </c>
      <c r="I278" s="2" t="s">
        <v>41</v>
      </c>
      <c r="J278" s="2">
        <v>311</v>
      </c>
      <c r="K278" s="3">
        <v>202.99</v>
      </c>
      <c r="L278" s="3">
        <v>196.81</v>
      </c>
      <c r="M278" s="3">
        <v>48.17</v>
      </c>
      <c r="N278" s="3">
        <v>12741.6823</v>
      </c>
      <c r="O278" s="3">
        <v>12352</v>
      </c>
      <c r="P278" s="3">
        <v>189801</v>
      </c>
      <c r="Q278" s="3">
        <v>1.6</v>
      </c>
      <c r="R278" s="3">
        <v>6.9</v>
      </c>
      <c r="S278" s="3">
        <v>2.0556999999999999</v>
      </c>
      <c r="T278" s="1">
        <f t="shared" si="32"/>
        <v>6.1800000000000068</v>
      </c>
      <c r="U278" s="1">
        <f t="shared" si="33"/>
        <v>24.085000000000001</v>
      </c>
      <c r="V278" s="1">
        <f t="shared" si="34"/>
        <v>389.6823000000004</v>
      </c>
      <c r="W278" s="1">
        <f t="shared" si="35"/>
        <v>94900.5</v>
      </c>
      <c r="X278" s="1">
        <f t="shared" si="36"/>
        <v>-5.3000000000000007</v>
      </c>
      <c r="Y278" s="1">
        <f t="shared" si="37"/>
        <v>1.0278499999999999</v>
      </c>
      <c r="Z278">
        <f t="shared" si="38"/>
        <v>0</v>
      </c>
    </row>
    <row r="279" spans="1:26" x14ac:dyDescent="0.2">
      <c r="A279">
        <f t="shared" si="39"/>
        <v>277</v>
      </c>
      <c r="B279">
        <v>2015</v>
      </c>
      <c r="C279" t="s">
        <v>81</v>
      </c>
      <c r="D279" t="s">
        <v>82</v>
      </c>
      <c r="E279">
        <v>4</v>
      </c>
      <c r="F279" s="2">
        <v>183</v>
      </c>
      <c r="G279" s="2" t="s">
        <v>36</v>
      </c>
      <c r="H279" s="2" t="s">
        <v>37</v>
      </c>
      <c r="I279" s="2" t="s">
        <v>33</v>
      </c>
      <c r="J279" s="2">
        <v>11</v>
      </c>
      <c r="K279" s="3">
        <v>250.19</v>
      </c>
      <c r="L279" s="3">
        <v>243.95</v>
      </c>
      <c r="M279" s="3">
        <v>106.45</v>
      </c>
      <c r="N279" s="3">
        <v>15704.426300000001</v>
      </c>
      <c r="O279" s="3">
        <v>15311</v>
      </c>
      <c r="P279" s="3">
        <v>419314</v>
      </c>
      <c r="Q279" s="3">
        <v>2.8</v>
      </c>
      <c r="R279" s="3">
        <v>17.399999999999999</v>
      </c>
      <c r="S279" s="3">
        <v>31.9801</v>
      </c>
      <c r="T279" s="1">
        <f t="shared" si="32"/>
        <v>6.2400000000000091</v>
      </c>
      <c r="U279" s="1">
        <f t="shared" si="33"/>
        <v>53.225000000000001</v>
      </c>
      <c r="V279" s="1">
        <f t="shared" si="34"/>
        <v>393.42630000000099</v>
      </c>
      <c r="W279" s="1">
        <f t="shared" si="35"/>
        <v>209657</v>
      </c>
      <c r="X279" s="1">
        <f t="shared" si="36"/>
        <v>-14.599999999999998</v>
      </c>
      <c r="Y279" s="1">
        <f t="shared" si="37"/>
        <v>15.99005</v>
      </c>
      <c r="Z279">
        <f t="shared" si="38"/>
        <v>0</v>
      </c>
    </row>
    <row r="280" spans="1:26" x14ac:dyDescent="0.2">
      <c r="A280">
        <f t="shared" si="39"/>
        <v>278</v>
      </c>
      <c r="B280">
        <v>2015</v>
      </c>
      <c r="C280" t="s">
        <v>92</v>
      </c>
      <c r="D280" t="s">
        <v>93</v>
      </c>
      <c r="E280">
        <v>4</v>
      </c>
      <c r="F280" s="2">
        <v>142</v>
      </c>
      <c r="G280" s="2" t="s">
        <v>63</v>
      </c>
      <c r="H280" s="2" t="s">
        <v>46</v>
      </c>
      <c r="I280" s="2" t="s">
        <v>41</v>
      </c>
      <c r="J280" s="2">
        <v>3</v>
      </c>
      <c r="K280" s="3">
        <v>220.25</v>
      </c>
      <c r="L280" s="3">
        <v>213.77</v>
      </c>
      <c r="M280" s="3">
        <v>77.13</v>
      </c>
      <c r="N280" s="3">
        <v>13825.092500000001</v>
      </c>
      <c r="O280" s="3">
        <v>13417</v>
      </c>
      <c r="P280" s="3">
        <v>303850</v>
      </c>
      <c r="Q280" s="3">
        <v>4.75</v>
      </c>
      <c r="R280" s="3">
        <v>21.75</v>
      </c>
      <c r="S280" s="3">
        <v>29.549499999999998</v>
      </c>
      <c r="T280" s="1">
        <f t="shared" si="32"/>
        <v>6.4799999999999898</v>
      </c>
      <c r="U280" s="1">
        <f t="shared" si="33"/>
        <v>38.564999999999998</v>
      </c>
      <c r="V280" s="1">
        <f t="shared" si="34"/>
        <v>408.09250000000065</v>
      </c>
      <c r="W280" s="1">
        <f t="shared" si="35"/>
        <v>151925</v>
      </c>
      <c r="X280" s="1">
        <f t="shared" si="36"/>
        <v>-17</v>
      </c>
      <c r="Y280" s="1">
        <f t="shared" si="37"/>
        <v>14.774749999999999</v>
      </c>
      <c r="Z280">
        <f t="shared" si="38"/>
        <v>0</v>
      </c>
    </row>
    <row r="281" spans="1:26" x14ac:dyDescent="0.2">
      <c r="A281">
        <f t="shared" si="39"/>
        <v>279</v>
      </c>
      <c r="B281">
        <v>2014</v>
      </c>
      <c r="C281" t="s">
        <v>52</v>
      </c>
      <c r="D281" t="s">
        <v>79</v>
      </c>
      <c r="E281">
        <v>4</v>
      </c>
      <c r="F281" s="2">
        <v>132</v>
      </c>
      <c r="G281" s="2" t="s">
        <v>49</v>
      </c>
      <c r="H281" s="2" t="s">
        <v>46</v>
      </c>
      <c r="I281" s="2" t="s">
        <v>41</v>
      </c>
      <c r="J281" s="2">
        <v>3</v>
      </c>
      <c r="K281" s="3">
        <v>171.53</v>
      </c>
      <c r="L281" s="3">
        <v>165.03</v>
      </c>
      <c r="M281" s="3">
        <v>19.100000000000001</v>
      </c>
      <c r="N281" s="3">
        <v>10766.938100000001</v>
      </c>
      <c r="O281" s="3">
        <v>10358</v>
      </c>
      <c r="P281" s="3">
        <v>75251</v>
      </c>
      <c r="Q281" s="3">
        <v>30</v>
      </c>
      <c r="R281" s="3">
        <v>70</v>
      </c>
      <c r="S281" s="3">
        <v>10.1486</v>
      </c>
      <c r="T281" s="1">
        <f t="shared" si="32"/>
        <v>6.5</v>
      </c>
      <c r="U281" s="1">
        <f t="shared" si="33"/>
        <v>9.5500000000000007</v>
      </c>
      <c r="V281" s="1">
        <f t="shared" si="34"/>
        <v>408.93810000000121</v>
      </c>
      <c r="W281" s="1">
        <f t="shared" si="35"/>
        <v>37625.5</v>
      </c>
      <c r="X281" s="1">
        <f t="shared" si="36"/>
        <v>-40</v>
      </c>
      <c r="Y281" s="1">
        <f t="shared" si="37"/>
        <v>5.0743</v>
      </c>
      <c r="Z281">
        <f t="shared" si="38"/>
        <v>1</v>
      </c>
    </row>
    <row r="282" spans="1:26" x14ac:dyDescent="0.2">
      <c r="A282">
        <f t="shared" si="39"/>
        <v>280</v>
      </c>
      <c r="B282">
        <v>2014</v>
      </c>
      <c r="C282" t="s">
        <v>64</v>
      </c>
      <c r="D282" t="s">
        <v>78</v>
      </c>
      <c r="E282">
        <v>4</v>
      </c>
      <c r="F282" s="2">
        <v>61</v>
      </c>
      <c r="G282" s="2" t="s">
        <v>38</v>
      </c>
      <c r="H282" s="2" t="s">
        <v>39</v>
      </c>
      <c r="I282" s="2" t="s">
        <v>30</v>
      </c>
      <c r="J282" s="2">
        <v>311</v>
      </c>
      <c r="K282" s="3">
        <v>202.12</v>
      </c>
      <c r="L282" s="3">
        <v>195.37</v>
      </c>
      <c r="M282" s="3">
        <v>228.55</v>
      </c>
      <c r="N282" s="3">
        <v>12687.072400000001</v>
      </c>
      <c r="O282" s="3">
        <v>12262</v>
      </c>
      <c r="P282" s="3">
        <v>900285</v>
      </c>
      <c r="Q282" s="3">
        <v>12</v>
      </c>
      <c r="R282" s="3">
        <v>15</v>
      </c>
      <c r="S282" s="3">
        <v>15.3675</v>
      </c>
      <c r="T282" s="1">
        <f t="shared" si="32"/>
        <v>6.75</v>
      </c>
      <c r="U282" s="1">
        <f t="shared" si="33"/>
        <v>114.27500000000001</v>
      </c>
      <c r="V282" s="1">
        <f t="shared" si="34"/>
        <v>425.07240000000093</v>
      </c>
      <c r="W282" s="1">
        <f t="shared" si="35"/>
        <v>450142.5</v>
      </c>
      <c r="X282" s="1">
        <f t="shared" si="36"/>
        <v>-3</v>
      </c>
      <c r="Y282" s="1">
        <f t="shared" si="37"/>
        <v>7.6837499999999999</v>
      </c>
      <c r="Z282">
        <f t="shared" si="38"/>
        <v>1</v>
      </c>
    </row>
    <row r="283" spans="1:26" x14ac:dyDescent="0.2">
      <c r="A283">
        <f t="shared" si="39"/>
        <v>281</v>
      </c>
      <c r="B283">
        <v>2014</v>
      </c>
      <c r="C283" t="s">
        <v>50</v>
      </c>
      <c r="D283" t="s">
        <v>87</v>
      </c>
      <c r="E283">
        <v>4</v>
      </c>
      <c r="F283" s="2">
        <v>163</v>
      </c>
      <c r="G283" s="2" t="s">
        <v>58</v>
      </c>
      <c r="H283" s="2" t="s">
        <v>59</v>
      </c>
      <c r="I283" s="2" t="s">
        <v>33</v>
      </c>
      <c r="J283" s="2">
        <v>311</v>
      </c>
      <c r="K283" s="3">
        <v>204.35</v>
      </c>
      <c r="L283" s="3">
        <v>197.4</v>
      </c>
      <c r="M283" s="3">
        <v>34.08</v>
      </c>
      <c r="N283" s="3">
        <v>12827.049500000001</v>
      </c>
      <c r="O283" s="3">
        <v>12389</v>
      </c>
      <c r="P283" s="3">
        <v>134269</v>
      </c>
      <c r="Q283" s="3">
        <v>3</v>
      </c>
      <c r="R283" s="3">
        <v>10.75</v>
      </c>
      <c r="S283" s="3">
        <v>17.947199999999999</v>
      </c>
      <c r="T283" s="1">
        <f t="shared" si="32"/>
        <v>6.9499999999999886</v>
      </c>
      <c r="U283" s="1">
        <f t="shared" si="33"/>
        <v>17.04</v>
      </c>
      <c r="V283" s="1">
        <f t="shared" si="34"/>
        <v>438.04950000000099</v>
      </c>
      <c r="W283" s="1">
        <f t="shared" si="35"/>
        <v>67134.5</v>
      </c>
      <c r="X283" s="1">
        <f t="shared" si="36"/>
        <v>-7.75</v>
      </c>
      <c r="Y283" s="1">
        <f t="shared" si="37"/>
        <v>8.9735999999999994</v>
      </c>
      <c r="Z283">
        <f t="shared" si="38"/>
        <v>0</v>
      </c>
    </row>
    <row r="284" spans="1:26" x14ac:dyDescent="0.2">
      <c r="A284">
        <f t="shared" si="39"/>
        <v>282</v>
      </c>
      <c r="B284">
        <v>2015</v>
      </c>
      <c r="C284" t="s">
        <v>72</v>
      </c>
      <c r="D284" t="s">
        <v>73</v>
      </c>
      <c r="E284">
        <v>4</v>
      </c>
      <c r="F284" s="2">
        <v>193</v>
      </c>
      <c r="G284" s="2" t="s">
        <v>40</v>
      </c>
      <c r="H284" s="2" t="s">
        <v>39</v>
      </c>
      <c r="I284" s="2" t="s">
        <v>33</v>
      </c>
      <c r="J284" s="2">
        <v>311</v>
      </c>
      <c r="K284" s="3">
        <v>203.88</v>
      </c>
      <c r="L284" s="3">
        <v>196.81</v>
      </c>
      <c r="M284" s="3">
        <v>48.17</v>
      </c>
      <c r="N284" s="3">
        <v>12797.5476</v>
      </c>
      <c r="O284" s="3">
        <v>12352</v>
      </c>
      <c r="P284" s="3">
        <v>189801</v>
      </c>
      <c r="Q284" s="3">
        <v>1.2250000000000001</v>
      </c>
      <c r="R284" s="3">
        <v>6.9</v>
      </c>
      <c r="S284" s="3">
        <v>2.0556999999999999</v>
      </c>
      <c r="T284" s="1">
        <f t="shared" si="32"/>
        <v>7.0699999999999932</v>
      </c>
      <c r="U284" s="1">
        <f t="shared" si="33"/>
        <v>24.085000000000001</v>
      </c>
      <c r="V284" s="1">
        <f t="shared" si="34"/>
        <v>445.54759999999987</v>
      </c>
      <c r="W284" s="1">
        <f t="shared" si="35"/>
        <v>94900.5</v>
      </c>
      <c r="X284" s="1">
        <f t="shared" si="36"/>
        <v>-5.6750000000000007</v>
      </c>
      <c r="Y284" s="1">
        <f t="shared" si="37"/>
        <v>1.0278499999999999</v>
      </c>
      <c r="Z284">
        <f t="shared" si="38"/>
        <v>0</v>
      </c>
    </row>
    <row r="285" spans="1:26" x14ac:dyDescent="0.2">
      <c r="A285">
        <f t="shared" si="39"/>
        <v>283</v>
      </c>
      <c r="B285">
        <v>2014</v>
      </c>
      <c r="C285" t="s">
        <v>88</v>
      </c>
      <c r="D285" t="s">
        <v>89</v>
      </c>
      <c r="E285">
        <v>4</v>
      </c>
      <c r="F285" s="2">
        <v>82</v>
      </c>
      <c r="G285" s="2" t="s">
        <v>31</v>
      </c>
      <c r="H285" s="2" t="s">
        <v>46</v>
      </c>
      <c r="I285" s="2" t="s">
        <v>41</v>
      </c>
      <c r="J285" s="2">
        <v>311</v>
      </c>
      <c r="K285" s="3">
        <v>158.05000000000001</v>
      </c>
      <c r="L285" s="3">
        <v>150.94999999999999</v>
      </c>
      <c r="M285" s="3">
        <v>162.88</v>
      </c>
      <c r="N285" s="3">
        <v>9920.7985000000008</v>
      </c>
      <c r="O285" s="3">
        <v>9474</v>
      </c>
      <c r="P285" s="3">
        <v>641596</v>
      </c>
      <c r="Q285" s="3">
        <v>0.92500000000000004</v>
      </c>
      <c r="R285" s="3">
        <v>1.25</v>
      </c>
      <c r="S285" s="3">
        <v>0.16339999999999999</v>
      </c>
      <c r="T285" s="1">
        <f t="shared" si="32"/>
        <v>7.1000000000000227</v>
      </c>
      <c r="U285" s="1">
        <f t="shared" si="33"/>
        <v>81.44</v>
      </c>
      <c r="V285" s="1">
        <f t="shared" si="34"/>
        <v>446.79850000000079</v>
      </c>
      <c r="W285" s="1">
        <f t="shared" si="35"/>
        <v>320798</v>
      </c>
      <c r="X285" s="1">
        <f t="shared" si="36"/>
        <v>-0.32499999999999996</v>
      </c>
      <c r="Y285" s="1">
        <f t="shared" si="37"/>
        <v>8.1699999999999995E-2</v>
      </c>
      <c r="Z285">
        <f t="shared" si="38"/>
        <v>0</v>
      </c>
    </row>
    <row r="286" spans="1:26" x14ac:dyDescent="0.2">
      <c r="A286">
        <f t="shared" si="39"/>
        <v>284</v>
      </c>
      <c r="B286">
        <v>2015</v>
      </c>
      <c r="C286" t="s">
        <v>72</v>
      </c>
      <c r="D286" t="s">
        <v>73</v>
      </c>
      <c r="E286">
        <v>4</v>
      </c>
      <c r="F286" s="2">
        <v>82</v>
      </c>
      <c r="G286" s="2" t="s">
        <v>31</v>
      </c>
      <c r="H286" s="2" t="s">
        <v>46</v>
      </c>
      <c r="I286" s="2" t="s">
        <v>41</v>
      </c>
      <c r="J286" s="2">
        <v>311</v>
      </c>
      <c r="K286" s="3">
        <v>204.02</v>
      </c>
      <c r="L286" s="3">
        <v>196.81</v>
      </c>
      <c r="M286" s="3">
        <v>48.17</v>
      </c>
      <c r="N286" s="3">
        <v>12806.335400000002</v>
      </c>
      <c r="O286" s="3">
        <v>12352</v>
      </c>
      <c r="P286" s="3">
        <v>189801</v>
      </c>
      <c r="Q286" s="3">
        <v>1.95</v>
      </c>
      <c r="R286" s="3">
        <v>6.9</v>
      </c>
      <c r="S286" s="3">
        <v>2.0556999999999999</v>
      </c>
      <c r="T286" s="1">
        <f t="shared" si="32"/>
        <v>7.210000000000008</v>
      </c>
      <c r="U286" s="1">
        <f t="shared" si="33"/>
        <v>24.085000000000001</v>
      </c>
      <c r="V286" s="1">
        <f t="shared" si="34"/>
        <v>454.33540000000175</v>
      </c>
      <c r="W286" s="1">
        <f t="shared" si="35"/>
        <v>94900.5</v>
      </c>
      <c r="X286" s="1">
        <f t="shared" si="36"/>
        <v>-4.95</v>
      </c>
      <c r="Y286" s="1">
        <f t="shared" si="37"/>
        <v>1.0278499999999999</v>
      </c>
      <c r="Z286">
        <f t="shared" si="38"/>
        <v>0</v>
      </c>
    </row>
    <row r="287" spans="1:26" x14ac:dyDescent="0.2">
      <c r="A287">
        <f t="shared" si="39"/>
        <v>285</v>
      </c>
      <c r="B287">
        <v>2014</v>
      </c>
      <c r="C287" t="s">
        <v>67</v>
      </c>
      <c r="D287" t="s">
        <v>68</v>
      </c>
      <c r="E287">
        <v>4</v>
      </c>
      <c r="F287" s="2">
        <v>132</v>
      </c>
      <c r="G287" s="2" t="s">
        <v>49</v>
      </c>
      <c r="H287" s="2" t="s">
        <v>46</v>
      </c>
      <c r="I287" s="2" t="s">
        <v>41</v>
      </c>
      <c r="J287" s="2">
        <v>3</v>
      </c>
      <c r="K287" s="3">
        <v>192.09</v>
      </c>
      <c r="L287" s="3">
        <v>184.84</v>
      </c>
      <c r="M287" s="1">
        <v>153.71</v>
      </c>
      <c r="N287" s="3">
        <v>12057.489300000001</v>
      </c>
      <c r="O287" s="3">
        <v>11601</v>
      </c>
      <c r="P287" s="1">
        <v>605499</v>
      </c>
      <c r="Q287" s="3">
        <v>25.7</v>
      </c>
      <c r="R287" s="3">
        <v>35.222499999999997</v>
      </c>
      <c r="S287" s="3">
        <v>66.884600000000006</v>
      </c>
      <c r="T287" s="1">
        <f t="shared" si="32"/>
        <v>7.25</v>
      </c>
      <c r="U287" s="1">
        <f t="shared" si="33"/>
        <v>76.855000000000004</v>
      </c>
      <c r="V287" s="1">
        <f t="shared" si="34"/>
        <v>456.48930000000109</v>
      </c>
      <c r="W287" s="1">
        <f t="shared" si="35"/>
        <v>302749.5</v>
      </c>
      <c r="X287" s="1">
        <f t="shared" si="36"/>
        <v>-9.5224999999999973</v>
      </c>
      <c r="Y287" s="1">
        <f t="shared" si="37"/>
        <v>33.442300000000003</v>
      </c>
      <c r="Z287">
        <f t="shared" si="38"/>
        <v>1</v>
      </c>
    </row>
    <row r="288" spans="1:26" x14ac:dyDescent="0.2">
      <c r="A288">
        <f t="shared" si="39"/>
        <v>286</v>
      </c>
      <c r="B288">
        <v>2015</v>
      </c>
      <c r="C288" t="s">
        <v>72</v>
      </c>
      <c r="D288" t="s">
        <v>73</v>
      </c>
      <c r="E288">
        <v>4</v>
      </c>
      <c r="F288" s="2">
        <v>183</v>
      </c>
      <c r="G288" s="2" t="s">
        <v>36</v>
      </c>
      <c r="H288" s="2" t="s">
        <v>37</v>
      </c>
      <c r="I288" s="2" t="s">
        <v>33</v>
      </c>
      <c r="J288" s="2">
        <v>11</v>
      </c>
      <c r="K288" s="3">
        <v>204.13</v>
      </c>
      <c r="L288" s="3">
        <v>196.81</v>
      </c>
      <c r="M288" s="3">
        <v>48.17</v>
      </c>
      <c r="N288" s="3">
        <v>12813.240100000001</v>
      </c>
      <c r="O288" s="3">
        <v>12352</v>
      </c>
      <c r="P288" s="3">
        <v>189801</v>
      </c>
      <c r="Q288" s="3">
        <v>3.375</v>
      </c>
      <c r="R288" s="3">
        <v>6.9</v>
      </c>
      <c r="S288" s="3">
        <v>2.0556999999999999</v>
      </c>
      <c r="T288" s="1">
        <f t="shared" si="32"/>
        <v>7.3199999999999932</v>
      </c>
      <c r="U288" s="1">
        <f t="shared" si="33"/>
        <v>24.085000000000001</v>
      </c>
      <c r="V288" s="1">
        <f t="shared" si="34"/>
        <v>461.24010000000089</v>
      </c>
      <c r="W288" s="1">
        <f t="shared" si="35"/>
        <v>94900.5</v>
      </c>
      <c r="X288" s="1">
        <f t="shared" si="36"/>
        <v>-3.5250000000000004</v>
      </c>
      <c r="Y288" s="1">
        <f t="shared" si="37"/>
        <v>1.0278499999999999</v>
      </c>
      <c r="Z288">
        <f t="shared" si="38"/>
        <v>0</v>
      </c>
    </row>
    <row r="289" spans="1:26" x14ac:dyDescent="0.2">
      <c r="A289">
        <f t="shared" si="39"/>
        <v>287</v>
      </c>
      <c r="B289">
        <v>2014</v>
      </c>
      <c r="C289" t="s">
        <v>50</v>
      </c>
      <c r="D289" t="s">
        <v>77</v>
      </c>
      <c r="E289">
        <v>4</v>
      </c>
      <c r="F289" s="2">
        <v>153</v>
      </c>
      <c r="G289" s="2" t="s">
        <v>44</v>
      </c>
      <c r="H289" s="2" t="s">
        <v>45</v>
      </c>
      <c r="I289" s="2" t="s">
        <v>33</v>
      </c>
      <c r="J289" s="2">
        <v>3711</v>
      </c>
      <c r="K289" s="3">
        <v>224.51</v>
      </c>
      <c r="L289" s="3">
        <v>217.17</v>
      </c>
      <c r="M289" s="3">
        <v>97.19</v>
      </c>
      <c r="N289" s="3">
        <v>14092.492700000001</v>
      </c>
      <c r="O289" s="3">
        <v>13630</v>
      </c>
      <c r="P289" s="3">
        <v>382849</v>
      </c>
      <c r="Q289" s="3">
        <v>6</v>
      </c>
      <c r="R289" s="3">
        <v>16.25</v>
      </c>
      <c r="S289" s="3">
        <v>60.879800000000003</v>
      </c>
      <c r="T289" s="1">
        <f t="shared" si="32"/>
        <v>7.3400000000000034</v>
      </c>
      <c r="U289" s="1">
        <f t="shared" si="33"/>
        <v>48.594999999999999</v>
      </c>
      <c r="V289" s="1">
        <f t="shared" si="34"/>
        <v>462.4927000000007</v>
      </c>
      <c r="W289" s="1">
        <f t="shared" si="35"/>
        <v>191424.5</v>
      </c>
      <c r="X289" s="1">
        <f t="shared" si="36"/>
        <v>-10.25</v>
      </c>
      <c r="Y289" s="1">
        <f t="shared" si="37"/>
        <v>30.439900000000002</v>
      </c>
      <c r="Z289">
        <f t="shared" si="38"/>
        <v>1</v>
      </c>
    </row>
    <row r="290" spans="1:26" x14ac:dyDescent="0.2">
      <c r="A290">
        <f t="shared" si="39"/>
        <v>288</v>
      </c>
      <c r="B290">
        <v>2014</v>
      </c>
      <c r="C290" t="s">
        <v>64</v>
      </c>
      <c r="D290" t="s">
        <v>78</v>
      </c>
      <c r="E290">
        <v>4</v>
      </c>
      <c r="F290" s="2">
        <v>112</v>
      </c>
      <c r="G290" s="2" t="s">
        <v>40</v>
      </c>
      <c r="H290" s="2" t="s">
        <v>39</v>
      </c>
      <c r="I290" s="2" t="s">
        <v>41</v>
      </c>
      <c r="J290" s="2">
        <v>311</v>
      </c>
      <c r="K290" s="3">
        <v>202.74</v>
      </c>
      <c r="L290" s="3">
        <v>195.37</v>
      </c>
      <c r="M290" s="3">
        <v>228.55</v>
      </c>
      <c r="N290" s="3">
        <v>12725.989800000001</v>
      </c>
      <c r="O290" s="3">
        <v>12262</v>
      </c>
      <c r="P290" s="3">
        <v>900285</v>
      </c>
      <c r="Q290" s="3">
        <v>7</v>
      </c>
      <c r="R290" s="3">
        <v>15</v>
      </c>
      <c r="S290" s="3">
        <v>15.3675</v>
      </c>
      <c r="T290" s="1">
        <f t="shared" si="32"/>
        <v>7.3700000000000045</v>
      </c>
      <c r="U290" s="1">
        <f t="shared" si="33"/>
        <v>114.27500000000001</v>
      </c>
      <c r="V290" s="1">
        <f t="shared" si="34"/>
        <v>463.9898000000012</v>
      </c>
      <c r="W290" s="1">
        <f t="shared" si="35"/>
        <v>450142.5</v>
      </c>
      <c r="X290" s="1">
        <f t="shared" si="36"/>
        <v>-8</v>
      </c>
      <c r="Y290" s="1">
        <f t="shared" si="37"/>
        <v>7.6837499999999999</v>
      </c>
      <c r="Z290">
        <f t="shared" si="38"/>
        <v>1</v>
      </c>
    </row>
    <row r="291" spans="1:26" x14ac:dyDescent="0.2">
      <c r="A291">
        <f t="shared" si="39"/>
        <v>289</v>
      </c>
      <c r="B291">
        <v>2014</v>
      </c>
      <c r="C291" t="s">
        <v>72</v>
      </c>
      <c r="D291" t="s">
        <v>73</v>
      </c>
      <c r="E291">
        <v>4</v>
      </c>
      <c r="F291" s="2">
        <v>92</v>
      </c>
      <c r="G291" s="2" t="s">
        <v>42</v>
      </c>
      <c r="H291" s="2" t="s">
        <v>43</v>
      </c>
      <c r="I291" s="2" t="s">
        <v>41</v>
      </c>
      <c r="J291" s="2">
        <v>311</v>
      </c>
      <c r="K291" s="3">
        <v>202.27</v>
      </c>
      <c r="L291" s="3">
        <v>194.83</v>
      </c>
      <c r="M291" s="3">
        <v>87.97</v>
      </c>
      <c r="N291" s="3">
        <v>12696.487900000002</v>
      </c>
      <c r="O291" s="3">
        <v>12228</v>
      </c>
      <c r="P291" s="3">
        <v>346541</v>
      </c>
      <c r="Q291" s="3">
        <v>5.2</v>
      </c>
      <c r="R291" s="3">
        <v>6.35</v>
      </c>
      <c r="S291" s="3">
        <v>1.4718</v>
      </c>
      <c r="T291" s="1">
        <f t="shared" si="32"/>
        <v>7.4399999999999977</v>
      </c>
      <c r="U291" s="1">
        <f t="shared" si="33"/>
        <v>43.984999999999999</v>
      </c>
      <c r="V291" s="1">
        <f t="shared" si="34"/>
        <v>468.4879000000019</v>
      </c>
      <c r="W291" s="1">
        <f t="shared" si="35"/>
        <v>173270.5</v>
      </c>
      <c r="X291" s="1">
        <f t="shared" si="36"/>
        <v>-1.1499999999999995</v>
      </c>
      <c r="Y291" s="1">
        <f t="shared" si="37"/>
        <v>0.7359</v>
      </c>
      <c r="Z291">
        <f t="shared" si="38"/>
        <v>1</v>
      </c>
    </row>
    <row r="292" spans="1:26" x14ac:dyDescent="0.2">
      <c r="A292">
        <f t="shared" si="39"/>
        <v>290</v>
      </c>
      <c r="B292">
        <v>2015</v>
      </c>
      <c r="C292" t="s">
        <v>88</v>
      </c>
      <c r="D292" t="s">
        <v>90</v>
      </c>
      <c r="E292">
        <v>4</v>
      </c>
      <c r="F292" s="2">
        <v>193</v>
      </c>
      <c r="G292" s="2" t="s">
        <v>40</v>
      </c>
      <c r="H292" s="2" t="s">
        <v>39</v>
      </c>
      <c r="I292" s="2" t="s">
        <v>33</v>
      </c>
      <c r="J292" s="2">
        <v>311</v>
      </c>
      <c r="K292" s="3">
        <v>222.2</v>
      </c>
      <c r="L292" s="3">
        <v>214.57</v>
      </c>
      <c r="M292" s="3">
        <v>51.3</v>
      </c>
      <c r="N292" s="3">
        <v>13947.494000000001</v>
      </c>
      <c r="O292" s="3">
        <v>13467</v>
      </c>
      <c r="P292" s="3">
        <v>202142</v>
      </c>
      <c r="Q292" s="3">
        <v>0</v>
      </c>
      <c r="R292" s="3">
        <v>0</v>
      </c>
      <c r="S292" s="3">
        <v>0</v>
      </c>
      <c r="T292" s="1">
        <f t="shared" si="32"/>
        <v>7.6299999999999955</v>
      </c>
      <c r="U292" s="1">
        <f t="shared" si="33"/>
        <v>25.65</v>
      </c>
      <c r="V292" s="1">
        <f t="shared" si="34"/>
        <v>480.4940000000006</v>
      </c>
      <c r="W292" s="1">
        <f t="shared" si="35"/>
        <v>101071</v>
      </c>
      <c r="X292" s="1">
        <f t="shared" si="36"/>
        <v>0</v>
      </c>
      <c r="Y292" s="1">
        <f t="shared" si="37"/>
        <v>0</v>
      </c>
      <c r="Z292">
        <f t="shared" si="38"/>
        <v>0</v>
      </c>
    </row>
    <row r="293" spans="1:26" x14ac:dyDescent="0.2">
      <c r="A293">
        <f t="shared" si="39"/>
        <v>291</v>
      </c>
      <c r="B293">
        <v>2014</v>
      </c>
      <c r="C293" t="s">
        <v>50</v>
      </c>
      <c r="D293" t="s">
        <v>87</v>
      </c>
      <c r="E293">
        <v>4</v>
      </c>
      <c r="F293" s="2">
        <v>153</v>
      </c>
      <c r="G293" s="2" t="s">
        <v>44</v>
      </c>
      <c r="H293" s="2" t="s">
        <v>45</v>
      </c>
      <c r="I293" s="2" t="s">
        <v>33</v>
      </c>
      <c r="J293" s="2">
        <v>3711</v>
      </c>
      <c r="K293" s="3">
        <v>205.14</v>
      </c>
      <c r="L293" s="3">
        <v>197.4</v>
      </c>
      <c r="M293" s="3">
        <v>34.08</v>
      </c>
      <c r="N293" s="3">
        <v>12876.6378</v>
      </c>
      <c r="O293" s="3">
        <v>12389</v>
      </c>
      <c r="P293" s="3">
        <v>134269</v>
      </c>
      <c r="Q293" s="3">
        <v>3</v>
      </c>
      <c r="R293" s="3">
        <v>10.75</v>
      </c>
      <c r="S293" s="3">
        <v>17.947199999999999</v>
      </c>
      <c r="T293" s="1">
        <f t="shared" si="32"/>
        <v>7.7399999999999807</v>
      </c>
      <c r="U293" s="1">
        <f t="shared" si="33"/>
        <v>17.04</v>
      </c>
      <c r="V293" s="1">
        <f t="shared" si="34"/>
        <v>487.63780000000042</v>
      </c>
      <c r="W293" s="1">
        <f t="shared" si="35"/>
        <v>67134.5</v>
      </c>
      <c r="X293" s="1">
        <f t="shared" si="36"/>
        <v>-7.75</v>
      </c>
      <c r="Y293" s="1">
        <f t="shared" si="37"/>
        <v>8.9735999999999994</v>
      </c>
      <c r="Z293">
        <f t="shared" si="38"/>
        <v>0</v>
      </c>
    </row>
    <row r="294" spans="1:26" x14ac:dyDescent="0.2">
      <c r="A294">
        <f t="shared" si="39"/>
        <v>292</v>
      </c>
      <c r="B294">
        <v>2015</v>
      </c>
      <c r="C294" t="s">
        <v>88</v>
      </c>
      <c r="D294" t="s">
        <v>90</v>
      </c>
      <c r="E294">
        <v>4</v>
      </c>
      <c r="F294" s="2">
        <v>72</v>
      </c>
      <c r="G294" s="2" t="s">
        <v>47</v>
      </c>
      <c r="H294" s="2" t="s">
        <v>48</v>
      </c>
      <c r="I294" s="2" t="s">
        <v>41</v>
      </c>
      <c r="J294" s="2">
        <v>311</v>
      </c>
      <c r="K294" s="3">
        <v>222.38</v>
      </c>
      <c r="L294" s="3">
        <v>214.57</v>
      </c>
      <c r="M294" s="3">
        <v>51.3</v>
      </c>
      <c r="N294" s="3">
        <v>13958.792600000001</v>
      </c>
      <c r="O294" s="3">
        <v>13467</v>
      </c>
      <c r="P294" s="3">
        <v>202142</v>
      </c>
      <c r="Q294" s="3">
        <v>0</v>
      </c>
      <c r="R294" s="3">
        <v>0</v>
      </c>
      <c r="S294" s="3">
        <v>0</v>
      </c>
      <c r="T294" s="1">
        <f t="shared" si="32"/>
        <v>7.8100000000000023</v>
      </c>
      <c r="U294" s="1">
        <f t="shared" si="33"/>
        <v>25.65</v>
      </c>
      <c r="V294" s="1">
        <f t="shared" si="34"/>
        <v>491.79260000000068</v>
      </c>
      <c r="W294" s="1">
        <f t="shared" si="35"/>
        <v>101071</v>
      </c>
      <c r="X294" s="1">
        <f t="shared" si="36"/>
        <v>0</v>
      </c>
      <c r="Y294" s="1">
        <f t="shared" si="37"/>
        <v>0</v>
      </c>
      <c r="Z294">
        <f t="shared" si="38"/>
        <v>0</v>
      </c>
    </row>
    <row r="295" spans="1:26" x14ac:dyDescent="0.2">
      <c r="A295">
        <f t="shared" si="39"/>
        <v>293</v>
      </c>
      <c r="B295">
        <v>2015</v>
      </c>
      <c r="C295" t="s">
        <v>64</v>
      </c>
      <c r="D295" t="s">
        <v>91</v>
      </c>
      <c r="E295">
        <v>6</v>
      </c>
      <c r="F295" s="2">
        <v>92</v>
      </c>
      <c r="G295" s="2" t="s">
        <v>42</v>
      </c>
      <c r="H295" s="2" t="s">
        <v>43</v>
      </c>
      <c r="I295" s="2" t="s">
        <v>41</v>
      </c>
      <c r="J295" s="2">
        <v>311</v>
      </c>
      <c r="K295" s="3">
        <v>203.22</v>
      </c>
      <c r="L295" s="3">
        <v>195.3</v>
      </c>
      <c r="M295" s="3">
        <v>52.46</v>
      </c>
      <c r="N295" s="3">
        <v>12756.119400000001</v>
      </c>
      <c r="O295" s="3">
        <v>12258</v>
      </c>
      <c r="P295" s="3">
        <v>206693</v>
      </c>
      <c r="Q295" s="3">
        <v>16.666699999999999</v>
      </c>
      <c r="R295" s="3">
        <v>30</v>
      </c>
      <c r="S295" s="3">
        <v>49.622199999999999</v>
      </c>
      <c r="T295" s="1">
        <f t="shared" si="32"/>
        <v>7.9199999999999875</v>
      </c>
      <c r="U295" s="1">
        <f t="shared" si="33"/>
        <v>17.486666666666668</v>
      </c>
      <c r="V295" s="1">
        <f t="shared" si="34"/>
        <v>498.11940000000141</v>
      </c>
      <c r="W295" s="1">
        <f t="shared" si="35"/>
        <v>68897.666666666672</v>
      </c>
      <c r="X295" s="1">
        <f t="shared" si="36"/>
        <v>-13.333300000000001</v>
      </c>
      <c r="Y295" s="1">
        <f t="shared" si="37"/>
        <v>16.540733333333332</v>
      </c>
      <c r="Z295">
        <f t="shared" si="38"/>
        <v>1</v>
      </c>
    </row>
    <row r="296" spans="1:26" x14ac:dyDescent="0.2">
      <c r="A296">
        <f t="shared" si="39"/>
        <v>294</v>
      </c>
      <c r="B296">
        <v>2015</v>
      </c>
      <c r="C296" t="s">
        <v>84</v>
      </c>
      <c r="D296" t="s">
        <v>85</v>
      </c>
      <c r="E296">
        <v>4</v>
      </c>
      <c r="F296" s="2">
        <v>41</v>
      </c>
      <c r="G296" s="2" t="s">
        <v>31</v>
      </c>
      <c r="H296" s="2" t="s">
        <v>62</v>
      </c>
      <c r="I296" s="2" t="s">
        <v>30</v>
      </c>
      <c r="J296" s="2">
        <v>311</v>
      </c>
      <c r="K296" s="3">
        <v>205.47</v>
      </c>
      <c r="L296" s="3">
        <v>197.54</v>
      </c>
      <c r="M296" s="3">
        <v>296.25</v>
      </c>
      <c r="N296" s="3">
        <v>12897.351900000001</v>
      </c>
      <c r="O296" s="3">
        <v>12398</v>
      </c>
      <c r="P296" s="3">
        <v>1166970</v>
      </c>
      <c r="Q296" s="3">
        <v>-2.8400000000000003E-17</v>
      </c>
      <c r="R296" s="3">
        <v>0.6875</v>
      </c>
      <c r="S296" s="3">
        <v>0.21049999999999999</v>
      </c>
      <c r="T296" s="1">
        <f t="shared" si="32"/>
        <v>7.9300000000000068</v>
      </c>
      <c r="U296" s="1">
        <f t="shared" si="33"/>
        <v>148.125</v>
      </c>
      <c r="V296" s="1">
        <f t="shared" si="34"/>
        <v>499.35190000000148</v>
      </c>
      <c r="W296" s="1">
        <f t="shared" si="35"/>
        <v>583485</v>
      </c>
      <c r="X296" s="1">
        <f t="shared" si="36"/>
        <v>-0.6875</v>
      </c>
      <c r="Y296" s="1">
        <f t="shared" si="37"/>
        <v>0.10525</v>
      </c>
      <c r="Z296">
        <f t="shared" si="38"/>
        <v>0</v>
      </c>
    </row>
    <row r="297" spans="1:26" x14ac:dyDescent="0.2">
      <c r="A297">
        <f t="shared" si="39"/>
        <v>295</v>
      </c>
      <c r="B297">
        <v>2015</v>
      </c>
      <c r="C297" t="s">
        <v>34</v>
      </c>
      <c r="D297" t="s">
        <v>35</v>
      </c>
      <c r="E297">
        <v>4</v>
      </c>
      <c r="F297" s="2">
        <v>153</v>
      </c>
      <c r="G297" s="2" t="s">
        <v>44</v>
      </c>
      <c r="H297" s="2" t="s">
        <v>45</v>
      </c>
      <c r="I297" s="2" t="s">
        <v>33</v>
      </c>
      <c r="J297" s="2">
        <v>3711</v>
      </c>
      <c r="K297" s="3">
        <v>135.55000000000001</v>
      </c>
      <c r="L297" s="3">
        <v>127.58</v>
      </c>
      <c r="M297" s="3">
        <v>1197.8900000000001</v>
      </c>
      <c r="N297" s="3">
        <v>8508.4735000000019</v>
      </c>
      <c r="O297" s="3">
        <v>8007.33</v>
      </c>
      <c r="P297" s="3">
        <v>4718559</v>
      </c>
      <c r="Q297" s="3">
        <v>0</v>
      </c>
      <c r="R297" s="3">
        <v>0</v>
      </c>
      <c r="S297" s="3">
        <v>0</v>
      </c>
      <c r="T297" s="1">
        <f t="shared" si="32"/>
        <v>7.9700000000000131</v>
      </c>
      <c r="U297" s="1">
        <f t="shared" si="33"/>
        <v>598.94500000000005</v>
      </c>
      <c r="V297" s="1">
        <f t="shared" si="34"/>
        <v>501.14350000000195</v>
      </c>
      <c r="W297" s="1">
        <f t="shared" si="35"/>
        <v>2359279.5</v>
      </c>
      <c r="X297" s="1">
        <f t="shared" si="36"/>
        <v>0</v>
      </c>
      <c r="Y297" s="1">
        <f t="shared" si="37"/>
        <v>0</v>
      </c>
      <c r="Z297">
        <f t="shared" si="38"/>
        <v>0</v>
      </c>
    </row>
    <row r="298" spans="1:26" x14ac:dyDescent="0.2">
      <c r="A298">
        <f t="shared" si="39"/>
        <v>296</v>
      </c>
      <c r="B298">
        <v>2015</v>
      </c>
      <c r="C298" t="s">
        <v>60</v>
      </c>
      <c r="D298" t="s">
        <v>61</v>
      </c>
      <c r="E298">
        <v>6</v>
      </c>
      <c r="F298" s="2">
        <v>61</v>
      </c>
      <c r="G298" s="2" t="s">
        <v>38</v>
      </c>
      <c r="H298" s="2" t="s">
        <v>39</v>
      </c>
      <c r="I298" s="2" t="s">
        <v>30</v>
      </c>
      <c r="J298" s="2">
        <v>311</v>
      </c>
      <c r="K298" s="3">
        <v>271.61</v>
      </c>
      <c r="L298" s="3">
        <v>263.64</v>
      </c>
      <c r="M298" s="3">
        <v>207.31</v>
      </c>
      <c r="N298" s="3">
        <v>17048.959700000003</v>
      </c>
      <c r="O298" s="3">
        <v>16547</v>
      </c>
      <c r="P298" s="3">
        <v>816614</v>
      </c>
      <c r="Q298" s="3">
        <v>25.666699999999999</v>
      </c>
      <c r="R298" s="3">
        <v>25.5</v>
      </c>
      <c r="S298" s="3">
        <v>40.421999999999997</v>
      </c>
      <c r="T298" s="1">
        <f t="shared" si="32"/>
        <v>7.9700000000000273</v>
      </c>
      <c r="U298" s="1">
        <f t="shared" si="33"/>
        <v>69.103333333333339</v>
      </c>
      <c r="V298" s="1">
        <f t="shared" si="34"/>
        <v>501.95970000000307</v>
      </c>
      <c r="W298" s="1">
        <f t="shared" si="35"/>
        <v>272204.66666666669</v>
      </c>
      <c r="X298" s="1">
        <f t="shared" si="36"/>
        <v>0.16669999999999874</v>
      </c>
      <c r="Y298" s="1">
        <f t="shared" si="37"/>
        <v>13.473999999999998</v>
      </c>
      <c r="Z298">
        <f t="shared" si="38"/>
        <v>1</v>
      </c>
    </row>
    <row r="299" spans="1:26" x14ac:dyDescent="0.2">
      <c r="A299">
        <f t="shared" si="39"/>
        <v>297</v>
      </c>
      <c r="B299">
        <v>2014</v>
      </c>
      <c r="C299" t="s">
        <v>50</v>
      </c>
      <c r="D299" t="s">
        <v>87</v>
      </c>
      <c r="E299">
        <v>4</v>
      </c>
      <c r="F299" s="2">
        <v>92</v>
      </c>
      <c r="G299" s="2" t="s">
        <v>42</v>
      </c>
      <c r="H299" s="2" t="s">
        <v>43</v>
      </c>
      <c r="I299" s="2" t="s">
        <v>41</v>
      </c>
      <c r="J299" s="2">
        <v>311</v>
      </c>
      <c r="K299" s="3">
        <v>205.42</v>
      </c>
      <c r="L299" s="3">
        <v>197.4</v>
      </c>
      <c r="M299" s="3">
        <v>34.08</v>
      </c>
      <c r="N299" s="3">
        <v>12894.213400000001</v>
      </c>
      <c r="O299" s="3">
        <v>12389</v>
      </c>
      <c r="P299" s="3">
        <v>134269</v>
      </c>
      <c r="Q299" s="3">
        <v>2.5</v>
      </c>
      <c r="R299" s="3">
        <v>10.75</v>
      </c>
      <c r="S299" s="3">
        <v>17.947199999999999</v>
      </c>
      <c r="T299" s="1">
        <f t="shared" si="32"/>
        <v>8.0199999999999818</v>
      </c>
      <c r="U299" s="1">
        <f t="shared" si="33"/>
        <v>17.04</v>
      </c>
      <c r="V299" s="1">
        <f t="shared" si="34"/>
        <v>505.21340000000055</v>
      </c>
      <c r="W299" s="1">
        <f t="shared" si="35"/>
        <v>67134.5</v>
      </c>
      <c r="X299" s="1">
        <f t="shared" si="36"/>
        <v>-8.25</v>
      </c>
      <c r="Y299" s="1">
        <f t="shared" si="37"/>
        <v>8.9735999999999994</v>
      </c>
      <c r="Z299">
        <f t="shared" si="38"/>
        <v>0</v>
      </c>
    </row>
    <row r="300" spans="1:26" x14ac:dyDescent="0.2">
      <c r="A300">
        <f t="shared" si="39"/>
        <v>298</v>
      </c>
      <c r="B300">
        <v>2015</v>
      </c>
      <c r="C300" t="s">
        <v>92</v>
      </c>
      <c r="D300" t="s">
        <v>93</v>
      </c>
      <c r="E300">
        <v>4</v>
      </c>
      <c r="F300" s="2">
        <v>72</v>
      </c>
      <c r="G300" s="2" t="s">
        <v>47</v>
      </c>
      <c r="H300" s="2" t="s">
        <v>48</v>
      </c>
      <c r="I300" s="2" t="s">
        <v>41</v>
      </c>
      <c r="J300" s="2">
        <v>311</v>
      </c>
      <c r="K300" s="3">
        <v>221.83</v>
      </c>
      <c r="L300" s="3">
        <v>213.77</v>
      </c>
      <c r="M300" s="3">
        <v>77.13</v>
      </c>
      <c r="N300" s="3">
        <v>13924.269100000001</v>
      </c>
      <c r="O300" s="3">
        <v>13417</v>
      </c>
      <c r="P300" s="3">
        <v>303850</v>
      </c>
      <c r="Q300" s="3">
        <v>3.5</v>
      </c>
      <c r="R300" s="3">
        <v>21.75</v>
      </c>
      <c r="S300" s="3">
        <v>29.549499999999998</v>
      </c>
      <c r="T300" s="1">
        <f t="shared" si="32"/>
        <v>8.0600000000000023</v>
      </c>
      <c r="U300" s="1">
        <f t="shared" si="33"/>
        <v>38.564999999999998</v>
      </c>
      <c r="V300" s="1">
        <f t="shared" si="34"/>
        <v>507.26910000000134</v>
      </c>
      <c r="W300" s="1">
        <f t="shared" si="35"/>
        <v>151925</v>
      </c>
      <c r="X300" s="1">
        <f t="shared" si="36"/>
        <v>-18.25</v>
      </c>
      <c r="Y300" s="1">
        <f t="shared" si="37"/>
        <v>14.774749999999999</v>
      </c>
      <c r="Z300">
        <f t="shared" si="38"/>
        <v>0</v>
      </c>
    </row>
    <row r="301" spans="1:26" x14ac:dyDescent="0.2">
      <c r="A301">
        <f t="shared" si="39"/>
        <v>299</v>
      </c>
      <c r="B301">
        <v>2014</v>
      </c>
      <c r="C301" t="s">
        <v>50</v>
      </c>
      <c r="D301" t="s">
        <v>87</v>
      </c>
      <c r="E301">
        <v>4</v>
      </c>
      <c r="F301" s="2">
        <v>112</v>
      </c>
      <c r="G301" s="2" t="s">
        <v>40</v>
      </c>
      <c r="H301" s="2" t="s">
        <v>39</v>
      </c>
      <c r="I301" s="2" t="s">
        <v>41</v>
      </c>
      <c r="J301" s="2">
        <v>311</v>
      </c>
      <c r="K301" s="3">
        <v>205.58</v>
      </c>
      <c r="L301" s="3">
        <v>197.4</v>
      </c>
      <c r="M301" s="3">
        <v>34.08</v>
      </c>
      <c r="N301" s="3">
        <v>12904.256600000001</v>
      </c>
      <c r="O301" s="3">
        <v>12389</v>
      </c>
      <c r="P301" s="3">
        <v>134269</v>
      </c>
      <c r="Q301" s="3">
        <v>6.5</v>
      </c>
      <c r="R301" s="3">
        <v>10.75</v>
      </c>
      <c r="S301" s="3">
        <v>17.947199999999999</v>
      </c>
      <c r="T301" s="1">
        <f t="shared" si="32"/>
        <v>8.1800000000000068</v>
      </c>
      <c r="U301" s="1">
        <f t="shared" si="33"/>
        <v>17.04</v>
      </c>
      <c r="V301" s="1">
        <f t="shared" si="34"/>
        <v>515.25660000000062</v>
      </c>
      <c r="W301" s="1">
        <f t="shared" si="35"/>
        <v>67134.5</v>
      </c>
      <c r="X301" s="1">
        <f t="shared" si="36"/>
        <v>-4.25</v>
      </c>
      <c r="Y301" s="1">
        <f t="shared" si="37"/>
        <v>8.9735999999999994</v>
      </c>
      <c r="Z301">
        <f t="shared" si="38"/>
        <v>1</v>
      </c>
    </row>
    <row r="302" spans="1:26" x14ac:dyDescent="0.2">
      <c r="A302">
        <f t="shared" si="39"/>
        <v>300</v>
      </c>
      <c r="B302">
        <v>2015</v>
      </c>
      <c r="C302" t="s">
        <v>64</v>
      </c>
      <c r="D302" t="s">
        <v>94</v>
      </c>
      <c r="E302">
        <v>4</v>
      </c>
      <c r="F302" s="2">
        <v>72</v>
      </c>
      <c r="G302" s="2" t="s">
        <v>47</v>
      </c>
      <c r="H302" s="2" t="s">
        <v>48</v>
      </c>
      <c r="I302" s="2" t="s">
        <v>41</v>
      </c>
      <c r="J302" s="2">
        <v>311</v>
      </c>
      <c r="K302" s="3">
        <v>134.69999999999999</v>
      </c>
      <c r="L302" s="3">
        <v>126.4</v>
      </c>
      <c r="M302" s="3">
        <v>16.2</v>
      </c>
      <c r="N302" s="3">
        <v>8455.1190000000006</v>
      </c>
      <c r="O302" s="3">
        <v>7933.19</v>
      </c>
      <c r="P302" s="3">
        <v>63827</v>
      </c>
      <c r="Q302" s="3">
        <v>11.5</v>
      </c>
      <c r="R302" s="3">
        <v>10.9</v>
      </c>
      <c r="S302" s="3">
        <v>13.4703</v>
      </c>
      <c r="T302" s="1">
        <f t="shared" si="32"/>
        <v>8.2999999999999829</v>
      </c>
      <c r="U302" s="1">
        <f t="shared" si="33"/>
        <v>8.1</v>
      </c>
      <c r="V302" s="1">
        <f t="shared" si="34"/>
        <v>521.929000000001</v>
      </c>
      <c r="W302" s="1">
        <f t="shared" si="35"/>
        <v>31913.5</v>
      </c>
      <c r="X302" s="1">
        <f t="shared" si="36"/>
        <v>0.59999999999999964</v>
      </c>
      <c r="Y302" s="1">
        <f t="shared" si="37"/>
        <v>6.73515</v>
      </c>
      <c r="Z302">
        <f t="shared" si="38"/>
        <v>1</v>
      </c>
    </row>
    <row r="303" spans="1:26" x14ac:dyDescent="0.2">
      <c r="A303">
        <f t="shared" si="39"/>
        <v>301</v>
      </c>
      <c r="B303">
        <v>2015</v>
      </c>
      <c r="C303" t="s">
        <v>52</v>
      </c>
      <c r="D303" t="s">
        <v>79</v>
      </c>
      <c r="E303">
        <v>4</v>
      </c>
      <c r="F303" s="2">
        <v>92</v>
      </c>
      <c r="G303" s="2" t="s">
        <v>42</v>
      </c>
      <c r="H303" s="2" t="s">
        <v>43</v>
      </c>
      <c r="I303" s="2" t="s">
        <v>41</v>
      </c>
      <c r="J303" s="2">
        <v>311</v>
      </c>
      <c r="K303" s="3">
        <v>174.83</v>
      </c>
      <c r="L303" s="3">
        <v>166.53</v>
      </c>
      <c r="M303" s="3">
        <v>37.15</v>
      </c>
      <c r="N303" s="3">
        <v>10974.079100000001</v>
      </c>
      <c r="O303" s="3">
        <v>10452</v>
      </c>
      <c r="P303" s="3">
        <v>146343</v>
      </c>
      <c r="Q303" s="3">
        <v>53.75</v>
      </c>
      <c r="R303" s="3">
        <v>58.75</v>
      </c>
      <c r="S303" s="3">
        <v>35.233899999999998</v>
      </c>
      <c r="T303" s="1">
        <f t="shared" si="32"/>
        <v>8.3000000000000114</v>
      </c>
      <c r="U303" s="1">
        <f t="shared" si="33"/>
        <v>18.574999999999999</v>
      </c>
      <c r="V303" s="1">
        <f t="shared" si="34"/>
        <v>522.07910000000084</v>
      </c>
      <c r="W303" s="1">
        <f t="shared" si="35"/>
        <v>73171.5</v>
      </c>
      <c r="X303" s="1">
        <f t="shared" si="36"/>
        <v>-5</v>
      </c>
      <c r="Y303" s="1">
        <f t="shared" si="37"/>
        <v>17.616949999999999</v>
      </c>
      <c r="Z303">
        <f t="shared" si="38"/>
        <v>1</v>
      </c>
    </row>
    <row r="304" spans="1:26" x14ac:dyDescent="0.2">
      <c r="A304">
        <f t="shared" si="39"/>
        <v>302</v>
      </c>
      <c r="B304">
        <v>2015</v>
      </c>
      <c r="C304" t="s">
        <v>54</v>
      </c>
      <c r="D304" t="s">
        <v>69</v>
      </c>
      <c r="E304">
        <v>4</v>
      </c>
      <c r="F304" s="2">
        <v>153</v>
      </c>
      <c r="G304" s="2" t="s">
        <v>44</v>
      </c>
      <c r="H304" s="2" t="s">
        <v>45</v>
      </c>
      <c r="I304" s="2" t="s">
        <v>33</v>
      </c>
      <c r="J304" s="2">
        <v>3711</v>
      </c>
      <c r="K304" s="3">
        <v>254.95</v>
      </c>
      <c r="L304" s="3">
        <v>246.63</v>
      </c>
      <c r="M304" s="3">
        <v>212.78</v>
      </c>
      <c r="N304" s="3">
        <v>16003.211499999999</v>
      </c>
      <c r="O304" s="3">
        <v>15479</v>
      </c>
      <c r="P304" s="3">
        <v>838171</v>
      </c>
      <c r="Q304" s="3">
        <v>27.5</v>
      </c>
      <c r="R304" s="3">
        <v>32.5</v>
      </c>
      <c r="S304" s="3">
        <v>207.72</v>
      </c>
      <c r="T304" s="1">
        <f t="shared" si="32"/>
        <v>8.3199999999999932</v>
      </c>
      <c r="U304" s="1">
        <f t="shared" si="33"/>
        <v>106.39</v>
      </c>
      <c r="V304" s="1">
        <f t="shared" si="34"/>
        <v>524.21149999999943</v>
      </c>
      <c r="W304" s="1">
        <f t="shared" si="35"/>
        <v>419085.5</v>
      </c>
      <c r="X304" s="1">
        <f t="shared" si="36"/>
        <v>-5</v>
      </c>
      <c r="Y304" s="1">
        <f t="shared" si="37"/>
        <v>103.86</v>
      </c>
      <c r="Z304">
        <f t="shared" si="38"/>
        <v>1</v>
      </c>
    </row>
    <row r="305" spans="1:26" x14ac:dyDescent="0.2">
      <c r="A305">
        <f t="shared" si="39"/>
        <v>303</v>
      </c>
      <c r="B305">
        <v>2014</v>
      </c>
      <c r="C305" t="s">
        <v>50</v>
      </c>
      <c r="D305" t="s">
        <v>87</v>
      </c>
      <c r="E305">
        <v>4</v>
      </c>
      <c r="F305" s="2">
        <v>173</v>
      </c>
      <c r="G305" s="2" t="s">
        <v>31</v>
      </c>
      <c r="H305" s="2" t="s">
        <v>32</v>
      </c>
      <c r="I305" s="2" t="s">
        <v>33</v>
      </c>
      <c r="J305" s="2">
        <v>311</v>
      </c>
      <c r="K305" s="3">
        <v>205.77</v>
      </c>
      <c r="L305" s="3">
        <v>197.4</v>
      </c>
      <c r="M305" s="3">
        <v>34.08</v>
      </c>
      <c r="N305" s="3">
        <v>12916.182900000002</v>
      </c>
      <c r="O305" s="3">
        <v>12389</v>
      </c>
      <c r="P305" s="3">
        <v>134269</v>
      </c>
      <c r="Q305" s="3">
        <v>4.25</v>
      </c>
      <c r="R305" s="3">
        <v>10.75</v>
      </c>
      <c r="S305" s="3">
        <v>17.947199999999999</v>
      </c>
      <c r="T305" s="1">
        <f t="shared" si="32"/>
        <v>8.3700000000000045</v>
      </c>
      <c r="U305" s="1">
        <f t="shared" si="33"/>
        <v>17.04</v>
      </c>
      <c r="V305" s="1">
        <f t="shared" si="34"/>
        <v>527.18290000000161</v>
      </c>
      <c r="W305" s="1">
        <f t="shared" si="35"/>
        <v>67134.5</v>
      </c>
      <c r="X305" s="1">
        <f t="shared" si="36"/>
        <v>-6.5</v>
      </c>
      <c r="Y305" s="1">
        <f t="shared" si="37"/>
        <v>8.9735999999999994</v>
      </c>
      <c r="Z305">
        <f t="shared" si="38"/>
        <v>0</v>
      </c>
    </row>
    <row r="306" spans="1:26" x14ac:dyDescent="0.2">
      <c r="A306">
        <f t="shared" si="39"/>
        <v>304</v>
      </c>
      <c r="B306">
        <v>2015</v>
      </c>
      <c r="C306" t="s">
        <v>54</v>
      </c>
      <c r="D306" t="s">
        <v>69</v>
      </c>
      <c r="E306">
        <v>4</v>
      </c>
      <c r="F306" s="2">
        <v>21</v>
      </c>
      <c r="G306" s="2" t="s">
        <v>71</v>
      </c>
      <c r="H306" s="2" t="s">
        <v>66</v>
      </c>
      <c r="I306" s="2" t="s">
        <v>30</v>
      </c>
      <c r="J306" s="2">
        <v>711</v>
      </c>
      <c r="K306" s="3">
        <v>255.04</v>
      </c>
      <c r="L306" s="3">
        <v>246.63</v>
      </c>
      <c r="M306" s="3">
        <v>212.78</v>
      </c>
      <c r="N306" s="3">
        <v>16008.8608</v>
      </c>
      <c r="O306" s="3">
        <v>15479</v>
      </c>
      <c r="P306" s="3">
        <v>838171</v>
      </c>
      <c r="Q306" s="3">
        <v>48.75</v>
      </c>
      <c r="R306" s="3">
        <v>32.5</v>
      </c>
      <c r="S306" s="3">
        <v>207.72</v>
      </c>
      <c r="T306" s="1">
        <f t="shared" si="32"/>
        <v>8.4099999999999966</v>
      </c>
      <c r="U306" s="1">
        <f t="shared" si="33"/>
        <v>106.39</v>
      </c>
      <c r="V306" s="1">
        <f t="shared" si="34"/>
        <v>529.86080000000038</v>
      </c>
      <c r="W306" s="1">
        <f t="shared" si="35"/>
        <v>419085.5</v>
      </c>
      <c r="X306" s="1">
        <f t="shared" si="36"/>
        <v>16.25</v>
      </c>
      <c r="Y306" s="1">
        <f t="shared" si="37"/>
        <v>103.86</v>
      </c>
      <c r="Z306">
        <f t="shared" si="38"/>
        <v>1</v>
      </c>
    </row>
    <row r="307" spans="1:26" x14ac:dyDescent="0.2">
      <c r="A307">
        <f t="shared" si="39"/>
        <v>305</v>
      </c>
      <c r="B307">
        <v>2015</v>
      </c>
      <c r="C307" t="s">
        <v>34</v>
      </c>
      <c r="D307" t="s">
        <v>35</v>
      </c>
      <c r="E307">
        <v>4</v>
      </c>
      <c r="F307" s="2">
        <v>41</v>
      </c>
      <c r="G307" s="2" t="s">
        <v>31</v>
      </c>
      <c r="H307" s="2" t="s">
        <v>62</v>
      </c>
      <c r="I307" s="2" t="s">
        <v>30</v>
      </c>
      <c r="J307" s="2">
        <v>311</v>
      </c>
      <c r="K307" s="3">
        <v>136.06</v>
      </c>
      <c r="L307" s="3">
        <v>127.58</v>
      </c>
      <c r="M307" s="3">
        <v>1197.8900000000001</v>
      </c>
      <c r="N307" s="3">
        <v>8540.4862000000012</v>
      </c>
      <c r="O307" s="3">
        <v>8007.33</v>
      </c>
      <c r="P307" s="3">
        <v>4718559</v>
      </c>
      <c r="Q307" s="3">
        <v>0</v>
      </c>
      <c r="R307" s="3">
        <v>0</v>
      </c>
      <c r="S307" s="3">
        <v>0</v>
      </c>
      <c r="T307" s="1">
        <f t="shared" si="32"/>
        <v>8.480000000000004</v>
      </c>
      <c r="U307" s="1">
        <f t="shared" si="33"/>
        <v>598.94500000000005</v>
      </c>
      <c r="V307" s="1">
        <f t="shared" si="34"/>
        <v>533.15620000000126</v>
      </c>
      <c r="W307" s="1">
        <f t="shared" si="35"/>
        <v>2359279.5</v>
      </c>
      <c r="X307" s="1">
        <f t="shared" si="36"/>
        <v>0</v>
      </c>
      <c r="Y307" s="1">
        <f t="shared" si="37"/>
        <v>0</v>
      </c>
      <c r="Z307">
        <f t="shared" si="38"/>
        <v>0</v>
      </c>
    </row>
    <row r="308" spans="1:26" x14ac:dyDescent="0.2">
      <c r="A308">
        <f t="shared" si="39"/>
        <v>306</v>
      </c>
      <c r="B308">
        <v>2014</v>
      </c>
      <c r="C308" t="s">
        <v>50</v>
      </c>
      <c r="D308" t="s">
        <v>86</v>
      </c>
      <c r="E308">
        <v>4</v>
      </c>
      <c r="F308" s="2">
        <v>51</v>
      </c>
      <c r="G308" s="2" t="s">
        <v>36</v>
      </c>
      <c r="H308" s="2" t="s">
        <v>66</v>
      </c>
      <c r="I308" s="2" t="s">
        <v>30</v>
      </c>
      <c r="J308" s="2">
        <v>11</v>
      </c>
      <c r="K308" s="3">
        <v>160.72999999999999</v>
      </c>
      <c r="L308" s="3">
        <v>152.02000000000001</v>
      </c>
      <c r="M308" s="3">
        <v>208.65</v>
      </c>
      <c r="N308" s="3">
        <v>10089.0221</v>
      </c>
      <c r="O308" s="3">
        <v>9541.27</v>
      </c>
      <c r="P308" s="3">
        <v>821938</v>
      </c>
      <c r="Q308" s="3">
        <v>0</v>
      </c>
      <c r="R308" s="3">
        <v>0</v>
      </c>
      <c r="S308" s="3">
        <v>0</v>
      </c>
      <c r="T308" s="1">
        <f t="shared" si="32"/>
        <v>8.7099999999999795</v>
      </c>
      <c r="U308" s="1">
        <f t="shared" si="33"/>
        <v>104.325</v>
      </c>
      <c r="V308" s="1">
        <f t="shared" si="34"/>
        <v>547.7520999999997</v>
      </c>
      <c r="W308" s="1">
        <f t="shared" si="35"/>
        <v>410969</v>
      </c>
      <c r="X308" s="1">
        <f t="shared" si="36"/>
        <v>0</v>
      </c>
      <c r="Y308" s="1">
        <f t="shared" si="37"/>
        <v>0</v>
      </c>
      <c r="Z308">
        <f t="shared" si="38"/>
        <v>0</v>
      </c>
    </row>
    <row r="309" spans="1:26" x14ac:dyDescent="0.2">
      <c r="A309">
        <f t="shared" si="39"/>
        <v>307</v>
      </c>
      <c r="B309">
        <v>2014</v>
      </c>
      <c r="C309" t="s">
        <v>50</v>
      </c>
      <c r="D309" t="s">
        <v>80</v>
      </c>
      <c r="E309">
        <v>4</v>
      </c>
      <c r="F309" s="2">
        <v>72</v>
      </c>
      <c r="G309" s="2" t="s">
        <v>47</v>
      </c>
      <c r="H309" s="2" t="s">
        <v>48</v>
      </c>
      <c r="I309" s="2" t="s">
        <v>41</v>
      </c>
      <c r="J309" s="2">
        <v>311</v>
      </c>
      <c r="K309" s="3">
        <v>221.02</v>
      </c>
      <c r="L309" s="3">
        <v>212.3</v>
      </c>
      <c r="M309" s="3">
        <v>100.21</v>
      </c>
      <c r="N309" s="3">
        <v>13873.425400000002</v>
      </c>
      <c r="O309" s="3">
        <v>13324</v>
      </c>
      <c r="P309" s="3">
        <v>394707</v>
      </c>
      <c r="Q309" s="3">
        <v>34.17</v>
      </c>
      <c r="R309" s="3">
        <v>23.75</v>
      </c>
      <c r="S309" s="3">
        <v>150.47</v>
      </c>
      <c r="T309" s="1">
        <f t="shared" si="32"/>
        <v>8.7199999999999989</v>
      </c>
      <c r="U309" s="1">
        <f t="shared" si="33"/>
        <v>50.104999999999997</v>
      </c>
      <c r="V309" s="1">
        <f t="shared" si="34"/>
        <v>549.4254000000019</v>
      </c>
      <c r="W309" s="1">
        <f t="shared" si="35"/>
        <v>197353.5</v>
      </c>
      <c r="X309" s="1">
        <f t="shared" si="36"/>
        <v>10.420000000000002</v>
      </c>
      <c r="Y309" s="1">
        <f t="shared" si="37"/>
        <v>75.234999999999999</v>
      </c>
      <c r="Z309">
        <f t="shared" si="38"/>
        <v>1</v>
      </c>
    </row>
    <row r="310" spans="1:26" x14ac:dyDescent="0.2">
      <c r="A310">
        <f t="shared" si="39"/>
        <v>308</v>
      </c>
      <c r="B310">
        <v>2014</v>
      </c>
      <c r="C310" t="s">
        <v>64</v>
      </c>
      <c r="D310" t="s">
        <v>65</v>
      </c>
      <c r="E310">
        <v>4</v>
      </c>
      <c r="F310" s="2">
        <v>102</v>
      </c>
      <c r="G310" s="2" t="s">
        <v>36</v>
      </c>
      <c r="H310" s="2" t="s">
        <v>29</v>
      </c>
      <c r="I310" s="2" t="s">
        <v>41</v>
      </c>
      <c r="J310" s="2">
        <v>11</v>
      </c>
      <c r="K310" s="3">
        <v>210.22</v>
      </c>
      <c r="L310" s="3">
        <v>201.48</v>
      </c>
      <c r="M310" s="3">
        <v>45.55</v>
      </c>
      <c r="N310" s="3">
        <v>13195.509400000001</v>
      </c>
      <c r="O310" s="3">
        <v>12646</v>
      </c>
      <c r="P310" s="3">
        <v>179407</v>
      </c>
      <c r="Q310" s="3">
        <v>3</v>
      </c>
      <c r="R310" s="3">
        <v>9.875</v>
      </c>
      <c r="S310" s="3">
        <v>2.2923</v>
      </c>
      <c r="T310" s="1">
        <f t="shared" si="32"/>
        <v>8.7400000000000091</v>
      </c>
      <c r="U310" s="1">
        <f t="shared" si="33"/>
        <v>22.774999999999999</v>
      </c>
      <c r="V310" s="1">
        <f t="shared" si="34"/>
        <v>549.50940000000082</v>
      </c>
      <c r="W310" s="1">
        <f t="shared" si="35"/>
        <v>89703.5</v>
      </c>
      <c r="X310" s="1">
        <f t="shared" si="36"/>
        <v>-6.875</v>
      </c>
      <c r="Y310" s="1">
        <f t="shared" si="37"/>
        <v>1.14615</v>
      </c>
      <c r="Z310">
        <f t="shared" si="38"/>
        <v>0</v>
      </c>
    </row>
    <row r="311" spans="1:26" x14ac:dyDescent="0.2">
      <c r="A311">
        <f t="shared" si="39"/>
        <v>309</v>
      </c>
      <c r="B311">
        <v>2014</v>
      </c>
      <c r="C311" t="s">
        <v>50</v>
      </c>
      <c r="D311" t="s">
        <v>87</v>
      </c>
      <c r="E311">
        <v>4</v>
      </c>
      <c r="F311" s="2">
        <v>61</v>
      </c>
      <c r="G311" s="2" t="s">
        <v>38</v>
      </c>
      <c r="H311" s="2" t="s">
        <v>39</v>
      </c>
      <c r="I311" s="2" t="s">
        <v>30</v>
      </c>
      <c r="J311" s="2">
        <v>311</v>
      </c>
      <c r="K311" s="3">
        <v>206.23</v>
      </c>
      <c r="L311" s="3">
        <v>197.4</v>
      </c>
      <c r="M311" s="3">
        <v>34.08</v>
      </c>
      <c r="N311" s="3">
        <v>12945.0571</v>
      </c>
      <c r="O311" s="3">
        <v>12389</v>
      </c>
      <c r="P311" s="3">
        <v>134269</v>
      </c>
      <c r="Q311" s="3">
        <v>6.5</v>
      </c>
      <c r="R311" s="3">
        <v>10.75</v>
      </c>
      <c r="S311" s="3">
        <v>17.947199999999999</v>
      </c>
      <c r="T311" s="1">
        <f t="shared" si="32"/>
        <v>8.8299999999999841</v>
      </c>
      <c r="U311" s="1">
        <f t="shared" si="33"/>
        <v>17.04</v>
      </c>
      <c r="V311" s="1">
        <f t="shared" si="34"/>
        <v>556.05709999999999</v>
      </c>
      <c r="W311" s="1">
        <f t="shared" si="35"/>
        <v>67134.5</v>
      </c>
      <c r="X311" s="1">
        <f t="shared" si="36"/>
        <v>-4.25</v>
      </c>
      <c r="Y311" s="1">
        <f t="shared" si="37"/>
        <v>8.9735999999999994</v>
      </c>
      <c r="Z311">
        <f t="shared" si="38"/>
        <v>1</v>
      </c>
    </row>
    <row r="312" spans="1:26" x14ac:dyDescent="0.2">
      <c r="A312">
        <f t="shared" si="39"/>
        <v>310</v>
      </c>
      <c r="B312">
        <v>2015</v>
      </c>
      <c r="C312" t="s">
        <v>84</v>
      </c>
      <c r="D312" t="s">
        <v>85</v>
      </c>
      <c r="E312">
        <v>4</v>
      </c>
      <c r="F312" s="2">
        <v>51</v>
      </c>
      <c r="G312" s="2" t="s">
        <v>36</v>
      </c>
      <c r="H312" s="2" t="s">
        <v>66</v>
      </c>
      <c r="I312" s="2" t="s">
        <v>30</v>
      </c>
      <c r="J312" s="2">
        <v>11</v>
      </c>
      <c r="K312" s="3">
        <v>206.43</v>
      </c>
      <c r="L312" s="3">
        <v>197.54</v>
      </c>
      <c r="M312" s="3">
        <v>296.25</v>
      </c>
      <c r="N312" s="3">
        <v>12957.611100000002</v>
      </c>
      <c r="O312" s="3">
        <v>12398</v>
      </c>
      <c r="P312" s="3">
        <v>1166970</v>
      </c>
      <c r="Q312" s="3">
        <v>-4.28E-17</v>
      </c>
      <c r="R312" s="3">
        <v>0.6875</v>
      </c>
      <c r="S312" s="3">
        <v>0.21049999999999999</v>
      </c>
      <c r="T312" s="1">
        <f t="shared" si="32"/>
        <v>8.8900000000000148</v>
      </c>
      <c r="U312" s="1">
        <f t="shared" si="33"/>
        <v>148.125</v>
      </c>
      <c r="V312" s="1">
        <f t="shared" si="34"/>
        <v>559.6111000000019</v>
      </c>
      <c r="W312" s="1">
        <f t="shared" si="35"/>
        <v>583485</v>
      </c>
      <c r="X312" s="1">
        <f t="shared" si="36"/>
        <v>-0.6875</v>
      </c>
      <c r="Y312" s="1">
        <f t="shared" si="37"/>
        <v>0.10525</v>
      </c>
      <c r="Z312">
        <f t="shared" si="38"/>
        <v>0</v>
      </c>
    </row>
    <row r="313" spans="1:26" x14ac:dyDescent="0.2">
      <c r="A313">
        <f t="shared" si="39"/>
        <v>311</v>
      </c>
      <c r="B313">
        <v>2015</v>
      </c>
      <c r="C313" t="s">
        <v>72</v>
      </c>
      <c r="D313" t="s">
        <v>73</v>
      </c>
      <c r="E313">
        <v>4</v>
      </c>
      <c r="F313" s="2">
        <v>153</v>
      </c>
      <c r="G313" s="2" t="s">
        <v>44</v>
      </c>
      <c r="H313" s="2" t="s">
        <v>45</v>
      </c>
      <c r="I313" s="2" t="s">
        <v>33</v>
      </c>
      <c r="J313" s="2">
        <v>3711</v>
      </c>
      <c r="K313" s="3">
        <v>205.76</v>
      </c>
      <c r="L313" s="3">
        <v>196.81</v>
      </c>
      <c r="M313" s="3">
        <v>48.17</v>
      </c>
      <c r="N313" s="3">
        <v>12915.555200000001</v>
      </c>
      <c r="O313" s="3">
        <v>12352</v>
      </c>
      <c r="P313" s="3">
        <v>189801</v>
      </c>
      <c r="Q313" s="3">
        <v>1.425</v>
      </c>
      <c r="R313" s="3">
        <v>6.9</v>
      </c>
      <c r="S313" s="3">
        <v>2.0556999999999999</v>
      </c>
      <c r="T313" s="1">
        <f t="shared" si="32"/>
        <v>8.9499999999999886</v>
      </c>
      <c r="U313" s="1">
        <f t="shared" si="33"/>
        <v>24.085000000000001</v>
      </c>
      <c r="V313" s="1">
        <f t="shared" si="34"/>
        <v>563.5552000000007</v>
      </c>
      <c r="W313" s="1">
        <f t="shared" si="35"/>
        <v>94900.5</v>
      </c>
      <c r="X313" s="1">
        <f t="shared" si="36"/>
        <v>-5.4750000000000005</v>
      </c>
      <c r="Y313" s="1">
        <f t="shared" si="37"/>
        <v>1.0278499999999999</v>
      </c>
      <c r="Z313">
        <f t="shared" si="38"/>
        <v>0</v>
      </c>
    </row>
    <row r="314" spans="1:26" x14ac:dyDescent="0.2">
      <c r="A314">
        <f t="shared" si="39"/>
        <v>312</v>
      </c>
      <c r="B314">
        <v>2014</v>
      </c>
      <c r="C314" t="s">
        <v>50</v>
      </c>
      <c r="D314" t="s">
        <v>87</v>
      </c>
      <c r="E314">
        <v>4</v>
      </c>
      <c r="F314" s="2">
        <v>193</v>
      </c>
      <c r="G314" s="2" t="s">
        <v>40</v>
      </c>
      <c r="H314" s="2" t="s">
        <v>39</v>
      </c>
      <c r="I314" s="2" t="s">
        <v>33</v>
      </c>
      <c r="J314" s="2">
        <v>311</v>
      </c>
      <c r="K314" s="3">
        <v>206.38</v>
      </c>
      <c r="L314" s="3">
        <v>197.4</v>
      </c>
      <c r="M314" s="3">
        <v>34.08</v>
      </c>
      <c r="N314" s="3">
        <v>12954.472600000001</v>
      </c>
      <c r="O314" s="3">
        <v>12389</v>
      </c>
      <c r="P314" s="3">
        <v>134269</v>
      </c>
      <c r="Q314" s="3">
        <v>4.25</v>
      </c>
      <c r="R314" s="3">
        <v>10.75</v>
      </c>
      <c r="S314" s="3">
        <v>17.947199999999999</v>
      </c>
      <c r="T314" s="1">
        <f t="shared" si="32"/>
        <v>8.9799999999999898</v>
      </c>
      <c r="U314" s="1">
        <f t="shared" si="33"/>
        <v>17.04</v>
      </c>
      <c r="V314" s="1">
        <f t="shared" si="34"/>
        <v>565.47260000000097</v>
      </c>
      <c r="W314" s="1">
        <f t="shared" si="35"/>
        <v>67134.5</v>
      </c>
      <c r="X314" s="1">
        <f t="shared" si="36"/>
        <v>-6.5</v>
      </c>
      <c r="Y314" s="1">
        <f t="shared" si="37"/>
        <v>8.9735999999999994</v>
      </c>
      <c r="Z314">
        <f t="shared" si="38"/>
        <v>0</v>
      </c>
    </row>
    <row r="315" spans="1:26" x14ac:dyDescent="0.2">
      <c r="A315">
        <f t="shared" si="39"/>
        <v>313</v>
      </c>
      <c r="B315">
        <v>2014</v>
      </c>
      <c r="C315" t="s">
        <v>52</v>
      </c>
      <c r="D315" t="s">
        <v>79</v>
      </c>
      <c r="E315">
        <v>4</v>
      </c>
      <c r="F315" s="2">
        <v>173</v>
      </c>
      <c r="G315" s="2" t="s">
        <v>31</v>
      </c>
      <c r="H315" s="2" t="s">
        <v>32</v>
      </c>
      <c r="I315" s="2" t="s">
        <v>33</v>
      </c>
      <c r="J315" s="2">
        <v>311</v>
      </c>
      <c r="K315" s="3">
        <v>174.09</v>
      </c>
      <c r="L315" s="3">
        <v>165.03</v>
      </c>
      <c r="M315" s="3">
        <v>19.100000000000001</v>
      </c>
      <c r="N315" s="3">
        <v>10927.629300000001</v>
      </c>
      <c r="O315" s="3">
        <v>10358</v>
      </c>
      <c r="P315" s="3">
        <v>75251</v>
      </c>
      <c r="Q315" s="3">
        <v>25</v>
      </c>
      <c r="R315" s="3">
        <v>70</v>
      </c>
      <c r="S315" s="3">
        <v>10.1486</v>
      </c>
      <c r="T315" s="1">
        <f t="shared" si="32"/>
        <v>9.0600000000000023</v>
      </c>
      <c r="U315" s="1">
        <f t="shared" si="33"/>
        <v>9.5500000000000007</v>
      </c>
      <c r="V315" s="1">
        <f t="shared" si="34"/>
        <v>569.62930000000051</v>
      </c>
      <c r="W315" s="1">
        <f t="shared" si="35"/>
        <v>37625.5</v>
      </c>
      <c r="X315" s="1">
        <f t="shared" si="36"/>
        <v>-45</v>
      </c>
      <c r="Y315" s="1">
        <f t="shared" si="37"/>
        <v>5.0743</v>
      </c>
      <c r="Z315">
        <f t="shared" si="38"/>
        <v>1</v>
      </c>
    </row>
    <row r="316" spans="1:26" x14ac:dyDescent="0.2">
      <c r="A316">
        <f t="shared" si="39"/>
        <v>314</v>
      </c>
      <c r="B316">
        <v>2014</v>
      </c>
      <c r="C316" t="s">
        <v>50</v>
      </c>
      <c r="D316" t="s">
        <v>80</v>
      </c>
      <c r="E316">
        <v>4</v>
      </c>
      <c r="F316" s="2">
        <v>112</v>
      </c>
      <c r="G316" s="2" t="s">
        <v>40</v>
      </c>
      <c r="H316" s="2" t="s">
        <v>39</v>
      </c>
      <c r="I316" s="2" t="s">
        <v>41</v>
      </c>
      <c r="J316" s="2">
        <v>311</v>
      </c>
      <c r="K316" s="3">
        <v>221.41</v>
      </c>
      <c r="L316" s="3">
        <v>212.3</v>
      </c>
      <c r="M316" s="3">
        <v>100.21</v>
      </c>
      <c r="N316" s="3">
        <v>13897.905700000001</v>
      </c>
      <c r="O316" s="3">
        <v>13324</v>
      </c>
      <c r="P316" s="3">
        <v>394707</v>
      </c>
      <c r="Q316" s="3">
        <v>22.502500000000001</v>
      </c>
      <c r="R316" s="3">
        <v>23.75</v>
      </c>
      <c r="S316" s="3">
        <v>150.47</v>
      </c>
      <c r="T316" s="1">
        <f t="shared" si="32"/>
        <v>9.1099999999999852</v>
      </c>
      <c r="U316" s="1">
        <f t="shared" si="33"/>
        <v>50.104999999999997</v>
      </c>
      <c r="V316" s="1">
        <f t="shared" si="34"/>
        <v>573.90570000000116</v>
      </c>
      <c r="W316" s="1">
        <f t="shared" si="35"/>
        <v>197353.5</v>
      </c>
      <c r="X316" s="1">
        <f t="shared" si="36"/>
        <v>-1.2474999999999987</v>
      </c>
      <c r="Y316" s="1">
        <f t="shared" si="37"/>
        <v>75.234999999999999</v>
      </c>
      <c r="Z316">
        <f t="shared" si="38"/>
        <v>1</v>
      </c>
    </row>
    <row r="317" spans="1:26" x14ac:dyDescent="0.2">
      <c r="A317">
        <f t="shared" si="39"/>
        <v>315</v>
      </c>
      <c r="B317">
        <v>2015</v>
      </c>
      <c r="C317" t="s">
        <v>34</v>
      </c>
      <c r="D317" t="s">
        <v>35</v>
      </c>
      <c r="E317">
        <v>4</v>
      </c>
      <c r="F317" s="2">
        <v>21</v>
      </c>
      <c r="G317" s="2" t="s">
        <v>71</v>
      </c>
      <c r="H317" s="2" t="s">
        <v>66</v>
      </c>
      <c r="I317" s="2" t="s">
        <v>30</v>
      </c>
      <c r="J317" s="2">
        <v>711</v>
      </c>
      <c r="K317" s="3">
        <v>136.91999999999999</v>
      </c>
      <c r="L317" s="3">
        <v>127.58</v>
      </c>
      <c r="M317" s="3">
        <v>1197.8900000000001</v>
      </c>
      <c r="N317" s="3">
        <v>8594.4683999999997</v>
      </c>
      <c r="O317" s="3">
        <v>8007.33</v>
      </c>
      <c r="P317" s="3">
        <v>4718559</v>
      </c>
      <c r="Q317" s="3">
        <v>0</v>
      </c>
      <c r="R317" s="3">
        <v>0</v>
      </c>
      <c r="S317" s="3">
        <v>0</v>
      </c>
      <c r="T317" s="1">
        <f t="shared" si="32"/>
        <v>9.3399999999999892</v>
      </c>
      <c r="U317" s="1">
        <f t="shared" si="33"/>
        <v>598.94500000000005</v>
      </c>
      <c r="V317" s="1">
        <f t="shared" si="34"/>
        <v>587.13839999999982</v>
      </c>
      <c r="W317" s="1">
        <f t="shared" si="35"/>
        <v>2359279.5</v>
      </c>
      <c r="X317" s="1">
        <f t="shared" si="36"/>
        <v>0</v>
      </c>
      <c r="Y317" s="1">
        <f t="shared" si="37"/>
        <v>0</v>
      </c>
      <c r="Z317">
        <f t="shared" si="38"/>
        <v>0</v>
      </c>
    </row>
    <row r="318" spans="1:26" x14ac:dyDescent="0.2">
      <c r="A318">
        <f t="shared" si="39"/>
        <v>316</v>
      </c>
      <c r="B318">
        <v>2014</v>
      </c>
      <c r="C318" t="s">
        <v>64</v>
      </c>
      <c r="D318" t="s">
        <v>65</v>
      </c>
      <c r="E318">
        <v>4</v>
      </c>
      <c r="F318" s="2">
        <v>41</v>
      </c>
      <c r="G318" s="2" t="s">
        <v>31</v>
      </c>
      <c r="H318" s="2" t="s">
        <v>62</v>
      </c>
      <c r="I318" s="2" t="s">
        <v>30</v>
      </c>
      <c r="J318" s="2">
        <v>311</v>
      </c>
      <c r="K318" s="3">
        <v>210.83</v>
      </c>
      <c r="L318" s="3">
        <v>201.48</v>
      </c>
      <c r="M318" s="3">
        <v>45.55</v>
      </c>
      <c r="N318" s="3">
        <v>13233.799100000002</v>
      </c>
      <c r="O318" s="3">
        <v>12646</v>
      </c>
      <c r="P318" s="3">
        <v>179407</v>
      </c>
      <c r="Q318" s="3">
        <v>6.5</v>
      </c>
      <c r="R318" s="3">
        <v>9.875</v>
      </c>
      <c r="S318" s="3">
        <v>2.2923</v>
      </c>
      <c r="T318" s="1">
        <f t="shared" si="32"/>
        <v>9.3500000000000227</v>
      </c>
      <c r="U318" s="1">
        <f t="shared" si="33"/>
        <v>22.774999999999999</v>
      </c>
      <c r="V318" s="1">
        <f t="shared" si="34"/>
        <v>587.799100000002</v>
      </c>
      <c r="W318" s="1">
        <f t="shared" si="35"/>
        <v>89703.5</v>
      </c>
      <c r="X318" s="1">
        <f t="shared" si="36"/>
        <v>-3.375</v>
      </c>
      <c r="Y318" s="1">
        <f t="shared" si="37"/>
        <v>1.14615</v>
      </c>
      <c r="Z318">
        <f t="shared" si="38"/>
        <v>1</v>
      </c>
    </row>
    <row r="319" spans="1:26" x14ac:dyDescent="0.2">
      <c r="A319">
        <f t="shared" si="39"/>
        <v>317</v>
      </c>
      <c r="B319">
        <v>2014</v>
      </c>
      <c r="C319" t="s">
        <v>50</v>
      </c>
      <c r="D319" t="s">
        <v>86</v>
      </c>
      <c r="E319">
        <v>4</v>
      </c>
      <c r="F319" s="2">
        <v>82</v>
      </c>
      <c r="G319" s="2" t="s">
        <v>31</v>
      </c>
      <c r="H319" s="2" t="s">
        <v>46</v>
      </c>
      <c r="I319" s="2" t="s">
        <v>41</v>
      </c>
      <c r="J319" s="2">
        <v>311</v>
      </c>
      <c r="K319" s="3">
        <v>161.47999999999999</v>
      </c>
      <c r="L319" s="3">
        <v>152.02000000000001</v>
      </c>
      <c r="M319" s="3">
        <v>208.65</v>
      </c>
      <c r="N319" s="3">
        <v>10136.0996</v>
      </c>
      <c r="O319" s="3">
        <v>9541.27</v>
      </c>
      <c r="P319" s="3">
        <v>821938</v>
      </c>
      <c r="Q319" s="3">
        <v>0</v>
      </c>
      <c r="R319" s="3">
        <v>0</v>
      </c>
      <c r="S319" s="3">
        <v>0</v>
      </c>
      <c r="T319" s="1">
        <f t="shared" si="32"/>
        <v>9.4599999999999795</v>
      </c>
      <c r="U319" s="1">
        <f t="shared" si="33"/>
        <v>104.325</v>
      </c>
      <c r="V319" s="1">
        <f t="shared" si="34"/>
        <v>594.82959999999912</v>
      </c>
      <c r="W319" s="1">
        <f t="shared" si="35"/>
        <v>410969</v>
      </c>
      <c r="X319" s="1">
        <f t="shared" si="36"/>
        <v>0</v>
      </c>
      <c r="Y319" s="1">
        <f t="shared" si="37"/>
        <v>0</v>
      </c>
      <c r="Z319">
        <f t="shared" si="38"/>
        <v>0</v>
      </c>
    </row>
    <row r="320" spans="1:26" x14ac:dyDescent="0.2">
      <c r="A320">
        <f t="shared" si="39"/>
        <v>318</v>
      </c>
      <c r="B320">
        <v>2015</v>
      </c>
      <c r="C320" t="s">
        <v>92</v>
      </c>
      <c r="D320" t="s">
        <v>93</v>
      </c>
      <c r="E320">
        <v>4</v>
      </c>
      <c r="F320" s="2">
        <v>102</v>
      </c>
      <c r="G320" s="2" t="s">
        <v>36</v>
      </c>
      <c r="H320" s="2" t="s">
        <v>29</v>
      </c>
      <c r="I320" s="2" t="s">
        <v>41</v>
      </c>
      <c r="J320" s="2">
        <v>11</v>
      </c>
      <c r="K320" s="3">
        <v>223.46</v>
      </c>
      <c r="L320" s="3">
        <v>213.77</v>
      </c>
      <c r="M320" s="3">
        <v>77.13</v>
      </c>
      <c r="N320" s="3">
        <v>14026.584200000001</v>
      </c>
      <c r="O320" s="3">
        <v>13417</v>
      </c>
      <c r="P320" s="3">
        <v>303850</v>
      </c>
      <c r="Q320" s="3">
        <v>9</v>
      </c>
      <c r="R320" s="3">
        <v>21.75</v>
      </c>
      <c r="S320" s="3">
        <v>29.549499999999998</v>
      </c>
      <c r="T320" s="1">
        <f t="shared" si="32"/>
        <v>9.6899999999999977</v>
      </c>
      <c r="U320" s="1">
        <f t="shared" si="33"/>
        <v>38.564999999999998</v>
      </c>
      <c r="V320" s="1">
        <f t="shared" si="34"/>
        <v>609.58420000000115</v>
      </c>
      <c r="W320" s="1">
        <f t="shared" si="35"/>
        <v>151925</v>
      </c>
      <c r="X320" s="1">
        <f t="shared" si="36"/>
        <v>-12.75</v>
      </c>
      <c r="Y320" s="1">
        <f t="shared" si="37"/>
        <v>14.774749999999999</v>
      </c>
      <c r="Z320">
        <f t="shared" si="38"/>
        <v>1</v>
      </c>
    </row>
    <row r="321" spans="1:26" x14ac:dyDescent="0.2">
      <c r="A321">
        <f t="shared" si="39"/>
        <v>319</v>
      </c>
      <c r="B321">
        <v>2014</v>
      </c>
      <c r="C321" t="s">
        <v>50</v>
      </c>
      <c r="D321" t="s">
        <v>80</v>
      </c>
      <c r="E321">
        <v>4</v>
      </c>
      <c r="F321" s="2">
        <v>193</v>
      </c>
      <c r="G321" s="2" t="s">
        <v>40</v>
      </c>
      <c r="H321" s="2" t="s">
        <v>39</v>
      </c>
      <c r="I321" s="2" t="s">
        <v>33</v>
      </c>
      <c r="J321" s="2">
        <v>311</v>
      </c>
      <c r="K321" s="3">
        <v>222.06</v>
      </c>
      <c r="L321" s="3">
        <v>212.3</v>
      </c>
      <c r="M321" s="3">
        <v>100.21</v>
      </c>
      <c r="N321" s="3">
        <v>13938.706200000001</v>
      </c>
      <c r="O321" s="3">
        <v>13324</v>
      </c>
      <c r="P321" s="3">
        <v>394707</v>
      </c>
      <c r="Q321" s="3">
        <v>43.335000000000001</v>
      </c>
      <c r="R321" s="3">
        <v>23.75</v>
      </c>
      <c r="S321" s="3">
        <v>150.47</v>
      </c>
      <c r="T321" s="1">
        <f t="shared" si="32"/>
        <v>9.7599999999999909</v>
      </c>
      <c r="U321" s="1">
        <f t="shared" si="33"/>
        <v>50.104999999999997</v>
      </c>
      <c r="V321" s="1">
        <f t="shared" si="34"/>
        <v>614.70620000000054</v>
      </c>
      <c r="W321" s="1">
        <f t="shared" si="35"/>
        <v>197353.5</v>
      </c>
      <c r="X321" s="1">
        <f t="shared" si="36"/>
        <v>19.585000000000001</v>
      </c>
      <c r="Y321" s="1">
        <f t="shared" si="37"/>
        <v>75.234999999999999</v>
      </c>
      <c r="Z321">
        <f t="shared" si="38"/>
        <v>1</v>
      </c>
    </row>
    <row r="322" spans="1:26" x14ac:dyDescent="0.2">
      <c r="A322">
        <f t="shared" si="39"/>
        <v>320</v>
      </c>
      <c r="B322">
        <v>2015</v>
      </c>
      <c r="C322" t="s">
        <v>64</v>
      </c>
      <c r="D322" t="s">
        <v>65</v>
      </c>
      <c r="E322">
        <v>4</v>
      </c>
      <c r="F322" s="2">
        <v>193</v>
      </c>
      <c r="G322" s="2" t="s">
        <v>40</v>
      </c>
      <c r="H322" s="2" t="s">
        <v>39</v>
      </c>
      <c r="I322" s="2" t="s">
        <v>33</v>
      </c>
      <c r="J322" s="2">
        <v>311</v>
      </c>
      <c r="K322" s="3">
        <v>226.17</v>
      </c>
      <c r="L322" s="3">
        <v>216.3</v>
      </c>
      <c r="M322" s="3">
        <v>218.38</v>
      </c>
      <c r="N322" s="3">
        <v>14196.6909</v>
      </c>
      <c r="O322" s="3">
        <v>13576</v>
      </c>
      <c r="P322" s="3">
        <v>860223</v>
      </c>
      <c r="Q322" s="3">
        <v>2</v>
      </c>
      <c r="R322" s="3">
        <v>7</v>
      </c>
      <c r="S322" s="3">
        <v>3.3643000000000001</v>
      </c>
      <c r="T322" s="1">
        <f t="shared" si="32"/>
        <v>9.8699999999999761</v>
      </c>
      <c r="U322" s="1">
        <f t="shared" si="33"/>
        <v>109.19</v>
      </c>
      <c r="V322" s="1">
        <f t="shared" si="34"/>
        <v>620.6908999999996</v>
      </c>
      <c r="W322" s="1">
        <f t="shared" si="35"/>
        <v>430111.5</v>
      </c>
      <c r="X322" s="1">
        <f t="shared" si="36"/>
        <v>-5</v>
      </c>
      <c r="Y322" s="1">
        <f t="shared" si="37"/>
        <v>1.68215</v>
      </c>
      <c r="Z322">
        <f t="shared" si="38"/>
        <v>0</v>
      </c>
    </row>
    <row r="323" spans="1:26" x14ac:dyDescent="0.2">
      <c r="A323">
        <f t="shared" si="39"/>
        <v>321</v>
      </c>
      <c r="B323">
        <v>2015</v>
      </c>
      <c r="C323" t="s">
        <v>64</v>
      </c>
      <c r="D323" t="s">
        <v>91</v>
      </c>
      <c r="E323">
        <v>6</v>
      </c>
      <c r="F323" s="2">
        <v>153</v>
      </c>
      <c r="G323" s="2" t="s">
        <v>44</v>
      </c>
      <c r="H323" s="2" t="s">
        <v>45</v>
      </c>
      <c r="I323" s="2" t="s">
        <v>33</v>
      </c>
      <c r="J323" s="2">
        <v>3711</v>
      </c>
      <c r="K323" s="3">
        <v>205.19</v>
      </c>
      <c r="L323" s="3">
        <v>195.3</v>
      </c>
      <c r="M323" s="3">
        <v>52.46</v>
      </c>
      <c r="N323" s="3">
        <v>12879.776300000001</v>
      </c>
      <c r="O323" s="3">
        <v>12258</v>
      </c>
      <c r="P323" s="3">
        <v>206693</v>
      </c>
      <c r="Q323" s="3">
        <v>16.166699999999999</v>
      </c>
      <c r="R323" s="3">
        <v>30</v>
      </c>
      <c r="S323" s="3">
        <v>49.622199999999999</v>
      </c>
      <c r="T323" s="1">
        <f t="shared" ref="T323:T386" si="40">K323-L323</f>
        <v>9.8899999999999864</v>
      </c>
      <c r="U323" s="1">
        <f t="shared" ref="U323:U386" si="41">(2*M323)/E323</f>
        <v>17.486666666666668</v>
      </c>
      <c r="V323" s="1">
        <f t="shared" ref="V323:V386" si="42">N323-O323</f>
        <v>621.77630000000136</v>
      </c>
      <c r="W323" s="1">
        <f t="shared" ref="W323:W386" si="43">(2*P323)/E323</f>
        <v>68897.666666666672</v>
      </c>
      <c r="X323" s="1">
        <f t="shared" ref="X323:X386" si="44">Q323-R323</f>
        <v>-13.833300000000001</v>
      </c>
      <c r="Y323" s="1">
        <f t="shared" ref="Y323:Y386" si="45">(2*S323)/E323</f>
        <v>16.540733333333332</v>
      </c>
      <c r="Z323">
        <f t="shared" ref="Z323:Z386" si="46">IF(Q323&lt;5,0,1)</f>
        <v>1</v>
      </c>
    </row>
    <row r="324" spans="1:26" x14ac:dyDescent="0.2">
      <c r="A324">
        <f t="shared" ref="A324:A387" si="47">A323+1</f>
        <v>322</v>
      </c>
      <c r="B324">
        <v>2015</v>
      </c>
      <c r="C324" t="s">
        <v>72</v>
      </c>
      <c r="D324" t="s">
        <v>74</v>
      </c>
      <c r="E324">
        <v>4</v>
      </c>
      <c r="F324" s="2">
        <v>112</v>
      </c>
      <c r="G324" s="2" t="s">
        <v>40</v>
      </c>
      <c r="H324" s="2" t="s">
        <v>39</v>
      </c>
      <c r="I324" s="2" t="s">
        <v>41</v>
      </c>
      <c r="J324" s="2">
        <v>311</v>
      </c>
      <c r="K324" s="3">
        <v>184.47</v>
      </c>
      <c r="L324" s="3">
        <v>174.51</v>
      </c>
      <c r="M324" s="3">
        <v>222.67</v>
      </c>
      <c r="N324" s="3">
        <v>11579.181900000001</v>
      </c>
      <c r="O324" s="3">
        <v>10953</v>
      </c>
      <c r="P324" s="3">
        <v>877097</v>
      </c>
      <c r="Q324" s="3">
        <v>4.25</v>
      </c>
      <c r="R324" s="3">
        <v>13.05</v>
      </c>
      <c r="S324" s="3">
        <v>5.4372999999999996</v>
      </c>
      <c r="T324" s="1">
        <f t="shared" si="40"/>
        <v>9.960000000000008</v>
      </c>
      <c r="U324" s="1">
        <f t="shared" si="41"/>
        <v>111.33499999999999</v>
      </c>
      <c r="V324" s="1">
        <f t="shared" si="42"/>
        <v>626.18190000000141</v>
      </c>
      <c r="W324" s="1">
        <f t="shared" si="43"/>
        <v>438548.5</v>
      </c>
      <c r="X324" s="1">
        <f t="shared" si="44"/>
        <v>-8.8000000000000007</v>
      </c>
      <c r="Y324" s="1">
        <f t="shared" si="45"/>
        <v>2.7186499999999998</v>
      </c>
      <c r="Z324">
        <f t="shared" si="46"/>
        <v>0</v>
      </c>
    </row>
    <row r="325" spans="1:26" x14ac:dyDescent="0.2">
      <c r="A325">
        <f t="shared" si="47"/>
        <v>323</v>
      </c>
      <c r="B325">
        <v>2014</v>
      </c>
      <c r="C325" t="s">
        <v>50</v>
      </c>
      <c r="D325" t="s">
        <v>86</v>
      </c>
      <c r="E325">
        <v>4</v>
      </c>
      <c r="F325" s="2">
        <v>153</v>
      </c>
      <c r="G325" s="2" t="s">
        <v>44</v>
      </c>
      <c r="H325" s="2" t="s">
        <v>45</v>
      </c>
      <c r="I325" s="2" t="s">
        <v>33</v>
      </c>
      <c r="J325" s="2">
        <v>3711</v>
      </c>
      <c r="K325" s="3">
        <v>162</v>
      </c>
      <c r="L325" s="3">
        <v>152.02000000000001</v>
      </c>
      <c r="M325" s="3">
        <v>208.65</v>
      </c>
      <c r="N325" s="3">
        <v>10168.74</v>
      </c>
      <c r="O325" s="3">
        <v>9541.27</v>
      </c>
      <c r="P325" s="3">
        <v>821938</v>
      </c>
      <c r="Q325" s="3">
        <v>0</v>
      </c>
      <c r="R325" s="3">
        <v>0</v>
      </c>
      <c r="S325" s="3">
        <v>0</v>
      </c>
      <c r="T325" s="1">
        <f t="shared" si="40"/>
        <v>9.9799999999999898</v>
      </c>
      <c r="U325" s="1">
        <f t="shared" si="41"/>
        <v>104.325</v>
      </c>
      <c r="V325" s="1">
        <f t="shared" si="42"/>
        <v>627.46999999999935</v>
      </c>
      <c r="W325" s="1">
        <f t="shared" si="43"/>
        <v>410969</v>
      </c>
      <c r="X325" s="1">
        <f t="shared" si="44"/>
        <v>0</v>
      </c>
      <c r="Y325" s="1">
        <f t="shared" si="45"/>
        <v>0</v>
      </c>
      <c r="Z325">
        <f t="shared" si="46"/>
        <v>0</v>
      </c>
    </row>
    <row r="326" spans="1:26" x14ac:dyDescent="0.2">
      <c r="A326">
        <f t="shared" si="47"/>
        <v>324</v>
      </c>
      <c r="B326">
        <v>2014</v>
      </c>
      <c r="C326" t="s">
        <v>52</v>
      </c>
      <c r="D326" t="s">
        <v>79</v>
      </c>
      <c r="E326">
        <v>4</v>
      </c>
      <c r="F326" s="2">
        <v>82</v>
      </c>
      <c r="G326" s="2" t="s">
        <v>31</v>
      </c>
      <c r="H326" s="2" t="s">
        <v>46</v>
      </c>
      <c r="I326" s="2" t="s">
        <v>41</v>
      </c>
      <c r="J326" s="2">
        <v>311</v>
      </c>
      <c r="K326" s="3">
        <v>175.04</v>
      </c>
      <c r="L326" s="3">
        <v>165.03</v>
      </c>
      <c r="M326" s="3">
        <v>19.100000000000001</v>
      </c>
      <c r="N326" s="3">
        <v>10987.2608</v>
      </c>
      <c r="O326" s="3">
        <v>10358</v>
      </c>
      <c r="P326" s="3">
        <v>75251</v>
      </c>
      <c r="Q326" s="3">
        <v>20</v>
      </c>
      <c r="R326" s="3">
        <v>70</v>
      </c>
      <c r="S326" s="3">
        <v>10.1486</v>
      </c>
      <c r="T326" s="1">
        <f t="shared" si="40"/>
        <v>10.009999999999991</v>
      </c>
      <c r="U326" s="1">
        <f t="shared" si="41"/>
        <v>9.5500000000000007</v>
      </c>
      <c r="V326" s="1">
        <f t="shared" si="42"/>
        <v>629.26080000000002</v>
      </c>
      <c r="W326" s="1">
        <f t="shared" si="43"/>
        <v>37625.5</v>
      </c>
      <c r="X326" s="1">
        <f t="shared" si="44"/>
        <v>-50</v>
      </c>
      <c r="Y326" s="1">
        <f t="shared" si="45"/>
        <v>5.0743</v>
      </c>
      <c r="Z326">
        <f t="shared" si="46"/>
        <v>1</v>
      </c>
    </row>
    <row r="327" spans="1:26" x14ac:dyDescent="0.2">
      <c r="A327">
        <f t="shared" si="47"/>
        <v>325</v>
      </c>
      <c r="B327">
        <v>2014</v>
      </c>
      <c r="C327" t="s">
        <v>50</v>
      </c>
      <c r="D327" t="s">
        <v>87</v>
      </c>
      <c r="E327">
        <v>4</v>
      </c>
      <c r="F327" s="2">
        <v>82</v>
      </c>
      <c r="G327" s="2" t="s">
        <v>31</v>
      </c>
      <c r="H327" s="2" t="s">
        <v>46</v>
      </c>
      <c r="I327" s="2" t="s">
        <v>41</v>
      </c>
      <c r="J327" s="2">
        <v>311</v>
      </c>
      <c r="K327" s="3">
        <v>207.42</v>
      </c>
      <c r="L327" s="3">
        <v>197.4</v>
      </c>
      <c r="M327" s="3">
        <v>34.08</v>
      </c>
      <c r="N327" s="3">
        <v>13019.7534</v>
      </c>
      <c r="O327" s="3">
        <v>12389</v>
      </c>
      <c r="P327" s="3">
        <v>134269</v>
      </c>
      <c r="Q327" s="3">
        <v>4</v>
      </c>
      <c r="R327" s="3">
        <v>10.75</v>
      </c>
      <c r="S327" s="3">
        <v>17.947199999999999</v>
      </c>
      <c r="T327" s="1">
        <f t="shared" si="40"/>
        <v>10.019999999999982</v>
      </c>
      <c r="U327" s="1">
        <f t="shared" si="41"/>
        <v>17.04</v>
      </c>
      <c r="V327" s="1">
        <f t="shared" si="42"/>
        <v>630.7533999999996</v>
      </c>
      <c r="W327" s="1">
        <f t="shared" si="43"/>
        <v>67134.5</v>
      </c>
      <c r="X327" s="1">
        <f t="shared" si="44"/>
        <v>-6.75</v>
      </c>
      <c r="Y327" s="1">
        <f t="shared" si="45"/>
        <v>8.9735999999999994</v>
      </c>
      <c r="Z327">
        <f t="shared" si="46"/>
        <v>0</v>
      </c>
    </row>
    <row r="328" spans="1:26" x14ac:dyDescent="0.2">
      <c r="A328">
        <f t="shared" si="47"/>
        <v>326</v>
      </c>
      <c r="B328">
        <v>2014</v>
      </c>
      <c r="C328" t="s">
        <v>50</v>
      </c>
      <c r="D328" t="s">
        <v>86</v>
      </c>
      <c r="E328">
        <v>4</v>
      </c>
      <c r="F328" s="2">
        <v>72</v>
      </c>
      <c r="G328" s="2" t="s">
        <v>47</v>
      </c>
      <c r="H328" s="2" t="s">
        <v>48</v>
      </c>
      <c r="I328" s="2" t="s">
        <v>41</v>
      </c>
      <c r="J328" s="2">
        <v>311</v>
      </c>
      <c r="K328" s="3">
        <v>162.06</v>
      </c>
      <c r="L328" s="3">
        <v>152.02000000000001</v>
      </c>
      <c r="M328" s="3">
        <v>208.65</v>
      </c>
      <c r="N328" s="3">
        <v>10172.5062</v>
      </c>
      <c r="O328" s="3">
        <v>9541.27</v>
      </c>
      <c r="P328" s="3">
        <v>821938</v>
      </c>
      <c r="Q328" s="3">
        <v>0</v>
      </c>
      <c r="R328" s="3">
        <v>0</v>
      </c>
      <c r="S328" s="3">
        <v>0</v>
      </c>
      <c r="T328" s="1">
        <f t="shared" si="40"/>
        <v>10.039999999999992</v>
      </c>
      <c r="U328" s="1">
        <f t="shared" si="41"/>
        <v>104.325</v>
      </c>
      <c r="V328" s="1">
        <f t="shared" si="42"/>
        <v>631.23619999999937</v>
      </c>
      <c r="W328" s="1">
        <f t="shared" si="43"/>
        <v>410969</v>
      </c>
      <c r="X328" s="1">
        <f t="shared" si="44"/>
        <v>0</v>
      </c>
      <c r="Y328" s="1">
        <f t="shared" si="45"/>
        <v>0</v>
      </c>
      <c r="Z328">
        <f t="shared" si="46"/>
        <v>0</v>
      </c>
    </row>
    <row r="329" spans="1:26" x14ac:dyDescent="0.2">
      <c r="A329">
        <f t="shared" si="47"/>
        <v>327</v>
      </c>
      <c r="B329">
        <v>2015</v>
      </c>
      <c r="C329" t="s">
        <v>34</v>
      </c>
      <c r="D329" t="s">
        <v>35</v>
      </c>
      <c r="E329">
        <v>4</v>
      </c>
      <c r="F329" s="2">
        <v>92</v>
      </c>
      <c r="G329" s="2" t="s">
        <v>42</v>
      </c>
      <c r="H329" s="2" t="s">
        <v>43</v>
      </c>
      <c r="I329" s="2" t="s">
        <v>41</v>
      </c>
      <c r="J329" s="2">
        <v>311</v>
      </c>
      <c r="K329" s="3">
        <v>137.66999999999999</v>
      </c>
      <c r="L329" s="3">
        <v>127.58</v>
      </c>
      <c r="M329" s="3">
        <v>1197.8900000000001</v>
      </c>
      <c r="N329" s="3">
        <v>8641.5458999999992</v>
      </c>
      <c r="O329" s="3">
        <v>8007.33</v>
      </c>
      <c r="P329" s="3">
        <v>4718559</v>
      </c>
      <c r="Q329" s="3">
        <v>0</v>
      </c>
      <c r="R329" s="3">
        <v>0</v>
      </c>
      <c r="S329" s="3">
        <v>0</v>
      </c>
      <c r="T329" s="1">
        <f t="shared" si="40"/>
        <v>10.089999999999989</v>
      </c>
      <c r="U329" s="1">
        <f t="shared" si="41"/>
        <v>598.94500000000005</v>
      </c>
      <c r="V329" s="1">
        <f t="shared" si="42"/>
        <v>634.21589999999924</v>
      </c>
      <c r="W329" s="1">
        <f t="shared" si="43"/>
        <v>2359279.5</v>
      </c>
      <c r="X329" s="1">
        <f t="shared" si="44"/>
        <v>0</v>
      </c>
      <c r="Y329" s="1">
        <f t="shared" si="45"/>
        <v>0</v>
      </c>
      <c r="Z329">
        <f t="shared" si="46"/>
        <v>0</v>
      </c>
    </row>
    <row r="330" spans="1:26" x14ac:dyDescent="0.2">
      <c r="A330">
        <f t="shared" si="47"/>
        <v>328</v>
      </c>
      <c r="B330">
        <v>2014</v>
      </c>
      <c r="C330" t="s">
        <v>52</v>
      </c>
      <c r="D330" t="s">
        <v>79</v>
      </c>
      <c r="E330">
        <v>4</v>
      </c>
      <c r="F330" s="2">
        <v>112</v>
      </c>
      <c r="G330" s="2" t="s">
        <v>40</v>
      </c>
      <c r="H330" s="2" t="s">
        <v>39</v>
      </c>
      <c r="I330" s="2" t="s">
        <v>41</v>
      </c>
      <c r="J330" s="2">
        <v>311</v>
      </c>
      <c r="K330" s="3">
        <v>175.15</v>
      </c>
      <c r="L330" s="3">
        <v>165.03</v>
      </c>
      <c r="M330" s="3">
        <v>19.100000000000001</v>
      </c>
      <c r="N330" s="3">
        <v>10994.165500000001</v>
      </c>
      <c r="O330" s="3">
        <v>10358</v>
      </c>
      <c r="P330" s="3">
        <v>75251</v>
      </c>
      <c r="Q330" s="3">
        <v>28.75</v>
      </c>
      <c r="R330" s="3">
        <v>70</v>
      </c>
      <c r="S330" s="3">
        <v>10.1486</v>
      </c>
      <c r="T330" s="1">
        <f t="shared" si="40"/>
        <v>10.120000000000005</v>
      </c>
      <c r="U330" s="1">
        <f t="shared" si="41"/>
        <v>9.5500000000000007</v>
      </c>
      <c r="V330" s="1">
        <f t="shared" si="42"/>
        <v>636.16550000000097</v>
      </c>
      <c r="W330" s="1">
        <f t="shared" si="43"/>
        <v>37625.5</v>
      </c>
      <c r="X330" s="1">
        <f t="shared" si="44"/>
        <v>-41.25</v>
      </c>
      <c r="Y330" s="1">
        <f t="shared" si="45"/>
        <v>5.0743</v>
      </c>
      <c r="Z330">
        <f t="shared" si="46"/>
        <v>1</v>
      </c>
    </row>
    <row r="331" spans="1:26" x14ac:dyDescent="0.2">
      <c r="A331">
        <f t="shared" si="47"/>
        <v>329</v>
      </c>
      <c r="B331">
        <v>2014</v>
      </c>
      <c r="C331" t="s">
        <v>50</v>
      </c>
      <c r="D331" t="s">
        <v>87</v>
      </c>
      <c r="E331">
        <v>4</v>
      </c>
      <c r="F331" s="2">
        <v>183</v>
      </c>
      <c r="G331" s="2" t="s">
        <v>36</v>
      </c>
      <c r="H331" s="2" t="s">
        <v>37</v>
      </c>
      <c r="I331" s="2" t="s">
        <v>33</v>
      </c>
      <c r="J331" s="2">
        <v>11</v>
      </c>
      <c r="K331" s="3">
        <v>207.57</v>
      </c>
      <c r="L331" s="3">
        <v>197.4</v>
      </c>
      <c r="M331" s="3">
        <v>34.08</v>
      </c>
      <c r="N331" s="3">
        <v>13029.168900000001</v>
      </c>
      <c r="O331" s="3">
        <v>12389</v>
      </c>
      <c r="P331" s="3">
        <v>134269</v>
      </c>
      <c r="Q331" s="3">
        <v>7.75</v>
      </c>
      <c r="R331" s="3">
        <v>10.75</v>
      </c>
      <c r="S331" s="3">
        <v>17.947199999999999</v>
      </c>
      <c r="T331" s="1">
        <f t="shared" si="40"/>
        <v>10.169999999999987</v>
      </c>
      <c r="U331" s="1">
        <f t="shared" si="41"/>
        <v>17.04</v>
      </c>
      <c r="V331" s="1">
        <f t="shared" si="42"/>
        <v>640.16890000000058</v>
      </c>
      <c r="W331" s="1">
        <f t="shared" si="43"/>
        <v>67134.5</v>
      </c>
      <c r="X331" s="1">
        <f t="shared" si="44"/>
        <v>-3</v>
      </c>
      <c r="Y331" s="1">
        <f t="shared" si="45"/>
        <v>8.9735999999999994</v>
      </c>
      <c r="Z331">
        <f t="shared" si="46"/>
        <v>1</v>
      </c>
    </row>
    <row r="332" spans="1:26" x14ac:dyDescent="0.2">
      <c r="A332">
        <f t="shared" si="47"/>
        <v>330</v>
      </c>
      <c r="B332">
        <v>2015</v>
      </c>
      <c r="C332" t="s">
        <v>92</v>
      </c>
      <c r="D332" t="s">
        <v>93</v>
      </c>
      <c r="E332">
        <v>4</v>
      </c>
      <c r="F332" s="2">
        <v>112</v>
      </c>
      <c r="G332" s="2" t="s">
        <v>40</v>
      </c>
      <c r="H332" s="2" t="s">
        <v>39</v>
      </c>
      <c r="I332" s="2" t="s">
        <v>41</v>
      </c>
      <c r="J332" s="2">
        <v>311</v>
      </c>
      <c r="K332" s="3">
        <v>224.21</v>
      </c>
      <c r="L332" s="3">
        <v>213.77</v>
      </c>
      <c r="M332" s="3">
        <v>77.13</v>
      </c>
      <c r="N332" s="3">
        <v>14073.661700000001</v>
      </c>
      <c r="O332" s="3">
        <v>13417</v>
      </c>
      <c r="P332" s="3">
        <v>303850</v>
      </c>
      <c r="Q332" s="3">
        <v>3.25</v>
      </c>
      <c r="R332" s="3">
        <v>21.75</v>
      </c>
      <c r="S332" s="3">
        <v>29.549499999999998</v>
      </c>
      <c r="T332" s="1">
        <f t="shared" si="40"/>
        <v>10.439999999999998</v>
      </c>
      <c r="U332" s="1">
        <f t="shared" si="41"/>
        <v>38.564999999999998</v>
      </c>
      <c r="V332" s="1">
        <f t="shared" si="42"/>
        <v>656.66170000000056</v>
      </c>
      <c r="W332" s="1">
        <f t="shared" si="43"/>
        <v>151925</v>
      </c>
      <c r="X332" s="1">
        <f t="shared" si="44"/>
        <v>-18.5</v>
      </c>
      <c r="Y332" s="1">
        <f t="shared" si="45"/>
        <v>14.774749999999999</v>
      </c>
      <c r="Z332">
        <f t="shared" si="46"/>
        <v>0</v>
      </c>
    </row>
    <row r="333" spans="1:26" x14ac:dyDescent="0.2">
      <c r="A333">
        <f t="shared" si="47"/>
        <v>331</v>
      </c>
      <c r="B333">
        <v>2014</v>
      </c>
      <c r="C333" t="s">
        <v>67</v>
      </c>
      <c r="D333" t="s">
        <v>68</v>
      </c>
      <c r="E333">
        <v>4</v>
      </c>
      <c r="F333" s="2">
        <v>142</v>
      </c>
      <c r="G333" s="2" t="s">
        <v>63</v>
      </c>
      <c r="H333" s="2" t="s">
        <v>46</v>
      </c>
      <c r="I333" s="2" t="s">
        <v>41</v>
      </c>
      <c r="J333" s="2">
        <v>3</v>
      </c>
      <c r="K333" s="3">
        <v>195.39</v>
      </c>
      <c r="L333" s="3">
        <v>184.84</v>
      </c>
      <c r="M333" s="1">
        <v>153.71</v>
      </c>
      <c r="N333" s="3">
        <v>12264.630299999999</v>
      </c>
      <c r="O333" s="3">
        <v>11601</v>
      </c>
      <c r="P333" s="1">
        <v>605499</v>
      </c>
      <c r="Q333" s="3">
        <v>24.607500000000002</v>
      </c>
      <c r="R333" s="3">
        <v>35.222499999999997</v>
      </c>
      <c r="S333" s="3">
        <v>66.884600000000006</v>
      </c>
      <c r="T333" s="1">
        <f t="shared" si="40"/>
        <v>10.549999999999983</v>
      </c>
      <c r="U333" s="1">
        <f t="shared" si="41"/>
        <v>76.855000000000004</v>
      </c>
      <c r="V333" s="1">
        <f t="shared" si="42"/>
        <v>663.6302999999989</v>
      </c>
      <c r="W333" s="1">
        <f t="shared" si="43"/>
        <v>302749.5</v>
      </c>
      <c r="X333" s="1">
        <f t="shared" si="44"/>
        <v>-10.614999999999995</v>
      </c>
      <c r="Y333" s="1">
        <f t="shared" si="45"/>
        <v>33.442300000000003</v>
      </c>
      <c r="Z333">
        <f t="shared" si="46"/>
        <v>1</v>
      </c>
    </row>
    <row r="334" spans="1:26" x14ac:dyDescent="0.2">
      <c r="A334">
        <f t="shared" si="47"/>
        <v>332</v>
      </c>
      <c r="B334">
        <v>2014</v>
      </c>
      <c r="C334" t="s">
        <v>64</v>
      </c>
      <c r="D334" t="s">
        <v>70</v>
      </c>
      <c r="E334">
        <v>4</v>
      </c>
      <c r="F334" s="2">
        <v>193</v>
      </c>
      <c r="G334" s="2" t="s">
        <v>40</v>
      </c>
      <c r="H334" s="2" t="s">
        <v>39</v>
      </c>
      <c r="I334" s="2" t="s">
        <v>33</v>
      </c>
      <c r="J334" s="2">
        <v>311</v>
      </c>
      <c r="K334" s="3">
        <v>224.85</v>
      </c>
      <c r="L334" s="3">
        <v>214.18</v>
      </c>
      <c r="M334" s="3">
        <v>106.85</v>
      </c>
      <c r="N334" s="3">
        <v>14113.834500000001</v>
      </c>
      <c r="O334" s="3">
        <v>13442</v>
      </c>
      <c r="P334" s="3">
        <v>420908</v>
      </c>
      <c r="Q334" s="3">
        <v>5</v>
      </c>
      <c r="R334" s="3">
        <v>10</v>
      </c>
      <c r="S334" s="3">
        <v>6.2126000000000001</v>
      </c>
      <c r="T334" s="1">
        <f t="shared" si="40"/>
        <v>10.669999999999987</v>
      </c>
      <c r="U334" s="1">
        <f t="shared" si="41"/>
        <v>53.424999999999997</v>
      </c>
      <c r="V334" s="1">
        <f t="shared" si="42"/>
        <v>671.83450000000084</v>
      </c>
      <c r="W334" s="1">
        <f t="shared" si="43"/>
        <v>210454</v>
      </c>
      <c r="X334" s="1">
        <f t="shared" si="44"/>
        <v>-5</v>
      </c>
      <c r="Y334" s="1">
        <f t="shared" si="45"/>
        <v>3.1063000000000001</v>
      </c>
      <c r="Z334">
        <f t="shared" si="46"/>
        <v>1</v>
      </c>
    </row>
    <row r="335" spans="1:26" x14ac:dyDescent="0.2">
      <c r="A335">
        <f t="shared" si="47"/>
        <v>333</v>
      </c>
      <c r="B335">
        <v>2015</v>
      </c>
      <c r="C335" t="s">
        <v>64</v>
      </c>
      <c r="D335" t="s">
        <v>91</v>
      </c>
      <c r="E335">
        <v>6</v>
      </c>
      <c r="F335" s="2">
        <v>82</v>
      </c>
      <c r="G335" s="2" t="s">
        <v>31</v>
      </c>
      <c r="H335" s="2" t="s">
        <v>46</v>
      </c>
      <c r="I335" s="2" t="s">
        <v>41</v>
      </c>
      <c r="J335" s="2">
        <v>311</v>
      </c>
      <c r="K335" s="3">
        <v>206.06</v>
      </c>
      <c r="L335" s="3">
        <v>195.3</v>
      </c>
      <c r="M335" s="3">
        <v>52.46</v>
      </c>
      <c r="N335" s="3">
        <v>12934.386200000001</v>
      </c>
      <c r="O335" s="3">
        <v>12258</v>
      </c>
      <c r="P335" s="3">
        <v>206693</v>
      </c>
      <c r="Q335" s="3">
        <v>25.166699999999999</v>
      </c>
      <c r="R335" s="3">
        <v>30</v>
      </c>
      <c r="S335" s="3">
        <v>49.622199999999999</v>
      </c>
      <c r="T335" s="1">
        <f t="shared" si="40"/>
        <v>10.759999999999991</v>
      </c>
      <c r="U335" s="1">
        <f t="shared" si="41"/>
        <v>17.486666666666668</v>
      </c>
      <c r="V335" s="1">
        <f t="shared" si="42"/>
        <v>676.38620000000083</v>
      </c>
      <c r="W335" s="1">
        <f t="shared" si="43"/>
        <v>68897.666666666672</v>
      </c>
      <c r="X335" s="1">
        <f t="shared" si="44"/>
        <v>-4.8333000000000013</v>
      </c>
      <c r="Y335" s="1">
        <f t="shared" si="45"/>
        <v>16.540733333333332</v>
      </c>
      <c r="Z335">
        <f t="shared" si="46"/>
        <v>1</v>
      </c>
    </row>
    <row r="336" spans="1:26" x14ac:dyDescent="0.2">
      <c r="A336">
        <f t="shared" si="47"/>
        <v>334</v>
      </c>
      <c r="B336">
        <v>2014</v>
      </c>
      <c r="C336" t="s">
        <v>64</v>
      </c>
      <c r="D336" t="s">
        <v>91</v>
      </c>
      <c r="E336">
        <v>4</v>
      </c>
      <c r="F336" s="2">
        <v>21</v>
      </c>
      <c r="G336" s="2" t="s">
        <v>71</v>
      </c>
      <c r="H336" s="2" t="s">
        <v>66</v>
      </c>
      <c r="I336" s="2" t="s">
        <v>30</v>
      </c>
      <c r="J336" s="2">
        <v>711</v>
      </c>
      <c r="K336" s="3">
        <v>212.32</v>
      </c>
      <c r="L336" s="3">
        <v>201.5</v>
      </c>
      <c r="M336" s="3">
        <v>33.04</v>
      </c>
      <c r="N336" s="3">
        <v>13327.3264</v>
      </c>
      <c r="O336" s="3">
        <v>12647</v>
      </c>
      <c r="P336" s="3">
        <v>130192</v>
      </c>
      <c r="Q336" s="3">
        <v>1.0275000000000001</v>
      </c>
      <c r="R336" s="3">
        <v>7.4999999999999997E-2</v>
      </c>
      <c r="S336" s="3">
        <v>0.59940000000000004</v>
      </c>
      <c r="T336" s="1">
        <f t="shared" si="40"/>
        <v>10.819999999999993</v>
      </c>
      <c r="U336" s="1">
        <f t="shared" si="41"/>
        <v>16.52</v>
      </c>
      <c r="V336" s="1">
        <f t="shared" si="42"/>
        <v>680.32639999999992</v>
      </c>
      <c r="W336" s="1">
        <f t="shared" si="43"/>
        <v>65096</v>
      </c>
      <c r="X336" s="1">
        <f t="shared" si="44"/>
        <v>0.95250000000000012</v>
      </c>
      <c r="Y336" s="1">
        <f t="shared" si="45"/>
        <v>0.29970000000000002</v>
      </c>
      <c r="Z336">
        <f t="shared" si="46"/>
        <v>0</v>
      </c>
    </row>
    <row r="337" spans="1:26" x14ac:dyDescent="0.2">
      <c r="A337">
        <f t="shared" si="47"/>
        <v>335</v>
      </c>
      <c r="B337">
        <v>2014</v>
      </c>
      <c r="C337" t="s">
        <v>67</v>
      </c>
      <c r="D337" t="s">
        <v>68</v>
      </c>
      <c r="E337">
        <v>4</v>
      </c>
      <c r="F337" s="2">
        <v>102</v>
      </c>
      <c r="G337" s="2" t="s">
        <v>36</v>
      </c>
      <c r="H337" s="2" t="s">
        <v>29</v>
      </c>
      <c r="I337" s="2" t="s">
        <v>41</v>
      </c>
      <c r="J337" s="2">
        <v>11</v>
      </c>
      <c r="K337" s="3">
        <v>195.67</v>
      </c>
      <c r="L337" s="3">
        <v>184.84</v>
      </c>
      <c r="M337" s="1">
        <v>153.71</v>
      </c>
      <c r="N337" s="3">
        <v>12282.205899999999</v>
      </c>
      <c r="O337" s="3">
        <v>11601</v>
      </c>
      <c r="P337" s="1">
        <v>605499</v>
      </c>
      <c r="Q337" s="3">
        <v>23.112500000000001</v>
      </c>
      <c r="R337" s="3">
        <v>35.222499999999997</v>
      </c>
      <c r="S337" s="3">
        <v>66.884600000000006</v>
      </c>
      <c r="T337" s="1">
        <f t="shared" si="40"/>
        <v>10.829999999999984</v>
      </c>
      <c r="U337" s="1">
        <f t="shared" si="41"/>
        <v>76.855000000000004</v>
      </c>
      <c r="V337" s="1">
        <f t="shared" si="42"/>
        <v>681.20589999999902</v>
      </c>
      <c r="W337" s="1">
        <f t="shared" si="43"/>
        <v>302749.5</v>
      </c>
      <c r="X337" s="1">
        <f t="shared" si="44"/>
        <v>-12.109999999999996</v>
      </c>
      <c r="Y337" s="1">
        <f t="shared" si="45"/>
        <v>33.442300000000003</v>
      </c>
      <c r="Z337">
        <f t="shared" si="46"/>
        <v>1</v>
      </c>
    </row>
    <row r="338" spans="1:26" x14ac:dyDescent="0.2">
      <c r="A338">
        <f t="shared" si="47"/>
        <v>336</v>
      </c>
      <c r="B338">
        <v>2015</v>
      </c>
      <c r="C338" t="s">
        <v>34</v>
      </c>
      <c r="D338" t="s">
        <v>35</v>
      </c>
      <c r="E338">
        <v>4</v>
      </c>
      <c r="F338" s="2">
        <v>163</v>
      </c>
      <c r="G338" s="2" t="s">
        <v>58</v>
      </c>
      <c r="H338" s="2" t="s">
        <v>59</v>
      </c>
      <c r="I338" s="2" t="s">
        <v>33</v>
      </c>
      <c r="J338" s="2">
        <v>311</v>
      </c>
      <c r="K338" s="3">
        <v>138.62</v>
      </c>
      <c r="L338" s="3">
        <v>127.58</v>
      </c>
      <c r="M338" s="3">
        <v>1197.8900000000001</v>
      </c>
      <c r="N338" s="3">
        <v>8701.1774000000005</v>
      </c>
      <c r="O338" s="3">
        <v>8007.33</v>
      </c>
      <c r="P338" s="3">
        <v>4718559</v>
      </c>
      <c r="Q338" s="3">
        <v>0</v>
      </c>
      <c r="R338" s="3">
        <v>0</v>
      </c>
      <c r="S338" s="3">
        <v>0</v>
      </c>
      <c r="T338" s="1">
        <f t="shared" si="40"/>
        <v>11.040000000000006</v>
      </c>
      <c r="U338" s="1">
        <f t="shared" si="41"/>
        <v>598.94500000000005</v>
      </c>
      <c r="V338" s="1">
        <f t="shared" si="42"/>
        <v>693.84740000000056</v>
      </c>
      <c r="W338" s="1">
        <f t="shared" si="43"/>
        <v>2359279.5</v>
      </c>
      <c r="X338" s="1">
        <f t="shared" si="44"/>
        <v>0</v>
      </c>
      <c r="Y338" s="1">
        <f t="shared" si="45"/>
        <v>0</v>
      </c>
      <c r="Z338">
        <f t="shared" si="46"/>
        <v>0</v>
      </c>
    </row>
    <row r="339" spans="1:26" x14ac:dyDescent="0.2">
      <c r="A339">
        <f t="shared" si="47"/>
        <v>337</v>
      </c>
      <c r="B339">
        <v>2015</v>
      </c>
      <c r="C339" t="s">
        <v>64</v>
      </c>
      <c r="D339" t="s">
        <v>65</v>
      </c>
      <c r="E339">
        <v>4</v>
      </c>
      <c r="F339" s="2">
        <v>72</v>
      </c>
      <c r="G339" s="2" t="s">
        <v>47</v>
      </c>
      <c r="H339" s="2" t="s">
        <v>48</v>
      </c>
      <c r="I339" s="2" t="s">
        <v>41</v>
      </c>
      <c r="J339" s="2">
        <v>311</v>
      </c>
      <c r="K339" s="3">
        <v>227.37</v>
      </c>
      <c r="L339" s="3">
        <v>216.3</v>
      </c>
      <c r="M339" s="3">
        <v>218.38</v>
      </c>
      <c r="N339" s="3">
        <v>14272.0149</v>
      </c>
      <c r="O339" s="3">
        <v>13576</v>
      </c>
      <c r="P339" s="3">
        <v>860223</v>
      </c>
      <c r="Q339" s="3">
        <v>4.25</v>
      </c>
      <c r="R339" s="3">
        <v>7</v>
      </c>
      <c r="S339" s="3">
        <v>3.3643000000000001</v>
      </c>
      <c r="T339" s="1">
        <f t="shared" si="40"/>
        <v>11.069999999999993</v>
      </c>
      <c r="U339" s="1">
        <f t="shared" si="41"/>
        <v>109.19</v>
      </c>
      <c r="V339" s="1">
        <f t="shared" si="42"/>
        <v>696.01490000000013</v>
      </c>
      <c r="W339" s="1">
        <f t="shared" si="43"/>
        <v>430111.5</v>
      </c>
      <c r="X339" s="1">
        <f t="shared" si="44"/>
        <v>-2.75</v>
      </c>
      <c r="Y339" s="1">
        <f t="shared" si="45"/>
        <v>1.68215</v>
      </c>
      <c r="Z339">
        <f t="shared" si="46"/>
        <v>0</v>
      </c>
    </row>
    <row r="340" spans="1:26" x14ac:dyDescent="0.2">
      <c r="A340">
        <f t="shared" si="47"/>
        <v>338</v>
      </c>
      <c r="B340">
        <v>2014</v>
      </c>
      <c r="C340" t="s">
        <v>50</v>
      </c>
      <c r="D340" t="s">
        <v>86</v>
      </c>
      <c r="E340">
        <v>4</v>
      </c>
      <c r="F340" s="2">
        <v>41</v>
      </c>
      <c r="G340" s="2" t="s">
        <v>31</v>
      </c>
      <c r="H340" s="2" t="s">
        <v>62</v>
      </c>
      <c r="I340" s="2" t="s">
        <v>30</v>
      </c>
      <c r="J340" s="2">
        <v>311</v>
      </c>
      <c r="K340" s="3">
        <v>163.1</v>
      </c>
      <c r="L340" s="3">
        <v>152.02000000000001</v>
      </c>
      <c r="M340" s="3">
        <v>208.65</v>
      </c>
      <c r="N340" s="3">
        <v>10237.787</v>
      </c>
      <c r="O340" s="3">
        <v>9541.27</v>
      </c>
      <c r="P340" s="3">
        <v>821938</v>
      </c>
      <c r="Q340" s="3">
        <v>0</v>
      </c>
      <c r="R340" s="3">
        <v>0</v>
      </c>
      <c r="S340" s="3">
        <v>0</v>
      </c>
      <c r="T340" s="1">
        <f t="shared" si="40"/>
        <v>11.079999999999984</v>
      </c>
      <c r="U340" s="1">
        <f t="shared" si="41"/>
        <v>104.325</v>
      </c>
      <c r="V340" s="1">
        <f t="shared" si="42"/>
        <v>696.51699999999983</v>
      </c>
      <c r="W340" s="1">
        <f t="shared" si="43"/>
        <v>410969</v>
      </c>
      <c r="X340" s="1">
        <f t="shared" si="44"/>
        <v>0</v>
      </c>
      <c r="Y340" s="1">
        <f t="shared" si="45"/>
        <v>0</v>
      </c>
      <c r="Z340">
        <f t="shared" si="46"/>
        <v>0</v>
      </c>
    </row>
    <row r="341" spans="1:26" x14ac:dyDescent="0.2">
      <c r="A341">
        <f t="shared" si="47"/>
        <v>339</v>
      </c>
      <c r="B341">
        <v>2015</v>
      </c>
      <c r="C341" t="s">
        <v>67</v>
      </c>
      <c r="D341" t="s">
        <v>83</v>
      </c>
      <c r="E341">
        <v>4</v>
      </c>
      <c r="F341" s="2">
        <v>142</v>
      </c>
      <c r="G341" s="2" t="s">
        <v>63</v>
      </c>
      <c r="H341" s="2" t="s">
        <v>46</v>
      </c>
      <c r="I341" s="2" t="s">
        <v>41</v>
      </c>
      <c r="J341" s="2">
        <v>3</v>
      </c>
      <c r="K341" s="3">
        <v>155.77000000000001</v>
      </c>
      <c r="L341" s="3">
        <v>144.63999999999999</v>
      </c>
      <c r="M341" s="3">
        <v>77.010000000000005</v>
      </c>
      <c r="N341" s="3">
        <v>9777.6829000000016</v>
      </c>
      <c r="O341" s="3">
        <v>9078.2900000000009</v>
      </c>
      <c r="P341" s="3">
        <v>303378</v>
      </c>
      <c r="Q341" s="3">
        <v>65</v>
      </c>
      <c r="R341" s="3">
        <v>65</v>
      </c>
      <c r="S341" s="3">
        <v>25.341100000000001</v>
      </c>
      <c r="T341" s="1">
        <f t="shared" si="40"/>
        <v>11.130000000000024</v>
      </c>
      <c r="U341" s="1">
        <f t="shared" si="41"/>
        <v>38.505000000000003</v>
      </c>
      <c r="V341" s="1">
        <f t="shared" si="42"/>
        <v>699.39290000000074</v>
      </c>
      <c r="W341" s="1">
        <f t="shared" si="43"/>
        <v>151689</v>
      </c>
      <c r="X341" s="1">
        <f t="shared" si="44"/>
        <v>0</v>
      </c>
      <c r="Y341" s="1">
        <f t="shared" si="45"/>
        <v>12.67055</v>
      </c>
      <c r="Z341">
        <f t="shared" si="46"/>
        <v>1</v>
      </c>
    </row>
    <row r="342" spans="1:26" x14ac:dyDescent="0.2">
      <c r="A342">
        <f t="shared" si="47"/>
        <v>340</v>
      </c>
      <c r="B342">
        <v>2014</v>
      </c>
      <c r="C342" t="s">
        <v>67</v>
      </c>
      <c r="D342" t="s">
        <v>68</v>
      </c>
      <c r="E342">
        <v>4</v>
      </c>
      <c r="F342" s="2">
        <v>92</v>
      </c>
      <c r="G342" s="2" t="s">
        <v>42</v>
      </c>
      <c r="H342" s="2" t="s">
        <v>43</v>
      </c>
      <c r="I342" s="2" t="s">
        <v>41</v>
      </c>
      <c r="J342" s="2">
        <v>311</v>
      </c>
      <c r="K342" s="3">
        <v>196.08</v>
      </c>
      <c r="L342" s="3">
        <v>184.84</v>
      </c>
      <c r="M342" s="1">
        <v>153.71</v>
      </c>
      <c r="N342" s="3">
        <v>12307.941600000002</v>
      </c>
      <c r="O342" s="3">
        <v>11601</v>
      </c>
      <c r="P342" s="1">
        <v>605499</v>
      </c>
      <c r="Q342" s="3">
        <v>17.760000000000002</v>
      </c>
      <c r="R342" s="3">
        <v>35.222499999999997</v>
      </c>
      <c r="S342" s="3">
        <v>66.884600000000006</v>
      </c>
      <c r="T342" s="1">
        <f t="shared" si="40"/>
        <v>11.240000000000009</v>
      </c>
      <c r="U342" s="1">
        <f t="shared" si="41"/>
        <v>76.855000000000004</v>
      </c>
      <c r="V342" s="1">
        <f t="shared" si="42"/>
        <v>706.94160000000193</v>
      </c>
      <c r="W342" s="1">
        <f t="shared" si="43"/>
        <v>302749.5</v>
      </c>
      <c r="X342" s="1">
        <f t="shared" si="44"/>
        <v>-17.462499999999995</v>
      </c>
      <c r="Y342" s="1">
        <f t="shared" si="45"/>
        <v>33.442300000000003</v>
      </c>
      <c r="Z342">
        <f t="shared" si="46"/>
        <v>1</v>
      </c>
    </row>
    <row r="343" spans="1:26" x14ac:dyDescent="0.2">
      <c r="A343">
        <f t="shared" si="47"/>
        <v>341</v>
      </c>
      <c r="B343">
        <v>2015</v>
      </c>
      <c r="C343" t="s">
        <v>64</v>
      </c>
      <c r="D343" t="s">
        <v>91</v>
      </c>
      <c r="E343">
        <v>6</v>
      </c>
      <c r="F343" s="2">
        <v>193</v>
      </c>
      <c r="G343" s="2" t="s">
        <v>40</v>
      </c>
      <c r="H343" s="2" t="s">
        <v>39</v>
      </c>
      <c r="I343" s="2" t="s">
        <v>33</v>
      </c>
      <c r="J343" s="2">
        <v>311</v>
      </c>
      <c r="K343" s="3">
        <v>206.55</v>
      </c>
      <c r="L343" s="3">
        <v>195.3</v>
      </c>
      <c r="M343" s="3">
        <v>52.46</v>
      </c>
      <c r="N343" s="3">
        <v>12965.143500000002</v>
      </c>
      <c r="O343" s="3">
        <v>12258</v>
      </c>
      <c r="P343" s="3">
        <v>206693</v>
      </c>
      <c r="Q343" s="3">
        <v>9.1667000000000005</v>
      </c>
      <c r="R343" s="3">
        <v>30</v>
      </c>
      <c r="S343" s="3">
        <v>49.622199999999999</v>
      </c>
      <c r="T343" s="1">
        <f t="shared" si="40"/>
        <v>11.25</v>
      </c>
      <c r="U343" s="1">
        <f t="shared" si="41"/>
        <v>17.486666666666668</v>
      </c>
      <c r="V343" s="1">
        <f t="shared" si="42"/>
        <v>707.14350000000195</v>
      </c>
      <c r="W343" s="1">
        <f t="shared" si="43"/>
        <v>68897.666666666672</v>
      </c>
      <c r="X343" s="1">
        <f t="shared" si="44"/>
        <v>-20.833300000000001</v>
      </c>
      <c r="Y343" s="1">
        <f t="shared" si="45"/>
        <v>16.540733333333332</v>
      </c>
      <c r="Z343">
        <f t="shared" si="46"/>
        <v>1</v>
      </c>
    </row>
    <row r="344" spans="1:26" x14ac:dyDescent="0.2">
      <c r="A344">
        <f t="shared" si="47"/>
        <v>342</v>
      </c>
      <c r="B344">
        <v>2015</v>
      </c>
      <c r="C344" t="s">
        <v>72</v>
      </c>
      <c r="D344" t="s">
        <v>74</v>
      </c>
      <c r="E344">
        <v>4</v>
      </c>
      <c r="F344" s="2">
        <v>173</v>
      </c>
      <c r="G344" s="2" t="s">
        <v>31</v>
      </c>
      <c r="H344" s="2" t="s">
        <v>32</v>
      </c>
      <c r="I344" s="2" t="s">
        <v>33</v>
      </c>
      <c r="J344" s="2">
        <v>311</v>
      </c>
      <c r="K344" s="3">
        <v>185.82</v>
      </c>
      <c r="L344" s="3">
        <v>174.51</v>
      </c>
      <c r="M344" s="3">
        <v>222.67</v>
      </c>
      <c r="N344" s="3">
        <v>11663.921399999999</v>
      </c>
      <c r="O344" s="3">
        <v>10953</v>
      </c>
      <c r="P344" s="3">
        <v>877097</v>
      </c>
      <c r="Q344" s="3">
        <v>3.7</v>
      </c>
      <c r="R344" s="3">
        <v>13.05</v>
      </c>
      <c r="S344" s="3">
        <v>5.4372999999999996</v>
      </c>
      <c r="T344" s="1">
        <f t="shared" si="40"/>
        <v>11.310000000000002</v>
      </c>
      <c r="U344" s="1">
        <f t="shared" si="41"/>
        <v>111.33499999999999</v>
      </c>
      <c r="V344" s="1">
        <f t="shared" si="42"/>
        <v>710.92139999999927</v>
      </c>
      <c r="W344" s="1">
        <f t="shared" si="43"/>
        <v>438548.5</v>
      </c>
      <c r="X344" s="1">
        <f t="shared" si="44"/>
        <v>-9.3500000000000014</v>
      </c>
      <c r="Y344" s="1">
        <f t="shared" si="45"/>
        <v>2.7186499999999998</v>
      </c>
      <c r="Z344">
        <f t="shared" si="46"/>
        <v>0</v>
      </c>
    </row>
    <row r="345" spans="1:26" x14ac:dyDescent="0.2">
      <c r="A345">
        <f t="shared" si="47"/>
        <v>343</v>
      </c>
      <c r="B345">
        <v>2015</v>
      </c>
      <c r="C345" t="s">
        <v>92</v>
      </c>
      <c r="D345" t="s">
        <v>93</v>
      </c>
      <c r="E345">
        <v>4</v>
      </c>
      <c r="F345" s="2">
        <v>82</v>
      </c>
      <c r="G345" s="2" t="s">
        <v>31</v>
      </c>
      <c r="H345" s="2" t="s">
        <v>46</v>
      </c>
      <c r="I345" s="2" t="s">
        <v>41</v>
      </c>
      <c r="J345" s="2">
        <v>311</v>
      </c>
      <c r="K345" s="3">
        <v>225.11</v>
      </c>
      <c r="L345" s="3">
        <v>213.77</v>
      </c>
      <c r="M345" s="3">
        <v>77.13</v>
      </c>
      <c r="N345" s="3">
        <v>14130.154700000001</v>
      </c>
      <c r="O345" s="3">
        <v>13417</v>
      </c>
      <c r="P345" s="3">
        <v>303850</v>
      </c>
      <c r="Q345" s="3">
        <v>4.25</v>
      </c>
      <c r="R345" s="3">
        <v>21.75</v>
      </c>
      <c r="S345" s="3">
        <v>29.549499999999998</v>
      </c>
      <c r="T345" s="1">
        <f t="shared" si="40"/>
        <v>11.340000000000003</v>
      </c>
      <c r="U345" s="1">
        <f t="shared" si="41"/>
        <v>38.564999999999998</v>
      </c>
      <c r="V345" s="1">
        <f t="shared" si="42"/>
        <v>713.15470000000096</v>
      </c>
      <c r="W345" s="1">
        <f t="shared" si="43"/>
        <v>151925</v>
      </c>
      <c r="X345" s="1">
        <f t="shared" si="44"/>
        <v>-17.5</v>
      </c>
      <c r="Y345" s="1">
        <f t="shared" si="45"/>
        <v>14.774749999999999</v>
      </c>
      <c r="Z345">
        <f t="shared" si="46"/>
        <v>0</v>
      </c>
    </row>
    <row r="346" spans="1:26" x14ac:dyDescent="0.2">
      <c r="A346">
        <f t="shared" si="47"/>
        <v>344</v>
      </c>
      <c r="B346">
        <v>2015</v>
      </c>
      <c r="C346" t="s">
        <v>84</v>
      </c>
      <c r="D346" t="s">
        <v>85</v>
      </c>
      <c r="E346">
        <v>4</v>
      </c>
      <c r="F346" s="2">
        <v>102</v>
      </c>
      <c r="G346" s="2" t="s">
        <v>36</v>
      </c>
      <c r="H346" s="2" t="s">
        <v>29</v>
      </c>
      <c r="I346" s="2" t="s">
        <v>41</v>
      </c>
      <c r="J346" s="2">
        <v>11</v>
      </c>
      <c r="K346" s="3">
        <v>208.88</v>
      </c>
      <c r="L346" s="3">
        <v>197.54</v>
      </c>
      <c r="M346" s="3">
        <v>296.25</v>
      </c>
      <c r="N346" s="3">
        <v>13111.3976</v>
      </c>
      <c r="O346" s="3">
        <v>12398</v>
      </c>
      <c r="P346" s="3">
        <v>1166970</v>
      </c>
      <c r="Q346" s="3">
        <v>6.25E-2</v>
      </c>
      <c r="R346" s="3">
        <v>0.6875</v>
      </c>
      <c r="S346" s="3">
        <v>0.21049999999999999</v>
      </c>
      <c r="T346" s="1">
        <f t="shared" si="40"/>
        <v>11.340000000000003</v>
      </c>
      <c r="U346" s="1">
        <f t="shared" si="41"/>
        <v>148.125</v>
      </c>
      <c r="V346" s="1">
        <f t="shared" si="42"/>
        <v>713.39760000000024</v>
      </c>
      <c r="W346" s="1">
        <f t="shared" si="43"/>
        <v>583485</v>
      </c>
      <c r="X346" s="1">
        <f t="shared" si="44"/>
        <v>-0.625</v>
      </c>
      <c r="Y346" s="1">
        <f t="shared" si="45"/>
        <v>0.10525</v>
      </c>
      <c r="Z346">
        <f t="shared" si="46"/>
        <v>0</v>
      </c>
    </row>
    <row r="347" spans="1:26" x14ac:dyDescent="0.2">
      <c r="A347">
        <f t="shared" si="47"/>
        <v>345</v>
      </c>
      <c r="B347">
        <v>2015</v>
      </c>
      <c r="C347" t="s">
        <v>92</v>
      </c>
      <c r="D347" t="s">
        <v>93</v>
      </c>
      <c r="E347">
        <v>4</v>
      </c>
      <c r="F347" s="2">
        <v>193</v>
      </c>
      <c r="G347" s="2" t="s">
        <v>40</v>
      </c>
      <c r="H347" s="2" t="s">
        <v>39</v>
      </c>
      <c r="I347" s="2" t="s">
        <v>33</v>
      </c>
      <c r="J347" s="2">
        <v>311</v>
      </c>
      <c r="K347" s="3">
        <v>225.22</v>
      </c>
      <c r="L347" s="3">
        <v>213.77</v>
      </c>
      <c r="M347" s="3">
        <v>77.13</v>
      </c>
      <c r="N347" s="3">
        <v>14137.0594</v>
      </c>
      <c r="O347" s="3">
        <v>13417</v>
      </c>
      <c r="P347" s="3">
        <v>303850</v>
      </c>
      <c r="Q347" s="3">
        <v>3.5</v>
      </c>
      <c r="R347" s="3">
        <v>21.75</v>
      </c>
      <c r="S347" s="3">
        <v>29.549499999999998</v>
      </c>
      <c r="T347" s="1">
        <f t="shared" si="40"/>
        <v>11.449999999999989</v>
      </c>
      <c r="U347" s="1">
        <f t="shared" si="41"/>
        <v>38.564999999999998</v>
      </c>
      <c r="V347" s="1">
        <f t="shared" si="42"/>
        <v>720.0594000000001</v>
      </c>
      <c r="W347" s="1">
        <f t="shared" si="43"/>
        <v>151925</v>
      </c>
      <c r="X347" s="1">
        <f t="shared" si="44"/>
        <v>-18.25</v>
      </c>
      <c r="Y347" s="1">
        <f t="shared" si="45"/>
        <v>14.774749999999999</v>
      </c>
      <c r="Z347">
        <f t="shared" si="46"/>
        <v>0</v>
      </c>
    </row>
    <row r="348" spans="1:26" x14ac:dyDescent="0.2">
      <c r="A348">
        <f t="shared" si="47"/>
        <v>346</v>
      </c>
      <c r="B348">
        <v>2015</v>
      </c>
      <c r="C348" t="s">
        <v>64</v>
      </c>
      <c r="D348" t="s">
        <v>65</v>
      </c>
      <c r="E348">
        <v>4</v>
      </c>
      <c r="F348" s="2">
        <v>173</v>
      </c>
      <c r="G348" s="2" t="s">
        <v>31</v>
      </c>
      <c r="H348" s="2" t="s">
        <v>32</v>
      </c>
      <c r="I348" s="2" t="s">
        <v>33</v>
      </c>
      <c r="J348" s="2">
        <v>311</v>
      </c>
      <c r="K348" s="3">
        <v>227.81</v>
      </c>
      <c r="L348" s="3">
        <v>216.3</v>
      </c>
      <c r="M348" s="3">
        <v>218.38</v>
      </c>
      <c r="N348" s="3">
        <v>14299.6337</v>
      </c>
      <c r="O348" s="3">
        <v>13576</v>
      </c>
      <c r="P348" s="3">
        <v>860223</v>
      </c>
      <c r="Q348" s="3">
        <v>7</v>
      </c>
      <c r="R348" s="3">
        <v>7</v>
      </c>
      <c r="S348" s="3">
        <v>3.3643000000000001</v>
      </c>
      <c r="T348" s="1">
        <f t="shared" si="40"/>
        <v>11.509999999999991</v>
      </c>
      <c r="U348" s="1">
        <f t="shared" si="41"/>
        <v>109.19</v>
      </c>
      <c r="V348" s="1">
        <f t="shared" si="42"/>
        <v>723.63370000000032</v>
      </c>
      <c r="W348" s="1">
        <f t="shared" si="43"/>
        <v>430111.5</v>
      </c>
      <c r="X348" s="1">
        <f t="shared" si="44"/>
        <v>0</v>
      </c>
      <c r="Y348" s="1">
        <f t="shared" si="45"/>
        <v>1.68215</v>
      </c>
      <c r="Z348">
        <f t="shared" si="46"/>
        <v>1</v>
      </c>
    </row>
    <row r="349" spans="1:26" x14ac:dyDescent="0.2">
      <c r="A349">
        <f t="shared" si="47"/>
        <v>347</v>
      </c>
      <c r="B349">
        <v>2014</v>
      </c>
      <c r="C349" t="s">
        <v>64</v>
      </c>
      <c r="D349" t="s">
        <v>91</v>
      </c>
      <c r="E349">
        <v>4</v>
      </c>
      <c r="F349" s="2">
        <v>61</v>
      </c>
      <c r="G349" s="2" t="s">
        <v>38</v>
      </c>
      <c r="H349" s="2" t="s">
        <v>39</v>
      </c>
      <c r="I349" s="2" t="s">
        <v>30</v>
      </c>
      <c r="J349" s="2">
        <v>311</v>
      </c>
      <c r="K349" s="3">
        <v>213.16</v>
      </c>
      <c r="L349" s="3">
        <v>201.5</v>
      </c>
      <c r="M349" s="3">
        <v>33.04</v>
      </c>
      <c r="N349" s="3">
        <v>13380.0532</v>
      </c>
      <c r="O349" s="3">
        <v>12647</v>
      </c>
      <c r="P349" s="3">
        <v>130192</v>
      </c>
      <c r="Q349" s="3">
        <v>1.05</v>
      </c>
      <c r="R349" s="3">
        <v>7.4999999999999997E-2</v>
      </c>
      <c r="S349" s="3">
        <v>0.59940000000000004</v>
      </c>
      <c r="T349" s="1">
        <f t="shared" si="40"/>
        <v>11.659999999999997</v>
      </c>
      <c r="U349" s="1">
        <f t="shared" si="41"/>
        <v>16.52</v>
      </c>
      <c r="V349" s="1">
        <f t="shared" si="42"/>
        <v>733.05320000000029</v>
      </c>
      <c r="W349" s="1">
        <f t="shared" si="43"/>
        <v>65096</v>
      </c>
      <c r="X349" s="1">
        <f t="shared" si="44"/>
        <v>0.97500000000000009</v>
      </c>
      <c r="Y349" s="1">
        <f t="shared" si="45"/>
        <v>0.29970000000000002</v>
      </c>
      <c r="Z349">
        <f t="shared" si="46"/>
        <v>0</v>
      </c>
    </row>
    <row r="350" spans="1:26" x14ac:dyDescent="0.2">
      <c r="A350">
        <f t="shared" si="47"/>
        <v>348</v>
      </c>
      <c r="B350">
        <v>2015</v>
      </c>
      <c r="C350" t="s">
        <v>84</v>
      </c>
      <c r="D350" t="s">
        <v>85</v>
      </c>
      <c r="E350">
        <v>4</v>
      </c>
      <c r="F350" s="2">
        <v>122</v>
      </c>
      <c r="G350" s="2" t="s">
        <v>75</v>
      </c>
      <c r="H350" s="2" t="s">
        <v>76</v>
      </c>
      <c r="I350" s="2" t="s">
        <v>41</v>
      </c>
      <c r="J350" s="2">
        <v>311</v>
      </c>
      <c r="K350" s="3">
        <v>209.28</v>
      </c>
      <c r="L350" s="3">
        <v>197.54</v>
      </c>
      <c r="M350" s="3">
        <v>296.25</v>
      </c>
      <c r="N350" s="3">
        <v>13136.5056</v>
      </c>
      <c r="O350" s="3">
        <v>12398</v>
      </c>
      <c r="P350" s="3">
        <v>1166970</v>
      </c>
      <c r="Q350" s="3">
        <v>-7.1500000000000003E-17</v>
      </c>
      <c r="R350" s="3">
        <v>0.6875</v>
      </c>
      <c r="S350" s="3">
        <v>0.21049999999999999</v>
      </c>
      <c r="T350" s="1">
        <f t="shared" si="40"/>
        <v>11.740000000000009</v>
      </c>
      <c r="U350" s="1">
        <f t="shared" si="41"/>
        <v>148.125</v>
      </c>
      <c r="V350" s="1">
        <f t="shared" si="42"/>
        <v>738.50560000000041</v>
      </c>
      <c r="W350" s="1">
        <f t="shared" si="43"/>
        <v>583485</v>
      </c>
      <c r="X350" s="1">
        <f t="shared" si="44"/>
        <v>-0.68750000000000011</v>
      </c>
      <c r="Y350" s="1">
        <f t="shared" si="45"/>
        <v>0.10525</v>
      </c>
      <c r="Z350">
        <f t="shared" si="46"/>
        <v>0</v>
      </c>
    </row>
    <row r="351" spans="1:26" x14ac:dyDescent="0.2">
      <c r="A351">
        <f t="shared" si="47"/>
        <v>349</v>
      </c>
      <c r="B351">
        <v>2015</v>
      </c>
      <c r="C351" t="s">
        <v>84</v>
      </c>
      <c r="D351" t="s">
        <v>85</v>
      </c>
      <c r="E351">
        <v>4</v>
      </c>
      <c r="F351" s="2">
        <v>61</v>
      </c>
      <c r="G351" s="2" t="s">
        <v>38</v>
      </c>
      <c r="H351" s="2" t="s">
        <v>39</v>
      </c>
      <c r="I351" s="2" t="s">
        <v>30</v>
      </c>
      <c r="J351" s="2">
        <v>311</v>
      </c>
      <c r="K351" s="3">
        <v>209.48</v>
      </c>
      <c r="L351" s="3">
        <v>197.54</v>
      </c>
      <c r="M351" s="3">
        <v>296.25</v>
      </c>
      <c r="N351" s="3">
        <v>13149.059600000001</v>
      </c>
      <c r="O351" s="3">
        <v>12398</v>
      </c>
      <c r="P351" s="3">
        <v>1166970</v>
      </c>
      <c r="Q351" s="3">
        <v>-4.28E-17</v>
      </c>
      <c r="R351" s="3">
        <v>0.6875</v>
      </c>
      <c r="S351" s="3">
        <v>0.21049999999999999</v>
      </c>
      <c r="T351" s="1">
        <f t="shared" si="40"/>
        <v>11.939999999999998</v>
      </c>
      <c r="U351" s="1">
        <f t="shared" si="41"/>
        <v>148.125</v>
      </c>
      <c r="V351" s="1">
        <f t="shared" si="42"/>
        <v>751.0596000000005</v>
      </c>
      <c r="W351" s="1">
        <f t="shared" si="43"/>
        <v>583485</v>
      </c>
      <c r="X351" s="1">
        <f t="shared" si="44"/>
        <v>-0.6875</v>
      </c>
      <c r="Y351" s="1">
        <f t="shared" si="45"/>
        <v>0.10525</v>
      </c>
      <c r="Z351">
        <f t="shared" si="46"/>
        <v>0</v>
      </c>
    </row>
    <row r="352" spans="1:26" x14ac:dyDescent="0.2">
      <c r="A352">
        <f t="shared" si="47"/>
        <v>350</v>
      </c>
      <c r="B352">
        <v>2015</v>
      </c>
      <c r="C352" t="s">
        <v>72</v>
      </c>
      <c r="D352" t="s">
        <v>73</v>
      </c>
      <c r="E352">
        <v>4</v>
      </c>
      <c r="F352" s="2">
        <v>173</v>
      </c>
      <c r="G352" s="2" t="s">
        <v>31</v>
      </c>
      <c r="H352" s="2" t="s">
        <v>32</v>
      </c>
      <c r="I352" s="2" t="s">
        <v>33</v>
      </c>
      <c r="J352" s="2">
        <v>311</v>
      </c>
      <c r="K352" s="3">
        <v>208.92</v>
      </c>
      <c r="L352" s="3">
        <v>196.81</v>
      </c>
      <c r="M352" s="3">
        <v>48.17</v>
      </c>
      <c r="N352" s="3">
        <v>13113.9084</v>
      </c>
      <c r="O352" s="3">
        <v>12352</v>
      </c>
      <c r="P352" s="3">
        <v>189801</v>
      </c>
      <c r="Q352" s="3">
        <v>1.9</v>
      </c>
      <c r="R352" s="3">
        <v>6.9</v>
      </c>
      <c r="S352" s="3">
        <v>2.0556999999999999</v>
      </c>
      <c r="T352" s="1">
        <f t="shared" si="40"/>
        <v>12.109999999999985</v>
      </c>
      <c r="U352" s="1">
        <f t="shared" si="41"/>
        <v>24.085000000000001</v>
      </c>
      <c r="V352" s="1">
        <f t="shared" si="42"/>
        <v>761.90840000000026</v>
      </c>
      <c r="W352" s="1">
        <f t="shared" si="43"/>
        <v>94900.5</v>
      </c>
      <c r="X352" s="1">
        <f t="shared" si="44"/>
        <v>-5</v>
      </c>
      <c r="Y352" s="1">
        <f t="shared" si="45"/>
        <v>1.0278499999999999</v>
      </c>
      <c r="Z352">
        <f t="shared" si="46"/>
        <v>0</v>
      </c>
    </row>
    <row r="353" spans="1:26" x14ac:dyDescent="0.2">
      <c r="A353">
        <f t="shared" si="47"/>
        <v>351</v>
      </c>
      <c r="B353">
        <v>2014</v>
      </c>
      <c r="C353" t="s">
        <v>52</v>
      </c>
      <c r="D353" t="s">
        <v>79</v>
      </c>
      <c r="E353">
        <v>4</v>
      </c>
      <c r="F353" s="2">
        <v>163</v>
      </c>
      <c r="G353" s="2" t="s">
        <v>58</v>
      </c>
      <c r="H353" s="2" t="s">
        <v>59</v>
      </c>
      <c r="I353" s="2" t="s">
        <v>33</v>
      </c>
      <c r="J353" s="2">
        <v>311</v>
      </c>
      <c r="K353" s="3">
        <v>177.37</v>
      </c>
      <c r="L353" s="3">
        <v>165.03</v>
      </c>
      <c r="M353" s="3">
        <v>19.100000000000001</v>
      </c>
      <c r="N353" s="3">
        <v>11133.5149</v>
      </c>
      <c r="O353" s="3">
        <v>10358</v>
      </c>
      <c r="P353" s="3">
        <v>75251</v>
      </c>
      <c r="Q353" s="3">
        <v>20</v>
      </c>
      <c r="R353" s="3">
        <v>70</v>
      </c>
      <c r="S353" s="3">
        <v>10.1486</v>
      </c>
      <c r="T353" s="1">
        <f t="shared" si="40"/>
        <v>12.340000000000003</v>
      </c>
      <c r="U353" s="1">
        <f t="shared" si="41"/>
        <v>9.5500000000000007</v>
      </c>
      <c r="V353" s="1">
        <f t="shared" si="42"/>
        <v>775.51490000000013</v>
      </c>
      <c r="W353" s="1">
        <f t="shared" si="43"/>
        <v>37625.5</v>
      </c>
      <c r="X353" s="1">
        <f t="shared" si="44"/>
        <v>-50</v>
      </c>
      <c r="Y353" s="1">
        <f t="shared" si="45"/>
        <v>5.0743</v>
      </c>
      <c r="Z353">
        <f t="shared" si="46"/>
        <v>1</v>
      </c>
    </row>
    <row r="354" spans="1:26" x14ac:dyDescent="0.2">
      <c r="A354">
        <f t="shared" si="47"/>
        <v>352</v>
      </c>
      <c r="B354">
        <v>2015</v>
      </c>
      <c r="C354" t="s">
        <v>26</v>
      </c>
      <c r="D354" t="s">
        <v>27</v>
      </c>
      <c r="E354">
        <v>4</v>
      </c>
      <c r="F354" s="2">
        <v>142</v>
      </c>
      <c r="G354" s="2" t="s">
        <v>63</v>
      </c>
      <c r="H354" s="2" t="s">
        <v>46</v>
      </c>
      <c r="I354" s="2" t="s">
        <v>41</v>
      </c>
      <c r="J354" s="2">
        <v>3</v>
      </c>
      <c r="K354" s="3">
        <v>267.3</v>
      </c>
      <c r="L354" s="3">
        <v>254.92</v>
      </c>
      <c r="M354" s="3">
        <v>868.14</v>
      </c>
      <c r="N354" s="3">
        <v>16778.421000000002</v>
      </c>
      <c r="O354" s="3">
        <v>16000</v>
      </c>
      <c r="P354" s="3">
        <v>3419739</v>
      </c>
      <c r="Q354" s="3">
        <v>14.13</v>
      </c>
      <c r="R354" s="3">
        <v>40.627499999999998</v>
      </c>
      <c r="S354" s="3">
        <v>385.81</v>
      </c>
      <c r="T354" s="1">
        <f t="shared" si="40"/>
        <v>12.380000000000024</v>
      </c>
      <c r="U354" s="1">
        <f t="shared" si="41"/>
        <v>434.07</v>
      </c>
      <c r="V354" s="1">
        <f t="shared" si="42"/>
        <v>778.4210000000021</v>
      </c>
      <c r="W354" s="1">
        <f t="shared" si="43"/>
        <v>1709869.5</v>
      </c>
      <c r="X354" s="1">
        <f t="shared" si="44"/>
        <v>-26.497499999999995</v>
      </c>
      <c r="Y354" s="1">
        <f t="shared" si="45"/>
        <v>192.905</v>
      </c>
      <c r="Z354">
        <f t="shared" si="46"/>
        <v>1</v>
      </c>
    </row>
    <row r="355" spans="1:26" x14ac:dyDescent="0.2">
      <c r="A355">
        <f t="shared" si="47"/>
        <v>353</v>
      </c>
      <c r="B355">
        <v>2014</v>
      </c>
      <c r="C355" t="s">
        <v>50</v>
      </c>
      <c r="D355" t="s">
        <v>77</v>
      </c>
      <c r="E355">
        <v>4</v>
      </c>
      <c r="F355" s="2">
        <v>72</v>
      </c>
      <c r="G355" s="2" t="s">
        <v>47</v>
      </c>
      <c r="H355" s="2" t="s">
        <v>48</v>
      </c>
      <c r="I355" s="2" t="s">
        <v>41</v>
      </c>
      <c r="J355" s="2">
        <v>311</v>
      </c>
      <c r="K355" s="3">
        <v>229.78</v>
      </c>
      <c r="L355" s="3">
        <v>217.17</v>
      </c>
      <c r="M355" s="3">
        <v>97.19</v>
      </c>
      <c r="N355" s="3">
        <v>14423.2906</v>
      </c>
      <c r="O355" s="3">
        <v>13630</v>
      </c>
      <c r="P355" s="3">
        <v>382849</v>
      </c>
      <c r="Q355" s="3">
        <v>8.0824999999999996</v>
      </c>
      <c r="R355" s="3">
        <v>16.25</v>
      </c>
      <c r="S355" s="3">
        <v>60.879800000000003</v>
      </c>
      <c r="T355" s="1">
        <f t="shared" si="40"/>
        <v>12.610000000000014</v>
      </c>
      <c r="U355" s="1">
        <f t="shared" si="41"/>
        <v>48.594999999999999</v>
      </c>
      <c r="V355" s="1">
        <f t="shared" si="42"/>
        <v>793.29060000000027</v>
      </c>
      <c r="W355" s="1">
        <f t="shared" si="43"/>
        <v>191424.5</v>
      </c>
      <c r="X355" s="1">
        <f t="shared" si="44"/>
        <v>-8.1675000000000004</v>
      </c>
      <c r="Y355" s="1">
        <f t="shared" si="45"/>
        <v>30.439900000000002</v>
      </c>
      <c r="Z355">
        <f t="shared" si="46"/>
        <v>1</v>
      </c>
    </row>
    <row r="356" spans="1:26" x14ac:dyDescent="0.2">
      <c r="A356">
        <f t="shared" si="47"/>
        <v>354</v>
      </c>
      <c r="B356">
        <v>2014</v>
      </c>
      <c r="C356" t="s">
        <v>64</v>
      </c>
      <c r="D356" t="s">
        <v>91</v>
      </c>
      <c r="E356">
        <v>4</v>
      </c>
      <c r="F356" s="2">
        <v>41</v>
      </c>
      <c r="G356" s="2" t="s">
        <v>31</v>
      </c>
      <c r="H356" s="2" t="s">
        <v>62</v>
      </c>
      <c r="I356" s="2" t="s">
        <v>30</v>
      </c>
      <c r="J356" s="2">
        <v>311</v>
      </c>
      <c r="K356" s="3">
        <v>214.13</v>
      </c>
      <c r="L356" s="3">
        <v>201.5</v>
      </c>
      <c r="M356" s="3">
        <v>33.04</v>
      </c>
      <c r="N356" s="3">
        <v>13440.9401</v>
      </c>
      <c r="O356" s="3">
        <v>12647</v>
      </c>
      <c r="P356" s="3">
        <v>130192</v>
      </c>
      <c r="Q356" s="3">
        <v>0.77500000000000002</v>
      </c>
      <c r="R356" s="3">
        <v>7.4999999999999997E-2</v>
      </c>
      <c r="S356" s="3">
        <v>0.59940000000000004</v>
      </c>
      <c r="T356" s="1">
        <f t="shared" si="40"/>
        <v>12.629999999999995</v>
      </c>
      <c r="U356" s="1">
        <f t="shared" si="41"/>
        <v>16.52</v>
      </c>
      <c r="V356" s="1">
        <f t="shared" si="42"/>
        <v>793.9400999999998</v>
      </c>
      <c r="W356" s="1">
        <f t="shared" si="43"/>
        <v>65096</v>
      </c>
      <c r="X356" s="1">
        <f t="shared" si="44"/>
        <v>0.70000000000000007</v>
      </c>
      <c r="Y356" s="1">
        <f t="shared" si="45"/>
        <v>0.29970000000000002</v>
      </c>
      <c r="Z356">
        <f t="shared" si="46"/>
        <v>0</v>
      </c>
    </row>
    <row r="357" spans="1:26" x14ac:dyDescent="0.2">
      <c r="A357">
        <f t="shared" si="47"/>
        <v>355</v>
      </c>
      <c r="B357">
        <v>2014</v>
      </c>
      <c r="C357" t="s">
        <v>64</v>
      </c>
      <c r="D357" t="s">
        <v>91</v>
      </c>
      <c r="E357">
        <v>4</v>
      </c>
      <c r="F357" s="2">
        <v>193</v>
      </c>
      <c r="G357" s="2" t="s">
        <v>40</v>
      </c>
      <c r="H357" s="2" t="s">
        <v>39</v>
      </c>
      <c r="I357" s="2" t="s">
        <v>33</v>
      </c>
      <c r="J357" s="2">
        <v>311</v>
      </c>
      <c r="K357" s="3">
        <v>214.17</v>
      </c>
      <c r="L357" s="3">
        <v>201.5</v>
      </c>
      <c r="M357" s="3">
        <v>33.04</v>
      </c>
      <c r="N357" s="3">
        <v>13443.4509</v>
      </c>
      <c r="O357" s="3">
        <v>12647</v>
      </c>
      <c r="P357" s="3">
        <v>130192</v>
      </c>
      <c r="Q357" s="3">
        <v>0.55000000000000004</v>
      </c>
      <c r="R357" s="3">
        <v>7.4999999999999997E-2</v>
      </c>
      <c r="S357" s="3">
        <v>0.59940000000000004</v>
      </c>
      <c r="T357" s="1">
        <f t="shared" si="40"/>
        <v>12.669999999999987</v>
      </c>
      <c r="U357" s="1">
        <f t="shared" si="41"/>
        <v>16.52</v>
      </c>
      <c r="V357" s="1">
        <f t="shared" si="42"/>
        <v>796.45089999999982</v>
      </c>
      <c r="W357" s="1">
        <f t="shared" si="43"/>
        <v>65096</v>
      </c>
      <c r="X357" s="1">
        <f t="shared" si="44"/>
        <v>0.47500000000000003</v>
      </c>
      <c r="Y357" s="1">
        <f t="shared" si="45"/>
        <v>0.29970000000000002</v>
      </c>
      <c r="Z357">
        <f t="shared" si="46"/>
        <v>0</v>
      </c>
    </row>
    <row r="358" spans="1:26" x14ac:dyDescent="0.2">
      <c r="A358">
        <f t="shared" si="47"/>
        <v>356</v>
      </c>
      <c r="B358">
        <v>2015</v>
      </c>
      <c r="C358" t="s">
        <v>54</v>
      </c>
      <c r="D358" t="s">
        <v>69</v>
      </c>
      <c r="E358">
        <v>4</v>
      </c>
      <c r="F358" s="2">
        <v>122</v>
      </c>
      <c r="G358" s="2" t="s">
        <v>75</v>
      </c>
      <c r="H358" s="2" t="s">
        <v>76</v>
      </c>
      <c r="I358" s="2" t="s">
        <v>41</v>
      </c>
      <c r="J358" s="2">
        <v>311</v>
      </c>
      <c r="K358" s="3">
        <v>259.33</v>
      </c>
      <c r="L358" s="3">
        <v>246.63</v>
      </c>
      <c r="M358" s="3">
        <v>212.78</v>
      </c>
      <c r="N358" s="3">
        <v>16278.1441</v>
      </c>
      <c r="O358" s="3">
        <v>15479</v>
      </c>
      <c r="P358" s="3">
        <v>838171</v>
      </c>
      <c r="Q358" s="3">
        <v>32.5</v>
      </c>
      <c r="R358" s="3">
        <v>32.5</v>
      </c>
      <c r="S358" s="3">
        <v>207.72</v>
      </c>
      <c r="T358" s="1">
        <f t="shared" si="40"/>
        <v>12.699999999999989</v>
      </c>
      <c r="U358" s="1">
        <f t="shared" si="41"/>
        <v>106.39</v>
      </c>
      <c r="V358" s="1">
        <f t="shared" si="42"/>
        <v>799.14409999999953</v>
      </c>
      <c r="W358" s="1">
        <f t="shared" si="43"/>
        <v>419085.5</v>
      </c>
      <c r="X358" s="1">
        <f t="shared" si="44"/>
        <v>0</v>
      </c>
      <c r="Y358" s="1">
        <f t="shared" si="45"/>
        <v>103.86</v>
      </c>
      <c r="Z358">
        <f t="shared" si="46"/>
        <v>1</v>
      </c>
    </row>
    <row r="359" spans="1:26" x14ac:dyDescent="0.2">
      <c r="A359">
        <f t="shared" si="47"/>
        <v>357</v>
      </c>
      <c r="B359">
        <v>2014</v>
      </c>
      <c r="C359" t="s">
        <v>52</v>
      </c>
      <c r="D359" t="s">
        <v>79</v>
      </c>
      <c r="E359">
        <v>4</v>
      </c>
      <c r="F359" s="2">
        <v>183</v>
      </c>
      <c r="G359" s="2" t="s">
        <v>36</v>
      </c>
      <c r="H359" s="2" t="s">
        <v>37</v>
      </c>
      <c r="I359" s="2" t="s">
        <v>33</v>
      </c>
      <c r="J359" s="2">
        <v>11</v>
      </c>
      <c r="K359" s="3">
        <v>177.81</v>
      </c>
      <c r="L359" s="3">
        <v>165.03</v>
      </c>
      <c r="M359" s="3">
        <v>19.100000000000001</v>
      </c>
      <c r="N359" s="3">
        <v>11161.1337</v>
      </c>
      <c r="O359" s="3">
        <v>10358</v>
      </c>
      <c r="P359" s="3">
        <v>75251</v>
      </c>
      <c r="Q359" s="3">
        <v>25</v>
      </c>
      <c r="R359" s="3">
        <v>70</v>
      </c>
      <c r="S359" s="3">
        <v>10.1486</v>
      </c>
      <c r="T359" s="1">
        <f t="shared" si="40"/>
        <v>12.780000000000001</v>
      </c>
      <c r="U359" s="1">
        <f t="shared" si="41"/>
        <v>9.5500000000000007</v>
      </c>
      <c r="V359" s="1">
        <f t="shared" si="42"/>
        <v>803.13370000000032</v>
      </c>
      <c r="W359" s="1">
        <f t="shared" si="43"/>
        <v>37625.5</v>
      </c>
      <c r="X359" s="1">
        <f t="shared" si="44"/>
        <v>-45</v>
      </c>
      <c r="Y359" s="1">
        <f t="shared" si="45"/>
        <v>5.0743</v>
      </c>
      <c r="Z359">
        <f t="shared" si="46"/>
        <v>1</v>
      </c>
    </row>
    <row r="360" spans="1:26" x14ac:dyDescent="0.2">
      <c r="A360">
        <f t="shared" si="47"/>
        <v>358</v>
      </c>
      <c r="B360">
        <v>2014</v>
      </c>
      <c r="C360" t="s">
        <v>52</v>
      </c>
      <c r="D360" t="s">
        <v>79</v>
      </c>
      <c r="E360">
        <v>4</v>
      </c>
      <c r="F360" s="2">
        <v>122</v>
      </c>
      <c r="G360" s="2" t="s">
        <v>75</v>
      </c>
      <c r="H360" s="2" t="s">
        <v>76</v>
      </c>
      <c r="I360" s="2" t="s">
        <v>41</v>
      </c>
      <c r="J360" s="2">
        <v>311</v>
      </c>
      <c r="K360" s="3">
        <v>177.82</v>
      </c>
      <c r="L360" s="3">
        <v>165.03</v>
      </c>
      <c r="M360" s="3">
        <v>19.100000000000001</v>
      </c>
      <c r="N360" s="3">
        <v>11161.761399999999</v>
      </c>
      <c r="O360" s="3">
        <v>10358</v>
      </c>
      <c r="P360" s="3">
        <v>75251</v>
      </c>
      <c r="Q360" s="3">
        <v>23.75</v>
      </c>
      <c r="R360" s="3">
        <v>70</v>
      </c>
      <c r="S360" s="3">
        <v>10.1486</v>
      </c>
      <c r="T360" s="1">
        <f t="shared" si="40"/>
        <v>12.789999999999992</v>
      </c>
      <c r="U360" s="1">
        <f t="shared" si="41"/>
        <v>9.5500000000000007</v>
      </c>
      <c r="V360" s="1">
        <f t="shared" si="42"/>
        <v>803.76139999999941</v>
      </c>
      <c r="W360" s="1">
        <f t="shared" si="43"/>
        <v>37625.5</v>
      </c>
      <c r="X360" s="1">
        <f t="shared" si="44"/>
        <v>-46.25</v>
      </c>
      <c r="Y360" s="1">
        <f t="shared" si="45"/>
        <v>5.0743</v>
      </c>
      <c r="Z360">
        <f t="shared" si="46"/>
        <v>1</v>
      </c>
    </row>
    <row r="361" spans="1:26" x14ac:dyDescent="0.2">
      <c r="A361">
        <f t="shared" si="47"/>
        <v>359</v>
      </c>
      <c r="B361">
        <v>2014</v>
      </c>
      <c r="C361" t="s">
        <v>88</v>
      </c>
      <c r="D361" t="s">
        <v>89</v>
      </c>
      <c r="E361">
        <v>4</v>
      </c>
      <c r="F361" s="2">
        <v>61</v>
      </c>
      <c r="G361" s="2" t="s">
        <v>38</v>
      </c>
      <c r="H361" s="2" t="s">
        <v>39</v>
      </c>
      <c r="I361" s="2" t="s">
        <v>30</v>
      </c>
      <c r="J361" s="2">
        <v>311</v>
      </c>
      <c r="K361" s="3">
        <v>163.83000000000001</v>
      </c>
      <c r="L361" s="3">
        <v>150.94999999999999</v>
      </c>
      <c r="M361" s="3">
        <v>162.88</v>
      </c>
      <c r="N361" s="3">
        <v>10283.609100000001</v>
      </c>
      <c r="O361" s="3">
        <v>9474</v>
      </c>
      <c r="P361" s="3">
        <v>641596</v>
      </c>
      <c r="Q361" s="3">
        <v>1.4750000000000001</v>
      </c>
      <c r="R361" s="3">
        <v>1.25</v>
      </c>
      <c r="S361" s="3">
        <v>0.16339999999999999</v>
      </c>
      <c r="T361" s="1">
        <f t="shared" si="40"/>
        <v>12.880000000000024</v>
      </c>
      <c r="U361" s="1">
        <f t="shared" si="41"/>
        <v>81.44</v>
      </c>
      <c r="V361" s="1">
        <f t="shared" si="42"/>
        <v>809.60910000000149</v>
      </c>
      <c r="W361" s="1">
        <f t="shared" si="43"/>
        <v>320798</v>
      </c>
      <c r="X361" s="1">
        <f t="shared" si="44"/>
        <v>0.22500000000000009</v>
      </c>
      <c r="Y361" s="1">
        <f t="shared" si="45"/>
        <v>8.1699999999999995E-2</v>
      </c>
      <c r="Z361">
        <f t="shared" si="46"/>
        <v>0</v>
      </c>
    </row>
    <row r="362" spans="1:26" x14ac:dyDescent="0.2">
      <c r="A362">
        <f t="shared" si="47"/>
        <v>360</v>
      </c>
      <c r="B362">
        <v>2014</v>
      </c>
      <c r="C362" t="s">
        <v>67</v>
      </c>
      <c r="D362" t="s">
        <v>68</v>
      </c>
      <c r="E362">
        <v>4</v>
      </c>
      <c r="F362" s="2">
        <v>112</v>
      </c>
      <c r="G362" s="2" t="s">
        <v>40</v>
      </c>
      <c r="H362" s="2" t="s">
        <v>39</v>
      </c>
      <c r="I362" s="2" t="s">
        <v>41</v>
      </c>
      <c r="J362" s="2">
        <v>311</v>
      </c>
      <c r="K362" s="3">
        <v>197.73</v>
      </c>
      <c r="L362" s="3">
        <v>184.84</v>
      </c>
      <c r="M362" s="1">
        <v>153.71</v>
      </c>
      <c r="N362" s="3">
        <v>12411.5121</v>
      </c>
      <c r="O362" s="3">
        <v>11601</v>
      </c>
      <c r="P362" s="1">
        <v>605499</v>
      </c>
      <c r="Q362" s="3">
        <v>23.42</v>
      </c>
      <c r="R362" s="3">
        <v>35.222499999999997</v>
      </c>
      <c r="S362" s="3">
        <v>66.884600000000006</v>
      </c>
      <c r="T362" s="1">
        <f t="shared" si="40"/>
        <v>12.889999999999986</v>
      </c>
      <c r="U362" s="1">
        <f t="shared" si="41"/>
        <v>76.855000000000004</v>
      </c>
      <c r="V362" s="1">
        <f t="shared" si="42"/>
        <v>810.51209999999992</v>
      </c>
      <c r="W362" s="1">
        <f t="shared" si="43"/>
        <v>302749.5</v>
      </c>
      <c r="X362" s="1">
        <f t="shared" si="44"/>
        <v>-11.802499999999995</v>
      </c>
      <c r="Y362" s="1">
        <f t="shared" si="45"/>
        <v>33.442300000000003</v>
      </c>
      <c r="Z362">
        <f t="shared" si="46"/>
        <v>1</v>
      </c>
    </row>
    <row r="363" spans="1:26" x14ac:dyDescent="0.2">
      <c r="A363">
        <f t="shared" si="47"/>
        <v>361</v>
      </c>
      <c r="B363">
        <v>2015</v>
      </c>
      <c r="C363" t="s">
        <v>67</v>
      </c>
      <c r="D363" t="s">
        <v>83</v>
      </c>
      <c r="E363">
        <v>4</v>
      </c>
      <c r="F363" s="2">
        <v>132</v>
      </c>
      <c r="G363" s="2" t="s">
        <v>49</v>
      </c>
      <c r="H363" s="2" t="s">
        <v>46</v>
      </c>
      <c r="I363" s="2" t="s">
        <v>41</v>
      </c>
      <c r="J363" s="2">
        <v>3</v>
      </c>
      <c r="K363" s="3">
        <v>157.68</v>
      </c>
      <c r="L363" s="3">
        <v>144.63999999999999</v>
      </c>
      <c r="M363" s="3">
        <v>77.010000000000005</v>
      </c>
      <c r="N363" s="3">
        <v>9897.5736000000015</v>
      </c>
      <c r="O363" s="3">
        <v>9078.2900000000009</v>
      </c>
      <c r="P363" s="3">
        <v>303378</v>
      </c>
      <c r="Q363" s="3">
        <v>60</v>
      </c>
      <c r="R363" s="3">
        <v>65</v>
      </c>
      <c r="S363" s="3">
        <v>25.341100000000001</v>
      </c>
      <c r="T363" s="1">
        <f t="shared" si="40"/>
        <v>13.04000000000002</v>
      </c>
      <c r="U363" s="1">
        <f t="shared" si="41"/>
        <v>38.505000000000003</v>
      </c>
      <c r="V363" s="1">
        <f t="shared" si="42"/>
        <v>819.28360000000066</v>
      </c>
      <c r="W363" s="1">
        <f t="shared" si="43"/>
        <v>151689</v>
      </c>
      <c r="X363" s="1">
        <f t="shared" si="44"/>
        <v>-5</v>
      </c>
      <c r="Y363" s="1">
        <f t="shared" si="45"/>
        <v>12.67055</v>
      </c>
      <c r="Z363">
        <f t="shared" si="46"/>
        <v>1</v>
      </c>
    </row>
    <row r="364" spans="1:26" x14ac:dyDescent="0.2">
      <c r="A364">
        <f t="shared" si="47"/>
        <v>362</v>
      </c>
      <c r="B364">
        <v>2015</v>
      </c>
      <c r="C364" t="s">
        <v>72</v>
      </c>
      <c r="D364" t="s">
        <v>74</v>
      </c>
      <c r="E364">
        <v>4</v>
      </c>
      <c r="F364" s="2">
        <v>163</v>
      </c>
      <c r="G364" s="2" t="s">
        <v>58</v>
      </c>
      <c r="H364" s="2" t="s">
        <v>59</v>
      </c>
      <c r="I364" s="2" t="s">
        <v>33</v>
      </c>
      <c r="J364" s="2">
        <v>311</v>
      </c>
      <c r="K364" s="3">
        <v>187.63</v>
      </c>
      <c r="L364" s="3">
        <v>174.51</v>
      </c>
      <c r="M364" s="3">
        <v>222.67</v>
      </c>
      <c r="N364" s="3">
        <v>11777.535100000001</v>
      </c>
      <c r="O364" s="3">
        <v>10953</v>
      </c>
      <c r="P364" s="3">
        <v>877097</v>
      </c>
      <c r="Q364" s="3">
        <v>2.0499999999999998</v>
      </c>
      <c r="R364" s="3">
        <v>13.05</v>
      </c>
      <c r="S364" s="3">
        <v>5.4372999999999996</v>
      </c>
      <c r="T364" s="1">
        <f t="shared" si="40"/>
        <v>13.120000000000005</v>
      </c>
      <c r="U364" s="1">
        <f t="shared" si="41"/>
        <v>111.33499999999999</v>
      </c>
      <c r="V364" s="1">
        <f t="shared" si="42"/>
        <v>824.53510000000097</v>
      </c>
      <c r="W364" s="1">
        <f t="shared" si="43"/>
        <v>438548.5</v>
      </c>
      <c r="X364" s="1">
        <f t="shared" si="44"/>
        <v>-11</v>
      </c>
      <c r="Y364" s="1">
        <f t="shared" si="45"/>
        <v>2.7186499999999998</v>
      </c>
      <c r="Z364">
        <f t="shared" si="46"/>
        <v>0</v>
      </c>
    </row>
    <row r="365" spans="1:26" x14ac:dyDescent="0.2">
      <c r="A365">
        <f t="shared" si="47"/>
        <v>363</v>
      </c>
      <c r="B365">
        <v>2015</v>
      </c>
      <c r="C365" t="s">
        <v>64</v>
      </c>
      <c r="D365" t="s">
        <v>91</v>
      </c>
      <c r="E365">
        <v>6</v>
      </c>
      <c r="F365" s="2">
        <v>173</v>
      </c>
      <c r="G365" s="2" t="s">
        <v>31</v>
      </c>
      <c r="H365" s="2" t="s">
        <v>32</v>
      </c>
      <c r="I365" s="2" t="s">
        <v>33</v>
      </c>
      <c r="J365" s="2">
        <v>311</v>
      </c>
      <c r="K365" s="3">
        <v>208.9</v>
      </c>
      <c r="L365" s="3">
        <v>195.3</v>
      </c>
      <c r="M365" s="3">
        <v>52.46</v>
      </c>
      <c r="N365" s="3">
        <v>13112.653</v>
      </c>
      <c r="O365" s="3">
        <v>12258</v>
      </c>
      <c r="P365" s="3">
        <v>206693</v>
      </c>
      <c r="Q365" s="3">
        <v>20</v>
      </c>
      <c r="R365" s="3">
        <v>30</v>
      </c>
      <c r="S365" s="3">
        <v>49.622199999999999</v>
      </c>
      <c r="T365" s="1">
        <f t="shared" si="40"/>
        <v>13.599999999999994</v>
      </c>
      <c r="U365" s="1">
        <f t="shared" si="41"/>
        <v>17.486666666666668</v>
      </c>
      <c r="V365" s="1">
        <f t="shared" si="42"/>
        <v>854.65300000000025</v>
      </c>
      <c r="W365" s="1">
        <f t="shared" si="43"/>
        <v>68897.666666666672</v>
      </c>
      <c r="X365" s="1">
        <f t="shared" si="44"/>
        <v>-10</v>
      </c>
      <c r="Y365" s="1">
        <f t="shared" si="45"/>
        <v>16.540733333333332</v>
      </c>
      <c r="Z365">
        <f t="shared" si="46"/>
        <v>1</v>
      </c>
    </row>
    <row r="366" spans="1:26" x14ac:dyDescent="0.2">
      <c r="A366">
        <f t="shared" si="47"/>
        <v>364</v>
      </c>
      <c r="B366">
        <v>2015</v>
      </c>
      <c r="C366" t="s">
        <v>72</v>
      </c>
      <c r="D366" t="s">
        <v>73</v>
      </c>
      <c r="E366">
        <v>4</v>
      </c>
      <c r="F366" s="2">
        <v>31</v>
      </c>
      <c r="G366" s="2" t="s">
        <v>28</v>
      </c>
      <c r="H366" s="2" t="s">
        <v>29</v>
      </c>
      <c r="I366" s="2" t="s">
        <v>30</v>
      </c>
      <c r="J366" s="2">
        <v>11</v>
      </c>
      <c r="K366" s="3">
        <v>210.42</v>
      </c>
      <c r="L366" s="3">
        <v>196.81</v>
      </c>
      <c r="M366" s="3">
        <v>48.17</v>
      </c>
      <c r="N366" s="3">
        <v>13208.063399999999</v>
      </c>
      <c r="O366" s="3">
        <v>12352</v>
      </c>
      <c r="P366" s="3">
        <v>189801</v>
      </c>
      <c r="Q366" s="3">
        <v>2.8250000000000002</v>
      </c>
      <c r="R366" s="3">
        <v>6.9</v>
      </c>
      <c r="S366" s="3">
        <v>2.0556999999999999</v>
      </c>
      <c r="T366" s="1">
        <f t="shared" si="40"/>
        <v>13.609999999999985</v>
      </c>
      <c r="U366" s="1">
        <f t="shared" si="41"/>
        <v>24.085000000000001</v>
      </c>
      <c r="V366" s="1">
        <f t="shared" si="42"/>
        <v>856.06339999999909</v>
      </c>
      <c r="W366" s="1">
        <f t="shared" si="43"/>
        <v>94900.5</v>
      </c>
      <c r="X366" s="1">
        <f t="shared" si="44"/>
        <v>-4.0750000000000002</v>
      </c>
      <c r="Y366" s="1">
        <f t="shared" si="45"/>
        <v>1.0278499999999999</v>
      </c>
      <c r="Z366">
        <f t="shared" si="46"/>
        <v>0</v>
      </c>
    </row>
    <row r="367" spans="1:26" x14ac:dyDescent="0.2">
      <c r="A367">
        <f t="shared" si="47"/>
        <v>365</v>
      </c>
      <c r="B367">
        <v>2014</v>
      </c>
      <c r="C367" t="s">
        <v>67</v>
      </c>
      <c r="D367" t="s">
        <v>68</v>
      </c>
      <c r="E367">
        <v>4</v>
      </c>
      <c r="F367" s="2">
        <v>82</v>
      </c>
      <c r="G367" s="2" t="s">
        <v>31</v>
      </c>
      <c r="H367" s="2" t="s">
        <v>46</v>
      </c>
      <c r="I367" s="2" t="s">
        <v>41</v>
      </c>
      <c r="J367" s="2">
        <v>311</v>
      </c>
      <c r="K367" s="3">
        <v>198.53</v>
      </c>
      <c r="L367" s="3">
        <v>184.84</v>
      </c>
      <c r="M367" s="1">
        <v>153.71</v>
      </c>
      <c r="N367" s="3">
        <v>12461.7281</v>
      </c>
      <c r="O367" s="3">
        <v>11601</v>
      </c>
      <c r="P367" s="1">
        <v>605499</v>
      </c>
      <c r="Q367" s="3">
        <v>20.7</v>
      </c>
      <c r="R367" s="3">
        <v>35.222499999999997</v>
      </c>
      <c r="S367" s="3">
        <v>66.884600000000006</v>
      </c>
      <c r="T367" s="1">
        <f t="shared" si="40"/>
        <v>13.689999999999998</v>
      </c>
      <c r="U367" s="1">
        <f t="shared" si="41"/>
        <v>76.855000000000004</v>
      </c>
      <c r="V367" s="1">
        <f t="shared" si="42"/>
        <v>860.72810000000027</v>
      </c>
      <c r="W367" s="1">
        <f t="shared" si="43"/>
        <v>302749.5</v>
      </c>
      <c r="X367" s="1">
        <f t="shared" si="44"/>
        <v>-14.522499999999997</v>
      </c>
      <c r="Y367" s="1">
        <f t="shared" si="45"/>
        <v>33.442300000000003</v>
      </c>
      <c r="Z367">
        <f t="shared" si="46"/>
        <v>1</v>
      </c>
    </row>
    <row r="368" spans="1:26" x14ac:dyDescent="0.2">
      <c r="A368">
        <f t="shared" si="47"/>
        <v>366</v>
      </c>
      <c r="B368">
        <v>2014</v>
      </c>
      <c r="C368" t="s">
        <v>81</v>
      </c>
      <c r="D368" t="s">
        <v>95</v>
      </c>
      <c r="E368">
        <v>4</v>
      </c>
      <c r="F368" s="2">
        <v>92</v>
      </c>
      <c r="G368" s="2" t="s">
        <v>42</v>
      </c>
      <c r="H368" s="2" t="s">
        <v>43</v>
      </c>
      <c r="I368" s="2" t="s">
        <v>41</v>
      </c>
      <c r="J368" s="2">
        <v>311</v>
      </c>
      <c r="K368" s="3">
        <v>128.77000000000001</v>
      </c>
      <c r="L368" s="3">
        <v>114.95</v>
      </c>
      <c r="M368" s="3">
        <v>238.71</v>
      </c>
      <c r="N368" s="3">
        <v>8082.8929000000007</v>
      </c>
      <c r="O368" s="3">
        <v>7214.55</v>
      </c>
      <c r="P368" s="3">
        <v>940290</v>
      </c>
      <c r="Q368" s="3">
        <v>1.75</v>
      </c>
      <c r="R368" s="3">
        <v>1.75</v>
      </c>
      <c r="S368" s="3">
        <v>0</v>
      </c>
      <c r="T368" s="1">
        <f t="shared" si="40"/>
        <v>13.820000000000007</v>
      </c>
      <c r="U368" s="1">
        <f t="shared" si="41"/>
        <v>119.355</v>
      </c>
      <c r="V368" s="1">
        <f t="shared" si="42"/>
        <v>868.34290000000055</v>
      </c>
      <c r="W368" s="1">
        <f t="shared" si="43"/>
        <v>470145</v>
      </c>
      <c r="X368" s="1">
        <f t="shared" si="44"/>
        <v>0</v>
      </c>
      <c r="Y368" s="1">
        <f t="shared" si="45"/>
        <v>0</v>
      </c>
      <c r="Z368">
        <f t="shared" si="46"/>
        <v>0</v>
      </c>
    </row>
    <row r="369" spans="1:26" x14ac:dyDescent="0.2">
      <c r="A369">
        <f t="shared" si="47"/>
        <v>367</v>
      </c>
      <c r="B369">
        <v>2014</v>
      </c>
      <c r="C369" t="s">
        <v>67</v>
      </c>
      <c r="D369" t="s">
        <v>68</v>
      </c>
      <c r="E369">
        <v>4</v>
      </c>
      <c r="F369" s="2">
        <v>193</v>
      </c>
      <c r="G369" s="2" t="s">
        <v>40</v>
      </c>
      <c r="H369" s="2" t="s">
        <v>39</v>
      </c>
      <c r="I369" s="2" t="s">
        <v>33</v>
      </c>
      <c r="J369" s="2">
        <v>311</v>
      </c>
      <c r="K369" s="3">
        <v>198.67</v>
      </c>
      <c r="L369" s="3">
        <v>184.84</v>
      </c>
      <c r="M369" s="1">
        <v>153.71</v>
      </c>
      <c r="N369" s="3">
        <v>12470.5159</v>
      </c>
      <c r="O369" s="3">
        <v>11601</v>
      </c>
      <c r="P369" s="1">
        <v>605499</v>
      </c>
      <c r="Q369" s="3">
        <v>12.85</v>
      </c>
      <c r="R369" s="3">
        <v>35.222499999999997</v>
      </c>
      <c r="S369" s="3">
        <v>66.884600000000006</v>
      </c>
      <c r="T369" s="1">
        <f t="shared" si="40"/>
        <v>13.829999999999984</v>
      </c>
      <c r="U369" s="1">
        <f t="shared" si="41"/>
        <v>76.855000000000004</v>
      </c>
      <c r="V369" s="1">
        <f t="shared" si="42"/>
        <v>869.51590000000033</v>
      </c>
      <c r="W369" s="1">
        <f t="shared" si="43"/>
        <v>302749.5</v>
      </c>
      <c r="X369" s="1">
        <f t="shared" si="44"/>
        <v>-22.372499999999995</v>
      </c>
      <c r="Y369" s="1">
        <f t="shared" si="45"/>
        <v>33.442300000000003</v>
      </c>
      <c r="Z369">
        <f t="shared" si="46"/>
        <v>1</v>
      </c>
    </row>
    <row r="370" spans="1:26" x14ac:dyDescent="0.2">
      <c r="A370">
        <f t="shared" si="47"/>
        <v>368</v>
      </c>
      <c r="B370">
        <v>2014</v>
      </c>
      <c r="C370" t="s">
        <v>67</v>
      </c>
      <c r="D370" t="s">
        <v>68</v>
      </c>
      <c r="E370">
        <v>4</v>
      </c>
      <c r="F370" s="2">
        <v>173</v>
      </c>
      <c r="G370" s="2" t="s">
        <v>31</v>
      </c>
      <c r="H370" s="2" t="s">
        <v>32</v>
      </c>
      <c r="I370" s="2" t="s">
        <v>33</v>
      </c>
      <c r="J370" s="2">
        <v>311</v>
      </c>
      <c r="K370" s="3">
        <v>198.68</v>
      </c>
      <c r="L370" s="3">
        <v>184.84</v>
      </c>
      <c r="M370" s="1">
        <v>153.71</v>
      </c>
      <c r="N370" s="3">
        <v>12471.143600000001</v>
      </c>
      <c r="O370" s="3">
        <v>11601</v>
      </c>
      <c r="P370" s="1">
        <v>605499</v>
      </c>
      <c r="Q370" s="3">
        <v>18.857500000000002</v>
      </c>
      <c r="R370" s="3">
        <v>35.222499999999997</v>
      </c>
      <c r="S370" s="3">
        <v>66.884600000000006</v>
      </c>
      <c r="T370" s="1">
        <f t="shared" si="40"/>
        <v>13.840000000000003</v>
      </c>
      <c r="U370" s="1">
        <f t="shared" si="41"/>
        <v>76.855000000000004</v>
      </c>
      <c r="V370" s="1">
        <f t="shared" si="42"/>
        <v>870.14360000000124</v>
      </c>
      <c r="W370" s="1">
        <f t="shared" si="43"/>
        <v>302749.5</v>
      </c>
      <c r="X370" s="1">
        <f t="shared" si="44"/>
        <v>-16.364999999999995</v>
      </c>
      <c r="Y370" s="1">
        <f t="shared" si="45"/>
        <v>33.442300000000003</v>
      </c>
      <c r="Z370">
        <f t="shared" si="46"/>
        <v>1</v>
      </c>
    </row>
    <row r="371" spans="1:26" x14ac:dyDescent="0.2">
      <c r="A371">
        <f t="shared" si="47"/>
        <v>369</v>
      </c>
      <c r="B371">
        <v>2014</v>
      </c>
      <c r="C371" t="s">
        <v>50</v>
      </c>
      <c r="D371" t="s">
        <v>86</v>
      </c>
      <c r="E371">
        <v>4</v>
      </c>
      <c r="F371" s="2">
        <v>173</v>
      </c>
      <c r="G371" s="2" t="s">
        <v>31</v>
      </c>
      <c r="H371" s="2" t="s">
        <v>32</v>
      </c>
      <c r="I371" s="2" t="s">
        <v>33</v>
      </c>
      <c r="J371" s="2">
        <v>311</v>
      </c>
      <c r="K371" s="3">
        <v>165.91</v>
      </c>
      <c r="L371" s="3">
        <v>152.02000000000001</v>
      </c>
      <c r="M371" s="3">
        <v>208.65</v>
      </c>
      <c r="N371" s="3">
        <v>10414.170700000001</v>
      </c>
      <c r="O371" s="3">
        <v>9541.27</v>
      </c>
      <c r="P371" s="3">
        <v>821938</v>
      </c>
      <c r="Q371" s="3">
        <v>0</v>
      </c>
      <c r="R371" s="3">
        <v>0</v>
      </c>
      <c r="S371" s="3">
        <v>0</v>
      </c>
      <c r="T371" s="1">
        <f t="shared" si="40"/>
        <v>13.889999999999986</v>
      </c>
      <c r="U371" s="1">
        <f t="shared" si="41"/>
        <v>104.325</v>
      </c>
      <c r="V371" s="1">
        <f t="shared" si="42"/>
        <v>872.90070000000014</v>
      </c>
      <c r="W371" s="1">
        <f t="shared" si="43"/>
        <v>410969</v>
      </c>
      <c r="X371" s="1">
        <f t="shared" si="44"/>
        <v>0</v>
      </c>
      <c r="Y371" s="1">
        <f t="shared" si="45"/>
        <v>0</v>
      </c>
      <c r="Z371">
        <f t="shared" si="46"/>
        <v>0</v>
      </c>
    </row>
    <row r="372" spans="1:26" x14ac:dyDescent="0.2">
      <c r="A372">
        <f t="shared" si="47"/>
        <v>370</v>
      </c>
      <c r="B372">
        <v>2015</v>
      </c>
      <c r="C372" t="s">
        <v>72</v>
      </c>
      <c r="D372" t="s">
        <v>74</v>
      </c>
      <c r="E372">
        <v>4</v>
      </c>
      <c r="F372" s="2">
        <v>153</v>
      </c>
      <c r="G372" s="2" t="s">
        <v>44</v>
      </c>
      <c r="H372" s="2" t="s">
        <v>45</v>
      </c>
      <c r="I372" s="2" t="s">
        <v>33</v>
      </c>
      <c r="J372" s="2">
        <v>3711</v>
      </c>
      <c r="K372" s="3">
        <v>188.5</v>
      </c>
      <c r="L372" s="3">
        <v>174.51</v>
      </c>
      <c r="M372" s="3">
        <v>222.67</v>
      </c>
      <c r="N372" s="3">
        <v>11832.145</v>
      </c>
      <c r="O372" s="3">
        <v>10953</v>
      </c>
      <c r="P372" s="3">
        <v>877097</v>
      </c>
      <c r="Q372" s="3">
        <v>2.7749999999999999</v>
      </c>
      <c r="R372" s="3">
        <v>13.05</v>
      </c>
      <c r="S372" s="3">
        <v>5.4372999999999996</v>
      </c>
      <c r="T372" s="1">
        <f t="shared" si="40"/>
        <v>13.990000000000009</v>
      </c>
      <c r="U372" s="1">
        <f t="shared" si="41"/>
        <v>111.33499999999999</v>
      </c>
      <c r="V372" s="1">
        <f t="shared" si="42"/>
        <v>879.14500000000044</v>
      </c>
      <c r="W372" s="1">
        <f t="shared" si="43"/>
        <v>438548.5</v>
      </c>
      <c r="X372" s="1">
        <f t="shared" si="44"/>
        <v>-10.275</v>
      </c>
      <c r="Y372" s="1">
        <f t="shared" si="45"/>
        <v>2.7186499999999998</v>
      </c>
      <c r="Z372">
        <f t="shared" si="46"/>
        <v>0</v>
      </c>
    </row>
    <row r="373" spans="1:26" x14ac:dyDescent="0.2">
      <c r="A373">
        <f t="shared" si="47"/>
        <v>371</v>
      </c>
      <c r="B373">
        <v>2015</v>
      </c>
      <c r="C373" t="s">
        <v>84</v>
      </c>
      <c r="D373" t="s">
        <v>85</v>
      </c>
      <c r="E373">
        <v>4</v>
      </c>
      <c r="F373" s="2">
        <v>112</v>
      </c>
      <c r="G373" s="2" t="s">
        <v>40</v>
      </c>
      <c r="H373" s="2" t="s">
        <v>39</v>
      </c>
      <c r="I373" s="2" t="s">
        <v>41</v>
      </c>
      <c r="J373" s="2">
        <v>311</v>
      </c>
      <c r="K373" s="3">
        <v>211.75</v>
      </c>
      <c r="L373" s="3">
        <v>197.54</v>
      </c>
      <c r="M373" s="3">
        <v>296.25</v>
      </c>
      <c r="N373" s="3">
        <v>13291.547500000001</v>
      </c>
      <c r="O373" s="3">
        <v>12398</v>
      </c>
      <c r="P373" s="3">
        <v>1166970</v>
      </c>
      <c r="Q373" s="3">
        <v>0.25</v>
      </c>
      <c r="R373" s="3">
        <v>0.6875</v>
      </c>
      <c r="S373" s="3">
        <v>0.21049999999999999</v>
      </c>
      <c r="T373" s="1">
        <f t="shared" si="40"/>
        <v>14.210000000000008</v>
      </c>
      <c r="U373" s="1">
        <f t="shared" si="41"/>
        <v>148.125</v>
      </c>
      <c r="V373" s="1">
        <f t="shared" si="42"/>
        <v>893.54750000000058</v>
      </c>
      <c r="W373" s="1">
        <f t="shared" si="43"/>
        <v>583485</v>
      </c>
      <c r="X373" s="1">
        <f t="shared" si="44"/>
        <v>-0.4375</v>
      </c>
      <c r="Y373" s="1">
        <f t="shared" si="45"/>
        <v>0.10525</v>
      </c>
      <c r="Z373">
        <f t="shared" si="46"/>
        <v>0</v>
      </c>
    </row>
    <row r="374" spans="1:26" x14ac:dyDescent="0.2">
      <c r="A374">
        <f t="shared" si="47"/>
        <v>372</v>
      </c>
      <c r="B374">
        <v>2015</v>
      </c>
      <c r="C374" t="s">
        <v>88</v>
      </c>
      <c r="D374" t="s">
        <v>90</v>
      </c>
      <c r="E374">
        <v>4</v>
      </c>
      <c r="F374" s="2">
        <v>153</v>
      </c>
      <c r="G374" s="2" t="s">
        <v>44</v>
      </c>
      <c r="H374" s="2" t="s">
        <v>45</v>
      </c>
      <c r="I374" s="2" t="s">
        <v>33</v>
      </c>
      <c r="J374" s="2">
        <v>3711</v>
      </c>
      <c r="K374" s="3">
        <v>228.9</v>
      </c>
      <c r="L374" s="3">
        <v>214.57</v>
      </c>
      <c r="M374" s="3">
        <v>51.3</v>
      </c>
      <c r="N374" s="3">
        <v>14368.053000000002</v>
      </c>
      <c r="O374" s="3">
        <v>13467</v>
      </c>
      <c r="P374" s="3">
        <v>202142</v>
      </c>
      <c r="Q374" s="3">
        <v>0</v>
      </c>
      <c r="R374" s="3">
        <v>0</v>
      </c>
      <c r="S374" s="3">
        <v>0</v>
      </c>
      <c r="T374" s="1">
        <f t="shared" si="40"/>
        <v>14.330000000000013</v>
      </c>
      <c r="U374" s="1">
        <f t="shared" si="41"/>
        <v>25.65</v>
      </c>
      <c r="V374" s="1">
        <f t="shared" si="42"/>
        <v>901.0530000000017</v>
      </c>
      <c r="W374" s="1">
        <f t="shared" si="43"/>
        <v>101071</v>
      </c>
      <c r="X374" s="1">
        <f t="shared" si="44"/>
        <v>0</v>
      </c>
      <c r="Y374" s="1">
        <f t="shared" si="45"/>
        <v>0</v>
      </c>
      <c r="Z374">
        <f t="shared" si="46"/>
        <v>0</v>
      </c>
    </row>
    <row r="375" spans="1:26" x14ac:dyDescent="0.2">
      <c r="A375">
        <f t="shared" si="47"/>
        <v>373</v>
      </c>
      <c r="B375">
        <v>2015</v>
      </c>
      <c r="C375" t="s">
        <v>56</v>
      </c>
      <c r="D375" t="s">
        <v>57</v>
      </c>
      <c r="E375">
        <v>5</v>
      </c>
      <c r="F375" s="2">
        <v>142</v>
      </c>
      <c r="G375" s="2" t="s">
        <v>63</v>
      </c>
      <c r="H375" s="2" t="s">
        <v>46</v>
      </c>
      <c r="I375" s="2" t="s">
        <v>41</v>
      </c>
      <c r="J375" s="2">
        <v>3</v>
      </c>
      <c r="K375" s="3">
        <v>177.26</v>
      </c>
      <c r="L375" s="3">
        <v>162.91</v>
      </c>
      <c r="M375" s="3">
        <v>731.14</v>
      </c>
      <c r="N375" s="3">
        <v>11126.610199999999</v>
      </c>
      <c r="O375" s="3">
        <v>10225</v>
      </c>
      <c r="P375" s="3">
        <v>2880279</v>
      </c>
      <c r="Q375" s="3">
        <v>2.0840000000000001</v>
      </c>
      <c r="R375" s="3">
        <v>9.2360000000000007</v>
      </c>
      <c r="S375" s="3">
        <v>10.812099999999999</v>
      </c>
      <c r="T375" s="1">
        <f t="shared" si="40"/>
        <v>14.349999999999994</v>
      </c>
      <c r="U375" s="1">
        <f t="shared" si="41"/>
        <v>292.45600000000002</v>
      </c>
      <c r="V375" s="1">
        <f t="shared" si="42"/>
        <v>901.61019999999917</v>
      </c>
      <c r="W375" s="1">
        <f t="shared" si="43"/>
        <v>1152111.6000000001</v>
      </c>
      <c r="X375" s="1">
        <f t="shared" si="44"/>
        <v>-7.152000000000001</v>
      </c>
      <c r="Y375" s="1">
        <f t="shared" si="45"/>
        <v>4.32484</v>
      </c>
      <c r="Z375">
        <f t="shared" si="46"/>
        <v>0</v>
      </c>
    </row>
    <row r="376" spans="1:26" x14ac:dyDescent="0.2">
      <c r="A376">
        <f t="shared" si="47"/>
        <v>374</v>
      </c>
      <c r="B376">
        <v>2015</v>
      </c>
      <c r="C376" t="s">
        <v>92</v>
      </c>
      <c r="D376" t="s">
        <v>93</v>
      </c>
      <c r="E376">
        <v>4</v>
      </c>
      <c r="F376" s="2">
        <v>61</v>
      </c>
      <c r="G376" s="2" t="s">
        <v>38</v>
      </c>
      <c r="H376" s="2" t="s">
        <v>39</v>
      </c>
      <c r="I376" s="2" t="s">
        <v>30</v>
      </c>
      <c r="J376" s="2">
        <v>311</v>
      </c>
      <c r="K376" s="3">
        <v>228.18</v>
      </c>
      <c r="L376" s="3">
        <v>213.77</v>
      </c>
      <c r="M376" s="3">
        <v>77.13</v>
      </c>
      <c r="N376" s="3">
        <v>14322.858600000001</v>
      </c>
      <c r="O376" s="3">
        <v>13417</v>
      </c>
      <c r="P376" s="3">
        <v>303850</v>
      </c>
      <c r="Q376" s="3">
        <v>23.75</v>
      </c>
      <c r="R376" s="3">
        <v>21.75</v>
      </c>
      <c r="S376" s="3">
        <v>29.549499999999998</v>
      </c>
      <c r="T376" s="1">
        <f t="shared" si="40"/>
        <v>14.409999999999997</v>
      </c>
      <c r="U376" s="1">
        <f t="shared" si="41"/>
        <v>38.564999999999998</v>
      </c>
      <c r="V376" s="1">
        <f t="shared" si="42"/>
        <v>905.85860000000139</v>
      </c>
      <c r="W376" s="1">
        <f t="shared" si="43"/>
        <v>151925</v>
      </c>
      <c r="X376" s="1">
        <f t="shared" si="44"/>
        <v>2</v>
      </c>
      <c r="Y376" s="1">
        <f t="shared" si="45"/>
        <v>14.774749999999999</v>
      </c>
      <c r="Z376">
        <f t="shared" si="46"/>
        <v>1</v>
      </c>
    </row>
    <row r="377" spans="1:26" x14ac:dyDescent="0.2">
      <c r="A377">
        <f t="shared" si="47"/>
        <v>375</v>
      </c>
      <c r="B377">
        <v>2014</v>
      </c>
      <c r="C377" t="s">
        <v>52</v>
      </c>
      <c r="D377" t="s">
        <v>79</v>
      </c>
      <c r="E377">
        <v>4</v>
      </c>
      <c r="F377" s="2">
        <v>72</v>
      </c>
      <c r="G377" s="2" t="s">
        <v>47</v>
      </c>
      <c r="H377" s="2" t="s">
        <v>48</v>
      </c>
      <c r="I377" s="2" t="s">
        <v>41</v>
      </c>
      <c r="J377" s="2">
        <v>311</v>
      </c>
      <c r="K377" s="3">
        <v>179.47</v>
      </c>
      <c r="L377" s="3">
        <v>165.03</v>
      </c>
      <c r="M377" s="3">
        <v>19.100000000000001</v>
      </c>
      <c r="N377" s="3">
        <v>11265.331900000001</v>
      </c>
      <c r="O377" s="3">
        <v>10358</v>
      </c>
      <c r="P377" s="3">
        <v>75251</v>
      </c>
      <c r="Q377" s="3">
        <v>15</v>
      </c>
      <c r="R377" s="3">
        <v>70</v>
      </c>
      <c r="S377" s="3">
        <v>10.1486</v>
      </c>
      <c r="T377" s="1">
        <f t="shared" si="40"/>
        <v>14.439999999999998</v>
      </c>
      <c r="U377" s="1">
        <f t="shared" si="41"/>
        <v>9.5500000000000007</v>
      </c>
      <c r="V377" s="1">
        <f t="shared" si="42"/>
        <v>907.33190000000104</v>
      </c>
      <c r="W377" s="1">
        <f t="shared" si="43"/>
        <v>37625.5</v>
      </c>
      <c r="X377" s="1">
        <f t="shared" si="44"/>
        <v>-55</v>
      </c>
      <c r="Y377" s="1">
        <f t="shared" si="45"/>
        <v>5.0743</v>
      </c>
      <c r="Z377">
        <f t="shared" si="46"/>
        <v>1</v>
      </c>
    </row>
    <row r="378" spans="1:26" x14ac:dyDescent="0.2">
      <c r="A378">
        <f t="shared" si="47"/>
        <v>376</v>
      </c>
      <c r="B378">
        <v>2014</v>
      </c>
      <c r="C378" t="s">
        <v>50</v>
      </c>
      <c r="D378" t="s">
        <v>86</v>
      </c>
      <c r="E378">
        <v>4</v>
      </c>
      <c r="F378" s="2">
        <v>102</v>
      </c>
      <c r="G378" s="2" t="s">
        <v>36</v>
      </c>
      <c r="H378" s="2" t="s">
        <v>29</v>
      </c>
      <c r="I378" s="2" t="s">
        <v>41</v>
      </c>
      <c r="J378" s="2">
        <v>11</v>
      </c>
      <c r="K378" s="3">
        <v>166.53</v>
      </c>
      <c r="L378" s="3">
        <v>152.02000000000001</v>
      </c>
      <c r="M378" s="3">
        <v>208.65</v>
      </c>
      <c r="N378" s="3">
        <v>10453.088100000001</v>
      </c>
      <c r="O378" s="3">
        <v>9541.27</v>
      </c>
      <c r="P378" s="3">
        <v>821938</v>
      </c>
      <c r="Q378" s="3">
        <v>0</v>
      </c>
      <c r="R378" s="3">
        <v>0</v>
      </c>
      <c r="S378" s="3">
        <v>0</v>
      </c>
      <c r="T378" s="1">
        <f t="shared" si="40"/>
        <v>14.509999999999991</v>
      </c>
      <c r="U378" s="1">
        <f t="shared" si="41"/>
        <v>104.325</v>
      </c>
      <c r="V378" s="1">
        <f t="shared" si="42"/>
        <v>911.81810000000041</v>
      </c>
      <c r="W378" s="1">
        <f t="shared" si="43"/>
        <v>410969</v>
      </c>
      <c r="X378" s="1">
        <f t="shared" si="44"/>
        <v>0</v>
      </c>
      <c r="Y378" s="1">
        <f t="shared" si="45"/>
        <v>0</v>
      </c>
      <c r="Z378">
        <f t="shared" si="46"/>
        <v>0</v>
      </c>
    </row>
    <row r="379" spans="1:26" x14ac:dyDescent="0.2">
      <c r="A379">
        <f t="shared" si="47"/>
        <v>377</v>
      </c>
      <c r="B379">
        <v>2014</v>
      </c>
      <c r="C379" t="s">
        <v>67</v>
      </c>
      <c r="D379" t="s">
        <v>68</v>
      </c>
      <c r="E379">
        <v>4</v>
      </c>
      <c r="F379" s="2">
        <v>183</v>
      </c>
      <c r="G379" s="2" t="s">
        <v>36</v>
      </c>
      <c r="H379" s="2" t="s">
        <v>37</v>
      </c>
      <c r="I379" s="2" t="s">
        <v>33</v>
      </c>
      <c r="J379" s="2">
        <v>11</v>
      </c>
      <c r="K379" s="3">
        <v>199.43</v>
      </c>
      <c r="L379" s="3">
        <v>184.84</v>
      </c>
      <c r="M379" s="1">
        <v>153.71</v>
      </c>
      <c r="N379" s="3">
        <v>12518.221100000001</v>
      </c>
      <c r="O379" s="3">
        <v>11601</v>
      </c>
      <c r="P379" s="1">
        <v>605499</v>
      </c>
      <c r="Q379" s="3">
        <v>22.454999999999998</v>
      </c>
      <c r="R379" s="3">
        <v>35.222499999999997</v>
      </c>
      <c r="S379" s="3">
        <v>66.884600000000006</v>
      </c>
      <c r="T379" s="1">
        <f t="shared" si="40"/>
        <v>14.590000000000003</v>
      </c>
      <c r="U379" s="1">
        <f t="shared" si="41"/>
        <v>76.855000000000004</v>
      </c>
      <c r="V379" s="1">
        <f t="shared" si="42"/>
        <v>917.22110000000066</v>
      </c>
      <c r="W379" s="1">
        <f t="shared" si="43"/>
        <v>302749.5</v>
      </c>
      <c r="X379" s="1">
        <f t="shared" si="44"/>
        <v>-12.767499999999998</v>
      </c>
      <c r="Y379" s="1">
        <f t="shared" si="45"/>
        <v>33.442300000000003</v>
      </c>
      <c r="Z379">
        <f t="shared" si="46"/>
        <v>1</v>
      </c>
    </row>
    <row r="380" spans="1:26" x14ac:dyDescent="0.2">
      <c r="A380">
        <f t="shared" si="47"/>
        <v>378</v>
      </c>
      <c r="B380">
        <v>2014</v>
      </c>
      <c r="C380" t="s">
        <v>50</v>
      </c>
      <c r="D380" t="s">
        <v>87</v>
      </c>
      <c r="E380">
        <v>4</v>
      </c>
      <c r="F380" s="2">
        <v>72</v>
      </c>
      <c r="G380" s="2" t="s">
        <v>47</v>
      </c>
      <c r="H380" s="2" t="s">
        <v>48</v>
      </c>
      <c r="I380" s="2" t="s">
        <v>41</v>
      </c>
      <c r="J380" s="2">
        <v>311</v>
      </c>
      <c r="K380" s="3">
        <v>212.06</v>
      </c>
      <c r="L380" s="3">
        <v>197.4</v>
      </c>
      <c r="M380" s="3">
        <v>34.08</v>
      </c>
      <c r="N380" s="3">
        <v>13311.006200000002</v>
      </c>
      <c r="O380" s="3">
        <v>12389</v>
      </c>
      <c r="P380" s="3">
        <v>134269</v>
      </c>
      <c r="Q380" s="3">
        <v>6.5</v>
      </c>
      <c r="R380" s="3">
        <v>10.75</v>
      </c>
      <c r="S380" s="3">
        <v>17.947199999999999</v>
      </c>
      <c r="T380" s="1">
        <f t="shared" si="40"/>
        <v>14.659999999999997</v>
      </c>
      <c r="U380" s="1">
        <f t="shared" si="41"/>
        <v>17.04</v>
      </c>
      <c r="V380" s="1">
        <f t="shared" si="42"/>
        <v>922.00620000000163</v>
      </c>
      <c r="W380" s="1">
        <f t="shared" si="43"/>
        <v>67134.5</v>
      </c>
      <c r="X380" s="1">
        <f t="shared" si="44"/>
        <v>-4.25</v>
      </c>
      <c r="Y380" s="1">
        <f t="shared" si="45"/>
        <v>8.9735999999999994</v>
      </c>
      <c r="Z380">
        <f t="shared" si="46"/>
        <v>1</v>
      </c>
    </row>
    <row r="381" spans="1:26" x14ac:dyDescent="0.2">
      <c r="A381">
        <f t="shared" si="47"/>
        <v>379</v>
      </c>
      <c r="B381">
        <v>2014</v>
      </c>
      <c r="C381" t="s">
        <v>50</v>
      </c>
      <c r="D381" t="s">
        <v>86</v>
      </c>
      <c r="E381">
        <v>4</v>
      </c>
      <c r="F381" s="2">
        <v>163</v>
      </c>
      <c r="G381" s="2" t="s">
        <v>58</v>
      </c>
      <c r="H381" s="2" t="s">
        <v>59</v>
      </c>
      <c r="I381" s="2" t="s">
        <v>33</v>
      </c>
      <c r="J381" s="2">
        <v>311</v>
      </c>
      <c r="K381" s="3">
        <v>166.72</v>
      </c>
      <c r="L381" s="3">
        <v>152.02000000000001</v>
      </c>
      <c r="M381" s="3">
        <v>208.65</v>
      </c>
      <c r="N381" s="3">
        <v>10465.0144</v>
      </c>
      <c r="O381" s="3">
        <v>9541.27</v>
      </c>
      <c r="P381" s="3">
        <v>821938</v>
      </c>
      <c r="Q381" s="3">
        <v>0</v>
      </c>
      <c r="R381" s="3">
        <v>0</v>
      </c>
      <c r="S381" s="3">
        <v>0</v>
      </c>
      <c r="T381" s="1">
        <f t="shared" si="40"/>
        <v>14.699999999999989</v>
      </c>
      <c r="U381" s="1">
        <f t="shared" si="41"/>
        <v>104.325</v>
      </c>
      <c r="V381" s="1">
        <f t="shared" si="42"/>
        <v>923.74439999999959</v>
      </c>
      <c r="W381" s="1">
        <f t="shared" si="43"/>
        <v>410969</v>
      </c>
      <c r="X381" s="1">
        <f t="shared" si="44"/>
        <v>0</v>
      </c>
      <c r="Y381" s="1">
        <f t="shared" si="45"/>
        <v>0</v>
      </c>
      <c r="Z381">
        <f t="shared" si="46"/>
        <v>0</v>
      </c>
    </row>
    <row r="382" spans="1:26" x14ac:dyDescent="0.2">
      <c r="A382">
        <f t="shared" si="47"/>
        <v>380</v>
      </c>
      <c r="B382">
        <v>2015</v>
      </c>
      <c r="C382" t="s">
        <v>54</v>
      </c>
      <c r="D382" t="s">
        <v>69</v>
      </c>
      <c r="E382">
        <v>4</v>
      </c>
      <c r="F382" s="2">
        <v>92</v>
      </c>
      <c r="G382" s="2" t="s">
        <v>42</v>
      </c>
      <c r="H382" s="2" t="s">
        <v>43</v>
      </c>
      <c r="I382" s="2" t="s">
        <v>41</v>
      </c>
      <c r="J382" s="2">
        <v>311</v>
      </c>
      <c r="K382" s="3">
        <v>261.33999999999997</v>
      </c>
      <c r="L382" s="3">
        <v>246.63</v>
      </c>
      <c r="M382" s="3">
        <v>212.78</v>
      </c>
      <c r="N382" s="3">
        <v>16404.311799999999</v>
      </c>
      <c r="O382" s="3">
        <v>15479</v>
      </c>
      <c r="P382" s="3">
        <v>838171</v>
      </c>
      <c r="Q382" s="3">
        <v>27.5</v>
      </c>
      <c r="R382" s="3">
        <v>32.5</v>
      </c>
      <c r="S382" s="3">
        <v>207.72</v>
      </c>
      <c r="T382" s="1">
        <f t="shared" si="40"/>
        <v>14.70999999999998</v>
      </c>
      <c r="U382" s="1">
        <f t="shared" si="41"/>
        <v>106.39</v>
      </c>
      <c r="V382" s="1">
        <f t="shared" si="42"/>
        <v>925.31179999999949</v>
      </c>
      <c r="W382" s="1">
        <f t="shared" si="43"/>
        <v>419085.5</v>
      </c>
      <c r="X382" s="1">
        <f t="shared" si="44"/>
        <v>-5</v>
      </c>
      <c r="Y382" s="1">
        <f t="shared" si="45"/>
        <v>103.86</v>
      </c>
      <c r="Z382">
        <f t="shared" si="46"/>
        <v>1</v>
      </c>
    </row>
    <row r="383" spans="1:26" x14ac:dyDescent="0.2">
      <c r="A383">
        <f t="shared" si="47"/>
        <v>381</v>
      </c>
      <c r="B383">
        <v>2015</v>
      </c>
      <c r="C383" t="s">
        <v>92</v>
      </c>
      <c r="D383" t="s">
        <v>93</v>
      </c>
      <c r="E383">
        <v>4</v>
      </c>
      <c r="F383" s="2">
        <v>153</v>
      </c>
      <c r="G383" s="2" t="s">
        <v>44</v>
      </c>
      <c r="H383" s="2" t="s">
        <v>45</v>
      </c>
      <c r="I383" s="2" t="s">
        <v>33</v>
      </c>
      <c r="J383" s="2">
        <v>3711</v>
      </c>
      <c r="K383" s="3">
        <v>228.52</v>
      </c>
      <c r="L383" s="3">
        <v>213.77</v>
      </c>
      <c r="M383" s="3">
        <v>77.13</v>
      </c>
      <c r="N383" s="3">
        <v>14344.200400000002</v>
      </c>
      <c r="O383" s="3">
        <v>13417</v>
      </c>
      <c r="P383" s="3">
        <v>303850</v>
      </c>
      <c r="Q383" s="3">
        <v>4</v>
      </c>
      <c r="R383" s="3">
        <v>21.75</v>
      </c>
      <c r="S383" s="3">
        <v>29.549499999999998</v>
      </c>
      <c r="T383" s="1">
        <f t="shared" si="40"/>
        <v>14.75</v>
      </c>
      <c r="U383" s="1">
        <f t="shared" si="41"/>
        <v>38.564999999999998</v>
      </c>
      <c r="V383" s="1">
        <f t="shared" si="42"/>
        <v>927.20040000000154</v>
      </c>
      <c r="W383" s="1">
        <f t="shared" si="43"/>
        <v>151925</v>
      </c>
      <c r="X383" s="1">
        <f t="shared" si="44"/>
        <v>-17.75</v>
      </c>
      <c r="Y383" s="1">
        <f t="shared" si="45"/>
        <v>14.774749999999999</v>
      </c>
      <c r="Z383">
        <f t="shared" si="46"/>
        <v>0</v>
      </c>
    </row>
    <row r="384" spans="1:26" x14ac:dyDescent="0.2">
      <c r="A384">
        <f t="shared" si="47"/>
        <v>382</v>
      </c>
      <c r="B384">
        <v>2014</v>
      </c>
      <c r="C384" t="s">
        <v>64</v>
      </c>
      <c r="D384" t="s">
        <v>78</v>
      </c>
      <c r="E384">
        <v>4</v>
      </c>
      <c r="F384" s="2">
        <v>102</v>
      </c>
      <c r="G384" s="2" t="s">
        <v>36</v>
      </c>
      <c r="H384" s="2" t="s">
        <v>29</v>
      </c>
      <c r="I384" s="2" t="s">
        <v>41</v>
      </c>
      <c r="J384" s="2">
        <v>11</v>
      </c>
      <c r="K384" s="3">
        <v>210.12</v>
      </c>
      <c r="L384" s="3">
        <v>195.37</v>
      </c>
      <c r="M384" s="3">
        <v>228.55</v>
      </c>
      <c r="N384" s="3">
        <v>13189.232400000001</v>
      </c>
      <c r="O384" s="3">
        <v>12262</v>
      </c>
      <c r="P384" s="3">
        <v>900285</v>
      </c>
      <c r="Q384" s="3">
        <v>8</v>
      </c>
      <c r="R384" s="3">
        <v>15</v>
      </c>
      <c r="S384" s="3">
        <v>15.3675</v>
      </c>
      <c r="T384" s="1">
        <f t="shared" si="40"/>
        <v>14.75</v>
      </c>
      <c r="U384" s="1">
        <f t="shared" si="41"/>
        <v>114.27500000000001</v>
      </c>
      <c r="V384" s="1">
        <f t="shared" si="42"/>
        <v>927.23240000000078</v>
      </c>
      <c r="W384" s="1">
        <f t="shared" si="43"/>
        <v>450142.5</v>
      </c>
      <c r="X384" s="1">
        <f t="shared" si="44"/>
        <v>-7</v>
      </c>
      <c r="Y384" s="1">
        <f t="shared" si="45"/>
        <v>7.6837499999999999</v>
      </c>
      <c r="Z384">
        <f t="shared" si="46"/>
        <v>1</v>
      </c>
    </row>
    <row r="385" spans="1:26" x14ac:dyDescent="0.2">
      <c r="A385">
        <f t="shared" si="47"/>
        <v>383</v>
      </c>
      <c r="B385">
        <v>2014</v>
      </c>
      <c r="C385" t="s">
        <v>64</v>
      </c>
      <c r="D385" t="s">
        <v>65</v>
      </c>
      <c r="E385">
        <v>4</v>
      </c>
      <c r="F385" s="2">
        <v>122</v>
      </c>
      <c r="G385" s="2" t="s">
        <v>75</v>
      </c>
      <c r="H385" s="2" t="s">
        <v>76</v>
      </c>
      <c r="I385" s="2" t="s">
        <v>41</v>
      </c>
      <c r="J385" s="2">
        <v>311</v>
      </c>
      <c r="K385" s="3">
        <v>216.36</v>
      </c>
      <c r="L385" s="3">
        <v>201.48</v>
      </c>
      <c r="M385" s="3">
        <v>45.55</v>
      </c>
      <c r="N385" s="3">
        <v>13580.917200000002</v>
      </c>
      <c r="O385" s="3">
        <v>12646</v>
      </c>
      <c r="P385" s="3">
        <v>179407</v>
      </c>
      <c r="Q385" s="3">
        <v>1.75</v>
      </c>
      <c r="R385" s="3">
        <v>9.875</v>
      </c>
      <c r="S385" s="3">
        <v>2.2923</v>
      </c>
      <c r="T385" s="1">
        <f t="shared" si="40"/>
        <v>14.880000000000024</v>
      </c>
      <c r="U385" s="1">
        <f t="shared" si="41"/>
        <v>22.774999999999999</v>
      </c>
      <c r="V385" s="1">
        <f t="shared" si="42"/>
        <v>934.91720000000169</v>
      </c>
      <c r="W385" s="1">
        <f t="shared" si="43"/>
        <v>89703.5</v>
      </c>
      <c r="X385" s="1">
        <f t="shared" si="44"/>
        <v>-8.125</v>
      </c>
      <c r="Y385" s="1">
        <f t="shared" si="45"/>
        <v>1.14615</v>
      </c>
      <c r="Z385">
        <f t="shared" si="46"/>
        <v>0</v>
      </c>
    </row>
    <row r="386" spans="1:26" x14ac:dyDescent="0.2">
      <c r="A386">
        <f t="shared" si="47"/>
        <v>384</v>
      </c>
      <c r="B386">
        <v>2014</v>
      </c>
      <c r="C386" t="s">
        <v>64</v>
      </c>
      <c r="D386" t="s">
        <v>91</v>
      </c>
      <c r="E386">
        <v>4</v>
      </c>
      <c r="F386" s="2">
        <v>102</v>
      </c>
      <c r="G386" s="2" t="s">
        <v>36</v>
      </c>
      <c r="H386" s="2" t="s">
        <v>29</v>
      </c>
      <c r="I386" s="2" t="s">
        <v>41</v>
      </c>
      <c r="J386" s="2">
        <v>11</v>
      </c>
      <c r="K386" s="3">
        <v>216.45</v>
      </c>
      <c r="L386" s="3">
        <v>201.5</v>
      </c>
      <c r="M386" s="3">
        <v>33.04</v>
      </c>
      <c r="N386" s="3">
        <v>13586.566500000001</v>
      </c>
      <c r="O386" s="3">
        <v>12647</v>
      </c>
      <c r="P386" s="3">
        <v>130192</v>
      </c>
      <c r="Q386" s="3">
        <v>7.4999999999999997E-2</v>
      </c>
      <c r="R386" s="3">
        <v>7.4999999999999997E-2</v>
      </c>
      <c r="S386" s="3">
        <v>0.59940000000000004</v>
      </c>
      <c r="T386" s="1">
        <f t="shared" si="40"/>
        <v>14.949999999999989</v>
      </c>
      <c r="U386" s="1">
        <f t="shared" si="41"/>
        <v>16.52</v>
      </c>
      <c r="V386" s="1">
        <f t="shared" si="42"/>
        <v>939.56650000000081</v>
      </c>
      <c r="W386" s="1">
        <f t="shared" si="43"/>
        <v>65096</v>
      </c>
      <c r="X386" s="1">
        <f t="shared" si="44"/>
        <v>0</v>
      </c>
      <c r="Y386" s="1">
        <f t="shared" si="45"/>
        <v>0.29970000000000002</v>
      </c>
      <c r="Z386">
        <f t="shared" si="46"/>
        <v>0</v>
      </c>
    </row>
    <row r="387" spans="1:26" x14ac:dyDescent="0.2">
      <c r="A387">
        <f t="shared" si="47"/>
        <v>385</v>
      </c>
      <c r="B387">
        <v>2014</v>
      </c>
      <c r="C387" t="s">
        <v>64</v>
      </c>
      <c r="D387" t="s">
        <v>65</v>
      </c>
      <c r="E387">
        <v>4</v>
      </c>
      <c r="F387" s="2">
        <v>193</v>
      </c>
      <c r="G387" s="2" t="s">
        <v>40</v>
      </c>
      <c r="H387" s="2" t="s">
        <v>39</v>
      </c>
      <c r="I387" s="2" t="s">
        <v>33</v>
      </c>
      <c r="J387" s="2">
        <v>311</v>
      </c>
      <c r="K387" s="3">
        <v>216.68</v>
      </c>
      <c r="L387" s="3">
        <v>201.48</v>
      </c>
      <c r="M387" s="3">
        <v>45.55</v>
      </c>
      <c r="N387" s="3">
        <v>13601.003600000002</v>
      </c>
      <c r="O387" s="3">
        <v>12646</v>
      </c>
      <c r="P387" s="3">
        <v>179407</v>
      </c>
      <c r="Q387" s="3">
        <v>0.52500000000000002</v>
      </c>
      <c r="R387" s="3">
        <v>9.875</v>
      </c>
      <c r="S387" s="3">
        <v>2.2923</v>
      </c>
      <c r="T387" s="1">
        <f t="shared" ref="T387:T438" si="48">K387-L387</f>
        <v>15.200000000000017</v>
      </c>
      <c r="U387" s="1">
        <f t="shared" ref="U387:U438" si="49">(2*M387)/E387</f>
        <v>22.774999999999999</v>
      </c>
      <c r="V387" s="1">
        <f t="shared" ref="V387:V438" si="50">N387-O387</f>
        <v>955.00360000000182</v>
      </c>
      <c r="W387" s="1">
        <f t="shared" ref="W387:W438" si="51">(2*P387)/E387</f>
        <v>89703.5</v>
      </c>
      <c r="X387" s="1">
        <f t="shared" ref="X387:X438" si="52">Q387-R387</f>
        <v>-9.35</v>
      </c>
      <c r="Y387" s="1">
        <f t="shared" ref="Y387:Y438" si="53">(2*S387)/E387</f>
        <v>1.14615</v>
      </c>
      <c r="Z387">
        <f t="shared" ref="Z387:Z438" si="54">IF(Q387&lt;5,0,1)</f>
        <v>0</v>
      </c>
    </row>
    <row r="388" spans="1:26" x14ac:dyDescent="0.2">
      <c r="A388">
        <f t="shared" ref="A388:A438" si="55">A387+1</f>
        <v>386</v>
      </c>
      <c r="B388">
        <v>2014</v>
      </c>
      <c r="C388" t="s">
        <v>64</v>
      </c>
      <c r="D388" t="s">
        <v>78</v>
      </c>
      <c r="E388">
        <v>4</v>
      </c>
      <c r="F388" s="2">
        <v>41</v>
      </c>
      <c r="G388" s="2" t="s">
        <v>31</v>
      </c>
      <c r="H388" s="2" t="s">
        <v>62</v>
      </c>
      <c r="I388" s="2" t="s">
        <v>30</v>
      </c>
      <c r="J388" s="2">
        <v>311</v>
      </c>
      <c r="K388" s="3">
        <v>210.62</v>
      </c>
      <c r="L388" s="3">
        <v>195.37</v>
      </c>
      <c r="M388" s="3">
        <v>228.55</v>
      </c>
      <c r="N388" s="3">
        <v>13220.617400000001</v>
      </c>
      <c r="O388" s="3">
        <v>12262</v>
      </c>
      <c r="P388" s="3">
        <v>900285</v>
      </c>
      <c r="Q388" s="3">
        <v>11</v>
      </c>
      <c r="R388" s="3">
        <v>15</v>
      </c>
      <c r="S388" s="3">
        <v>15.3675</v>
      </c>
      <c r="T388" s="1">
        <f t="shared" si="48"/>
        <v>15.25</v>
      </c>
      <c r="U388" s="1">
        <f t="shared" si="49"/>
        <v>114.27500000000001</v>
      </c>
      <c r="V388" s="1">
        <f t="shared" si="50"/>
        <v>958.617400000001</v>
      </c>
      <c r="W388" s="1">
        <f t="shared" si="51"/>
        <v>450142.5</v>
      </c>
      <c r="X388" s="1">
        <f t="shared" si="52"/>
        <v>-4</v>
      </c>
      <c r="Y388" s="1">
        <f t="shared" si="53"/>
        <v>7.6837499999999999</v>
      </c>
      <c r="Z388">
        <f t="shared" si="54"/>
        <v>1</v>
      </c>
    </row>
    <row r="389" spans="1:26" x14ac:dyDescent="0.2">
      <c r="A389">
        <f t="shared" si="55"/>
        <v>387</v>
      </c>
      <c r="B389">
        <v>2015</v>
      </c>
      <c r="C389" t="s">
        <v>67</v>
      </c>
      <c r="D389" t="s">
        <v>83</v>
      </c>
      <c r="E389">
        <v>4</v>
      </c>
      <c r="F389" s="2">
        <v>61</v>
      </c>
      <c r="G389" s="2" t="s">
        <v>38</v>
      </c>
      <c r="H389" s="2" t="s">
        <v>39</v>
      </c>
      <c r="I389" s="2" t="s">
        <v>30</v>
      </c>
      <c r="J389" s="2">
        <v>311</v>
      </c>
      <c r="K389" s="3">
        <v>159.91</v>
      </c>
      <c r="L389" s="3">
        <v>144.63999999999999</v>
      </c>
      <c r="M389" s="3">
        <v>77.010000000000005</v>
      </c>
      <c r="N389" s="3">
        <v>10037.5507</v>
      </c>
      <c r="O389" s="3">
        <v>9078.2900000000009</v>
      </c>
      <c r="P389" s="3">
        <v>303378</v>
      </c>
      <c r="Q389" s="3">
        <v>67.5</v>
      </c>
      <c r="R389" s="3">
        <v>65</v>
      </c>
      <c r="S389" s="3">
        <v>25.341100000000001</v>
      </c>
      <c r="T389" s="1">
        <f t="shared" si="48"/>
        <v>15.27000000000001</v>
      </c>
      <c r="U389" s="1">
        <f t="shared" si="49"/>
        <v>38.505000000000003</v>
      </c>
      <c r="V389" s="1">
        <f t="shared" si="50"/>
        <v>959.26069999999891</v>
      </c>
      <c r="W389" s="1">
        <f t="shared" si="51"/>
        <v>151689</v>
      </c>
      <c r="X389" s="1">
        <f t="shared" si="52"/>
        <v>2.5</v>
      </c>
      <c r="Y389" s="1">
        <f t="shared" si="53"/>
        <v>12.67055</v>
      </c>
      <c r="Z389">
        <f t="shared" si="54"/>
        <v>1</v>
      </c>
    </row>
    <row r="390" spans="1:26" x14ac:dyDescent="0.2">
      <c r="A390">
        <f t="shared" si="55"/>
        <v>388</v>
      </c>
      <c r="B390">
        <v>2014</v>
      </c>
      <c r="C390" t="s">
        <v>52</v>
      </c>
      <c r="D390" t="s">
        <v>79</v>
      </c>
      <c r="E390">
        <v>4</v>
      </c>
      <c r="F390" s="2">
        <v>92</v>
      </c>
      <c r="G390" s="2" t="s">
        <v>42</v>
      </c>
      <c r="H390" s="2" t="s">
        <v>43</v>
      </c>
      <c r="I390" s="2" t="s">
        <v>41</v>
      </c>
      <c r="J390" s="2">
        <v>311</v>
      </c>
      <c r="K390" s="3">
        <v>180.38</v>
      </c>
      <c r="L390" s="3">
        <v>165.03</v>
      </c>
      <c r="M390" s="3">
        <v>19.100000000000001</v>
      </c>
      <c r="N390" s="3">
        <v>11322.452600000001</v>
      </c>
      <c r="O390" s="3">
        <v>10358</v>
      </c>
      <c r="P390" s="3">
        <v>75251</v>
      </c>
      <c r="Q390" s="3">
        <v>15</v>
      </c>
      <c r="R390" s="3">
        <v>70</v>
      </c>
      <c r="S390" s="3">
        <v>10.1486</v>
      </c>
      <c r="T390" s="1">
        <f t="shared" si="48"/>
        <v>15.349999999999994</v>
      </c>
      <c r="U390" s="1">
        <f t="shared" si="49"/>
        <v>9.5500000000000007</v>
      </c>
      <c r="V390" s="1">
        <f t="shared" si="50"/>
        <v>964.45260000000053</v>
      </c>
      <c r="W390" s="1">
        <f t="shared" si="51"/>
        <v>37625.5</v>
      </c>
      <c r="X390" s="1">
        <f t="shared" si="52"/>
        <v>-55</v>
      </c>
      <c r="Y390" s="1">
        <f t="shared" si="53"/>
        <v>5.0743</v>
      </c>
      <c r="Z390">
        <f t="shared" si="54"/>
        <v>1</v>
      </c>
    </row>
    <row r="391" spans="1:26" x14ac:dyDescent="0.2">
      <c r="A391">
        <f t="shared" si="55"/>
        <v>389</v>
      </c>
      <c r="B391">
        <v>2014</v>
      </c>
      <c r="C391" t="s">
        <v>64</v>
      </c>
      <c r="D391" t="s">
        <v>78</v>
      </c>
      <c r="E391">
        <v>4</v>
      </c>
      <c r="F391" s="2">
        <v>173</v>
      </c>
      <c r="G391" s="2" t="s">
        <v>31</v>
      </c>
      <c r="H391" s="2" t="s">
        <v>32</v>
      </c>
      <c r="I391" s="2" t="s">
        <v>33</v>
      </c>
      <c r="J391" s="2">
        <v>311</v>
      </c>
      <c r="K391" s="3">
        <v>210.86</v>
      </c>
      <c r="L391" s="3">
        <v>195.37</v>
      </c>
      <c r="M391" s="3">
        <v>228.55</v>
      </c>
      <c r="N391" s="3">
        <v>13235.682200000001</v>
      </c>
      <c r="O391" s="3">
        <v>12262</v>
      </c>
      <c r="P391" s="3">
        <v>900285</v>
      </c>
      <c r="Q391" s="3">
        <v>7</v>
      </c>
      <c r="R391" s="3">
        <v>15</v>
      </c>
      <c r="S391" s="3">
        <v>15.3675</v>
      </c>
      <c r="T391" s="1">
        <f t="shared" si="48"/>
        <v>15.490000000000009</v>
      </c>
      <c r="U391" s="1">
        <f t="shared" si="49"/>
        <v>114.27500000000001</v>
      </c>
      <c r="V391" s="1">
        <f t="shared" si="50"/>
        <v>973.6822000000011</v>
      </c>
      <c r="W391" s="1">
        <f t="shared" si="51"/>
        <v>450142.5</v>
      </c>
      <c r="X391" s="1">
        <f t="shared" si="52"/>
        <v>-8</v>
      </c>
      <c r="Y391" s="1">
        <f t="shared" si="53"/>
        <v>7.6837499999999999</v>
      </c>
      <c r="Z391">
        <f t="shared" si="54"/>
        <v>1</v>
      </c>
    </row>
    <row r="392" spans="1:26" x14ac:dyDescent="0.2">
      <c r="A392">
        <f t="shared" si="55"/>
        <v>390</v>
      </c>
      <c r="B392">
        <v>2015</v>
      </c>
      <c r="C392" t="s">
        <v>92</v>
      </c>
      <c r="D392" t="s">
        <v>93</v>
      </c>
      <c r="E392">
        <v>4</v>
      </c>
      <c r="F392" s="2">
        <v>173</v>
      </c>
      <c r="G392" s="2" t="s">
        <v>31</v>
      </c>
      <c r="H392" s="2" t="s">
        <v>32</v>
      </c>
      <c r="I392" s="2" t="s">
        <v>33</v>
      </c>
      <c r="J392" s="2">
        <v>311</v>
      </c>
      <c r="K392" s="3">
        <v>229.37</v>
      </c>
      <c r="L392" s="3">
        <v>213.77</v>
      </c>
      <c r="M392" s="3">
        <v>77.13</v>
      </c>
      <c r="N392" s="3">
        <v>14397.554900000001</v>
      </c>
      <c r="O392" s="3">
        <v>13417</v>
      </c>
      <c r="P392" s="3">
        <v>303850</v>
      </c>
      <c r="Q392" s="3">
        <v>5</v>
      </c>
      <c r="R392" s="3">
        <v>21.75</v>
      </c>
      <c r="S392" s="3">
        <v>29.549499999999998</v>
      </c>
      <c r="T392" s="1">
        <f t="shared" si="48"/>
        <v>15.599999999999994</v>
      </c>
      <c r="U392" s="1">
        <f t="shared" si="49"/>
        <v>38.564999999999998</v>
      </c>
      <c r="V392" s="1">
        <f t="shared" si="50"/>
        <v>980.554900000001</v>
      </c>
      <c r="W392" s="1">
        <f t="shared" si="51"/>
        <v>151925</v>
      </c>
      <c r="X392" s="1">
        <f t="shared" si="52"/>
        <v>-16.75</v>
      </c>
      <c r="Y392" s="1">
        <f t="shared" si="53"/>
        <v>14.774749999999999</v>
      </c>
      <c r="Z392">
        <f t="shared" si="54"/>
        <v>1</v>
      </c>
    </row>
    <row r="393" spans="1:26" x14ac:dyDescent="0.2">
      <c r="A393">
        <f t="shared" si="55"/>
        <v>391</v>
      </c>
      <c r="B393">
        <v>2014</v>
      </c>
      <c r="C393" t="s">
        <v>52</v>
      </c>
      <c r="D393" t="s">
        <v>79</v>
      </c>
      <c r="E393">
        <v>4</v>
      </c>
      <c r="F393" s="2">
        <v>153</v>
      </c>
      <c r="G393" s="2" t="s">
        <v>44</v>
      </c>
      <c r="H393" s="2" t="s">
        <v>45</v>
      </c>
      <c r="I393" s="2" t="s">
        <v>33</v>
      </c>
      <c r="J393" s="2">
        <v>3711</v>
      </c>
      <c r="K393" s="3">
        <v>180.73</v>
      </c>
      <c r="L393" s="3">
        <v>165.03</v>
      </c>
      <c r="M393" s="3">
        <v>19.100000000000001</v>
      </c>
      <c r="N393" s="3">
        <v>11344.4221</v>
      </c>
      <c r="O393" s="3">
        <v>10358</v>
      </c>
      <c r="P393" s="3">
        <v>75251</v>
      </c>
      <c r="Q393" s="3">
        <v>18.75</v>
      </c>
      <c r="R393" s="3">
        <v>70</v>
      </c>
      <c r="S393" s="3">
        <v>10.1486</v>
      </c>
      <c r="T393" s="1">
        <f t="shared" si="48"/>
        <v>15.699999999999989</v>
      </c>
      <c r="U393" s="1">
        <f t="shared" si="49"/>
        <v>9.5500000000000007</v>
      </c>
      <c r="V393" s="1">
        <f t="shared" si="50"/>
        <v>986.42209999999977</v>
      </c>
      <c r="W393" s="1">
        <f t="shared" si="51"/>
        <v>37625.5</v>
      </c>
      <c r="X393" s="1">
        <f t="shared" si="52"/>
        <v>-51.25</v>
      </c>
      <c r="Y393" s="1">
        <f t="shared" si="53"/>
        <v>5.0743</v>
      </c>
      <c r="Z393">
        <f t="shared" si="54"/>
        <v>1</v>
      </c>
    </row>
    <row r="394" spans="1:26" x14ac:dyDescent="0.2">
      <c r="A394">
        <f t="shared" si="55"/>
        <v>392</v>
      </c>
      <c r="B394">
        <v>2014</v>
      </c>
      <c r="C394" t="s">
        <v>64</v>
      </c>
      <c r="D394" t="s">
        <v>65</v>
      </c>
      <c r="E394">
        <v>4</v>
      </c>
      <c r="F394" s="2">
        <v>92</v>
      </c>
      <c r="G394" s="2" t="s">
        <v>42</v>
      </c>
      <c r="H394" s="2" t="s">
        <v>43</v>
      </c>
      <c r="I394" s="2" t="s">
        <v>41</v>
      </c>
      <c r="J394" s="2">
        <v>311</v>
      </c>
      <c r="K394" s="3">
        <v>217.21</v>
      </c>
      <c r="L394" s="3">
        <v>201.48</v>
      </c>
      <c r="M394" s="3">
        <v>45.55</v>
      </c>
      <c r="N394" s="3">
        <v>13634.271700000001</v>
      </c>
      <c r="O394" s="3">
        <v>12646</v>
      </c>
      <c r="P394" s="3">
        <v>179407</v>
      </c>
      <c r="Q394" s="3">
        <v>1.75</v>
      </c>
      <c r="R394" s="3">
        <v>9.875</v>
      </c>
      <c r="S394" s="3">
        <v>2.2923</v>
      </c>
      <c r="T394" s="1">
        <f t="shared" si="48"/>
        <v>15.730000000000018</v>
      </c>
      <c r="U394" s="1">
        <f t="shared" si="49"/>
        <v>22.774999999999999</v>
      </c>
      <c r="V394" s="1">
        <f t="shared" si="50"/>
        <v>988.27170000000115</v>
      </c>
      <c r="W394" s="1">
        <f t="shared" si="51"/>
        <v>89703.5</v>
      </c>
      <c r="X394" s="1">
        <f t="shared" si="52"/>
        <v>-8.125</v>
      </c>
      <c r="Y394" s="1">
        <f t="shared" si="53"/>
        <v>1.14615</v>
      </c>
      <c r="Z394">
        <f t="shared" si="54"/>
        <v>0</v>
      </c>
    </row>
    <row r="395" spans="1:26" x14ac:dyDescent="0.2">
      <c r="A395">
        <f t="shared" si="55"/>
        <v>393</v>
      </c>
      <c r="B395">
        <v>2014</v>
      </c>
      <c r="C395" t="s">
        <v>67</v>
      </c>
      <c r="D395" t="s">
        <v>68</v>
      </c>
      <c r="E395">
        <v>4</v>
      </c>
      <c r="F395" s="2">
        <v>163</v>
      </c>
      <c r="G395" s="2" t="s">
        <v>58</v>
      </c>
      <c r="H395" s="2" t="s">
        <v>59</v>
      </c>
      <c r="I395" s="2" t="s">
        <v>33</v>
      </c>
      <c r="J395" s="2">
        <v>311</v>
      </c>
      <c r="K395" s="3">
        <v>200.83</v>
      </c>
      <c r="L395" s="3">
        <v>184.84</v>
      </c>
      <c r="M395" s="1">
        <v>153.71</v>
      </c>
      <c r="N395" s="3">
        <v>12606.099100000001</v>
      </c>
      <c r="O395" s="3">
        <v>11601</v>
      </c>
      <c r="P395" s="1">
        <v>605499</v>
      </c>
      <c r="Q395" s="3">
        <v>14.39</v>
      </c>
      <c r="R395" s="3">
        <v>35.222499999999997</v>
      </c>
      <c r="S395" s="3">
        <v>66.884600000000006</v>
      </c>
      <c r="T395" s="1">
        <f t="shared" si="48"/>
        <v>15.990000000000009</v>
      </c>
      <c r="U395" s="1">
        <f t="shared" si="49"/>
        <v>76.855000000000004</v>
      </c>
      <c r="V395" s="1">
        <f t="shared" si="50"/>
        <v>1005.0991000000013</v>
      </c>
      <c r="W395" s="1">
        <f t="shared" si="51"/>
        <v>302749.5</v>
      </c>
      <c r="X395" s="1">
        <f t="shared" si="52"/>
        <v>-20.832499999999996</v>
      </c>
      <c r="Y395" s="1">
        <f t="shared" si="53"/>
        <v>33.442300000000003</v>
      </c>
      <c r="Z395">
        <f t="shared" si="54"/>
        <v>1</v>
      </c>
    </row>
    <row r="396" spans="1:26" x14ac:dyDescent="0.2">
      <c r="A396">
        <f t="shared" si="55"/>
        <v>394</v>
      </c>
      <c r="B396">
        <v>2015</v>
      </c>
      <c r="C396" t="s">
        <v>64</v>
      </c>
      <c r="D396" t="s">
        <v>65</v>
      </c>
      <c r="E396">
        <v>4</v>
      </c>
      <c r="F396" s="2">
        <v>92</v>
      </c>
      <c r="G396" s="2" t="s">
        <v>42</v>
      </c>
      <c r="H396" s="2" t="s">
        <v>43</v>
      </c>
      <c r="I396" s="2" t="s">
        <v>41</v>
      </c>
      <c r="J396" s="2">
        <v>311</v>
      </c>
      <c r="K396" s="3">
        <v>232.42</v>
      </c>
      <c r="L396" s="3">
        <v>216.3</v>
      </c>
      <c r="M396" s="3">
        <v>218.38</v>
      </c>
      <c r="N396" s="3">
        <v>14589.0034</v>
      </c>
      <c r="O396" s="3">
        <v>13576</v>
      </c>
      <c r="P396" s="3">
        <v>860223</v>
      </c>
      <c r="Q396" s="3">
        <v>2</v>
      </c>
      <c r="R396" s="3">
        <v>7</v>
      </c>
      <c r="S396" s="3">
        <v>3.3643000000000001</v>
      </c>
      <c r="T396" s="1">
        <f t="shared" si="48"/>
        <v>16.119999999999976</v>
      </c>
      <c r="U396" s="1">
        <f t="shared" si="49"/>
        <v>109.19</v>
      </c>
      <c r="V396" s="1">
        <f t="shared" si="50"/>
        <v>1013.0033999999996</v>
      </c>
      <c r="W396" s="1">
        <f t="shared" si="51"/>
        <v>430111.5</v>
      </c>
      <c r="X396" s="1">
        <f t="shared" si="52"/>
        <v>-5</v>
      </c>
      <c r="Y396" s="1">
        <f t="shared" si="53"/>
        <v>1.68215</v>
      </c>
      <c r="Z396">
        <f t="shared" si="54"/>
        <v>0</v>
      </c>
    </row>
    <row r="397" spans="1:26" x14ac:dyDescent="0.2">
      <c r="A397">
        <f t="shared" si="55"/>
        <v>395</v>
      </c>
      <c r="B397">
        <v>2014</v>
      </c>
      <c r="C397" t="s">
        <v>50</v>
      </c>
      <c r="D397" t="s">
        <v>86</v>
      </c>
      <c r="E397">
        <v>4</v>
      </c>
      <c r="F397" s="2">
        <v>61</v>
      </c>
      <c r="G397" s="2" t="s">
        <v>38</v>
      </c>
      <c r="H397" s="2" t="s">
        <v>39</v>
      </c>
      <c r="I397" s="2" t="s">
        <v>30</v>
      </c>
      <c r="J397" s="2">
        <v>311</v>
      </c>
      <c r="K397" s="3">
        <v>168.16</v>
      </c>
      <c r="L397" s="3">
        <v>152.02000000000001</v>
      </c>
      <c r="M397" s="3">
        <v>208.65</v>
      </c>
      <c r="N397" s="3">
        <v>10555.403200000001</v>
      </c>
      <c r="O397" s="3">
        <v>9541.27</v>
      </c>
      <c r="P397" s="3">
        <v>821938</v>
      </c>
      <c r="Q397" s="3">
        <v>0</v>
      </c>
      <c r="R397" s="3">
        <v>0</v>
      </c>
      <c r="S397" s="3">
        <v>0</v>
      </c>
      <c r="T397" s="1">
        <f t="shared" si="48"/>
        <v>16.139999999999986</v>
      </c>
      <c r="U397" s="1">
        <f t="shared" si="49"/>
        <v>104.325</v>
      </c>
      <c r="V397" s="1">
        <f t="shared" si="50"/>
        <v>1014.1332000000002</v>
      </c>
      <c r="W397" s="1">
        <f t="shared" si="51"/>
        <v>410969</v>
      </c>
      <c r="X397" s="1">
        <f t="shared" si="52"/>
        <v>0</v>
      </c>
      <c r="Y397" s="1">
        <f t="shared" si="53"/>
        <v>0</v>
      </c>
      <c r="Z397">
        <f t="shared" si="54"/>
        <v>0</v>
      </c>
    </row>
    <row r="398" spans="1:26" x14ac:dyDescent="0.2">
      <c r="A398">
        <f t="shared" si="55"/>
        <v>396</v>
      </c>
      <c r="B398">
        <v>2015</v>
      </c>
      <c r="C398" t="s">
        <v>64</v>
      </c>
      <c r="D398" t="s">
        <v>65</v>
      </c>
      <c r="E398">
        <v>4</v>
      </c>
      <c r="F398" s="2">
        <v>153</v>
      </c>
      <c r="G398" s="2" t="s">
        <v>44</v>
      </c>
      <c r="H398" s="2" t="s">
        <v>45</v>
      </c>
      <c r="I398" s="2" t="s">
        <v>33</v>
      </c>
      <c r="J398" s="2">
        <v>3711</v>
      </c>
      <c r="K398" s="3">
        <v>232.48</v>
      </c>
      <c r="L398" s="3">
        <v>216.3</v>
      </c>
      <c r="M398" s="3">
        <v>218.38</v>
      </c>
      <c r="N398" s="3">
        <v>14592.7696</v>
      </c>
      <c r="O398" s="3">
        <v>13576</v>
      </c>
      <c r="P398" s="3">
        <v>860223</v>
      </c>
      <c r="Q398" s="3">
        <v>2.5</v>
      </c>
      <c r="R398" s="3">
        <v>7</v>
      </c>
      <c r="S398" s="3">
        <v>3.3643000000000001</v>
      </c>
      <c r="T398" s="1">
        <f t="shared" si="48"/>
        <v>16.179999999999978</v>
      </c>
      <c r="U398" s="1">
        <f t="shared" si="49"/>
        <v>109.19</v>
      </c>
      <c r="V398" s="1">
        <f t="shared" si="50"/>
        <v>1016.7695999999996</v>
      </c>
      <c r="W398" s="1">
        <f t="shared" si="51"/>
        <v>430111.5</v>
      </c>
      <c r="X398" s="1">
        <f t="shared" si="52"/>
        <v>-4.5</v>
      </c>
      <c r="Y398" s="1">
        <f t="shared" si="53"/>
        <v>1.68215</v>
      </c>
      <c r="Z398">
        <f t="shared" si="54"/>
        <v>0</v>
      </c>
    </row>
    <row r="399" spans="1:26" x14ac:dyDescent="0.2">
      <c r="A399">
        <f t="shared" si="55"/>
        <v>397</v>
      </c>
      <c r="B399">
        <v>2014</v>
      </c>
      <c r="C399" t="s">
        <v>50</v>
      </c>
      <c r="D399" t="s">
        <v>86</v>
      </c>
      <c r="E399">
        <v>4</v>
      </c>
      <c r="F399" s="2">
        <v>92</v>
      </c>
      <c r="G399" s="2" t="s">
        <v>42</v>
      </c>
      <c r="H399" s="2" t="s">
        <v>43</v>
      </c>
      <c r="I399" s="2" t="s">
        <v>41</v>
      </c>
      <c r="J399" s="2">
        <v>311</v>
      </c>
      <c r="K399" s="3">
        <v>168.29</v>
      </c>
      <c r="L399" s="3">
        <v>152.02000000000001</v>
      </c>
      <c r="M399" s="3">
        <v>208.65</v>
      </c>
      <c r="N399" s="3">
        <v>10563.5633</v>
      </c>
      <c r="O399" s="3">
        <v>9541.27</v>
      </c>
      <c r="P399" s="3">
        <v>821938</v>
      </c>
      <c r="Q399" s="3">
        <v>0</v>
      </c>
      <c r="R399" s="3">
        <v>0</v>
      </c>
      <c r="S399" s="3">
        <v>0</v>
      </c>
      <c r="T399" s="1">
        <f t="shared" si="48"/>
        <v>16.269999999999982</v>
      </c>
      <c r="U399" s="1">
        <f t="shared" si="49"/>
        <v>104.325</v>
      </c>
      <c r="V399" s="1">
        <f t="shared" si="50"/>
        <v>1022.2932999999994</v>
      </c>
      <c r="W399" s="1">
        <f t="shared" si="51"/>
        <v>410969</v>
      </c>
      <c r="X399" s="1">
        <f t="shared" si="52"/>
        <v>0</v>
      </c>
      <c r="Y399" s="1">
        <f t="shared" si="53"/>
        <v>0</v>
      </c>
      <c r="Z399">
        <f t="shared" si="54"/>
        <v>0</v>
      </c>
    </row>
    <row r="400" spans="1:26" x14ac:dyDescent="0.2">
      <c r="A400">
        <f t="shared" si="55"/>
        <v>398</v>
      </c>
      <c r="B400">
        <v>2014</v>
      </c>
      <c r="C400" t="s">
        <v>64</v>
      </c>
      <c r="D400" t="s">
        <v>65</v>
      </c>
      <c r="E400">
        <v>4</v>
      </c>
      <c r="F400" s="2">
        <v>153</v>
      </c>
      <c r="G400" s="2" t="s">
        <v>44</v>
      </c>
      <c r="H400" s="2" t="s">
        <v>45</v>
      </c>
      <c r="I400" s="2" t="s">
        <v>33</v>
      </c>
      <c r="J400" s="2">
        <v>3711</v>
      </c>
      <c r="K400" s="3">
        <v>218.4</v>
      </c>
      <c r="L400" s="3">
        <v>201.48</v>
      </c>
      <c r="M400" s="3">
        <v>45.55</v>
      </c>
      <c r="N400" s="3">
        <v>13708.968000000001</v>
      </c>
      <c r="O400" s="3">
        <v>12646</v>
      </c>
      <c r="P400" s="3">
        <v>179407</v>
      </c>
      <c r="Q400" s="3">
        <v>2.25</v>
      </c>
      <c r="R400" s="3">
        <v>9.875</v>
      </c>
      <c r="S400" s="3">
        <v>2.2923</v>
      </c>
      <c r="T400" s="1">
        <f t="shared" si="48"/>
        <v>16.920000000000016</v>
      </c>
      <c r="U400" s="1">
        <f t="shared" si="49"/>
        <v>22.774999999999999</v>
      </c>
      <c r="V400" s="1">
        <f t="shared" si="50"/>
        <v>1062.9680000000008</v>
      </c>
      <c r="W400" s="1">
        <f t="shared" si="51"/>
        <v>89703.5</v>
      </c>
      <c r="X400" s="1">
        <f t="shared" si="52"/>
        <v>-7.625</v>
      </c>
      <c r="Y400" s="1">
        <f t="shared" si="53"/>
        <v>1.14615</v>
      </c>
      <c r="Z400">
        <f t="shared" si="54"/>
        <v>0</v>
      </c>
    </row>
    <row r="401" spans="1:26" x14ac:dyDescent="0.2">
      <c r="A401">
        <f t="shared" si="55"/>
        <v>399</v>
      </c>
      <c r="B401">
        <v>2015</v>
      </c>
      <c r="C401" t="s">
        <v>84</v>
      </c>
      <c r="D401" t="s">
        <v>85</v>
      </c>
      <c r="E401">
        <v>4</v>
      </c>
      <c r="F401" s="2">
        <v>72</v>
      </c>
      <c r="G401" s="2" t="s">
        <v>47</v>
      </c>
      <c r="H401" s="2" t="s">
        <v>48</v>
      </c>
      <c r="I401" s="2" t="s">
        <v>41</v>
      </c>
      <c r="J401" s="2">
        <v>311</v>
      </c>
      <c r="K401" s="3">
        <v>214.47</v>
      </c>
      <c r="L401" s="3">
        <v>197.54</v>
      </c>
      <c r="M401" s="3">
        <v>296.25</v>
      </c>
      <c r="N401" s="3">
        <v>13462.2819</v>
      </c>
      <c r="O401" s="3">
        <v>12398</v>
      </c>
      <c r="P401" s="3">
        <v>1166970</v>
      </c>
      <c r="Q401" s="3">
        <v>-4.28E-17</v>
      </c>
      <c r="R401" s="3">
        <v>0.6875</v>
      </c>
      <c r="S401" s="3">
        <v>0.21049999999999999</v>
      </c>
      <c r="T401" s="1">
        <f t="shared" si="48"/>
        <v>16.930000000000007</v>
      </c>
      <c r="U401" s="1">
        <f t="shared" si="49"/>
        <v>148.125</v>
      </c>
      <c r="V401" s="1">
        <f t="shared" si="50"/>
        <v>1064.2819</v>
      </c>
      <c r="W401" s="1">
        <f t="shared" si="51"/>
        <v>583485</v>
      </c>
      <c r="X401" s="1">
        <f t="shared" si="52"/>
        <v>-0.6875</v>
      </c>
      <c r="Y401" s="1">
        <f t="shared" si="53"/>
        <v>0.10525</v>
      </c>
      <c r="Z401">
        <f t="shared" si="54"/>
        <v>0</v>
      </c>
    </row>
    <row r="402" spans="1:26" x14ac:dyDescent="0.2">
      <c r="A402">
        <f t="shared" si="55"/>
        <v>400</v>
      </c>
      <c r="B402">
        <v>2014</v>
      </c>
      <c r="C402" t="s">
        <v>50</v>
      </c>
      <c r="D402" t="s">
        <v>86</v>
      </c>
      <c r="E402">
        <v>4</v>
      </c>
      <c r="F402" s="2">
        <v>183</v>
      </c>
      <c r="G402" s="2" t="s">
        <v>36</v>
      </c>
      <c r="H402" s="2" t="s">
        <v>37</v>
      </c>
      <c r="I402" s="2" t="s">
        <v>33</v>
      </c>
      <c r="J402" s="2">
        <v>11</v>
      </c>
      <c r="K402" s="3">
        <v>169.34</v>
      </c>
      <c r="L402" s="3">
        <v>152.02000000000001</v>
      </c>
      <c r="M402" s="3">
        <v>208.65</v>
      </c>
      <c r="N402" s="3">
        <v>10629.471800000001</v>
      </c>
      <c r="O402" s="3">
        <v>9541.27</v>
      </c>
      <c r="P402" s="3">
        <v>821938</v>
      </c>
      <c r="Q402" s="3">
        <v>0</v>
      </c>
      <c r="R402" s="3">
        <v>0</v>
      </c>
      <c r="S402" s="3">
        <v>0</v>
      </c>
      <c r="T402" s="1">
        <f t="shared" si="48"/>
        <v>17.319999999999993</v>
      </c>
      <c r="U402" s="1">
        <f t="shared" si="49"/>
        <v>104.325</v>
      </c>
      <c r="V402" s="1">
        <f t="shared" si="50"/>
        <v>1088.2018000000007</v>
      </c>
      <c r="W402" s="1">
        <f t="shared" si="51"/>
        <v>410969</v>
      </c>
      <c r="X402" s="1">
        <f t="shared" si="52"/>
        <v>0</v>
      </c>
      <c r="Y402" s="1">
        <f t="shared" si="53"/>
        <v>0</v>
      </c>
      <c r="Z402">
        <f t="shared" si="54"/>
        <v>0</v>
      </c>
    </row>
    <row r="403" spans="1:26" x14ac:dyDescent="0.2">
      <c r="A403">
        <f t="shared" si="55"/>
        <v>401</v>
      </c>
      <c r="B403">
        <v>2014</v>
      </c>
      <c r="C403" t="s">
        <v>64</v>
      </c>
      <c r="D403" t="s">
        <v>65</v>
      </c>
      <c r="E403">
        <v>4</v>
      </c>
      <c r="F403" s="2">
        <v>82</v>
      </c>
      <c r="G403" s="2" t="s">
        <v>31</v>
      </c>
      <c r="H403" s="2" t="s">
        <v>46</v>
      </c>
      <c r="I403" s="2" t="s">
        <v>41</v>
      </c>
      <c r="J403" s="2">
        <v>311</v>
      </c>
      <c r="K403" s="3">
        <v>219.35</v>
      </c>
      <c r="L403" s="3">
        <v>201.48</v>
      </c>
      <c r="M403" s="3">
        <v>45.55</v>
      </c>
      <c r="N403" s="3">
        <v>13768.5995</v>
      </c>
      <c r="O403" s="3">
        <v>12646</v>
      </c>
      <c r="P403" s="3">
        <v>179407</v>
      </c>
      <c r="Q403" s="3">
        <v>5.5</v>
      </c>
      <c r="R403" s="3">
        <v>9.875</v>
      </c>
      <c r="S403" s="3">
        <v>2.2923</v>
      </c>
      <c r="T403" s="1">
        <f t="shared" si="48"/>
        <v>17.870000000000005</v>
      </c>
      <c r="U403" s="1">
        <f t="shared" si="49"/>
        <v>22.774999999999999</v>
      </c>
      <c r="V403" s="1">
        <f t="shared" si="50"/>
        <v>1122.5995000000003</v>
      </c>
      <c r="W403" s="1">
        <f t="shared" si="51"/>
        <v>89703.5</v>
      </c>
      <c r="X403" s="1">
        <f t="shared" si="52"/>
        <v>-4.375</v>
      </c>
      <c r="Y403" s="1">
        <f t="shared" si="53"/>
        <v>1.14615</v>
      </c>
      <c r="Z403">
        <f t="shared" si="54"/>
        <v>1</v>
      </c>
    </row>
    <row r="404" spans="1:26" x14ac:dyDescent="0.2">
      <c r="A404">
        <f t="shared" si="55"/>
        <v>402</v>
      </c>
      <c r="B404">
        <v>2014</v>
      </c>
      <c r="C404" t="s">
        <v>88</v>
      </c>
      <c r="D404" t="s">
        <v>89</v>
      </c>
      <c r="E404">
        <v>4</v>
      </c>
      <c r="F404" s="2">
        <v>173</v>
      </c>
      <c r="G404" s="2" t="s">
        <v>31</v>
      </c>
      <c r="H404" s="2" t="s">
        <v>32</v>
      </c>
      <c r="I404" s="2" t="s">
        <v>33</v>
      </c>
      <c r="J404" s="2">
        <v>311</v>
      </c>
      <c r="K404" s="3">
        <v>169.23</v>
      </c>
      <c r="L404" s="3">
        <v>150.94999999999999</v>
      </c>
      <c r="M404" s="3">
        <v>162.88</v>
      </c>
      <c r="N404" s="3">
        <v>10622.5671</v>
      </c>
      <c r="O404" s="3">
        <v>9474</v>
      </c>
      <c r="P404" s="3">
        <v>641596</v>
      </c>
      <c r="Q404" s="3">
        <v>0.4</v>
      </c>
      <c r="R404" s="3">
        <v>1.25</v>
      </c>
      <c r="S404" s="3">
        <v>0.16339999999999999</v>
      </c>
      <c r="T404" s="1">
        <f t="shared" si="48"/>
        <v>18.28</v>
      </c>
      <c r="U404" s="1">
        <f t="shared" si="49"/>
        <v>81.44</v>
      </c>
      <c r="V404" s="1">
        <f t="shared" si="50"/>
        <v>1148.5671000000002</v>
      </c>
      <c r="W404" s="1">
        <f t="shared" si="51"/>
        <v>320798</v>
      </c>
      <c r="X404" s="1">
        <f t="shared" si="52"/>
        <v>-0.85</v>
      </c>
      <c r="Y404" s="1">
        <f t="shared" si="53"/>
        <v>8.1699999999999995E-2</v>
      </c>
      <c r="Z404">
        <f t="shared" si="54"/>
        <v>0</v>
      </c>
    </row>
    <row r="405" spans="1:26" x14ac:dyDescent="0.2">
      <c r="A405">
        <f t="shared" si="55"/>
        <v>403</v>
      </c>
      <c r="B405">
        <v>2014</v>
      </c>
      <c r="C405" t="s">
        <v>64</v>
      </c>
      <c r="D405" t="s">
        <v>65</v>
      </c>
      <c r="E405">
        <v>4</v>
      </c>
      <c r="F405" s="2">
        <v>72</v>
      </c>
      <c r="G405" s="2" t="s">
        <v>47</v>
      </c>
      <c r="H405" s="2" t="s">
        <v>48</v>
      </c>
      <c r="I405" s="2" t="s">
        <v>41</v>
      </c>
      <c r="J405" s="2">
        <v>311</v>
      </c>
      <c r="K405" s="3">
        <v>219.78</v>
      </c>
      <c r="L405" s="3">
        <v>201.48</v>
      </c>
      <c r="M405" s="3">
        <v>45.55</v>
      </c>
      <c r="N405" s="3">
        <v>13795.590600000001</v>
      </c>
      <c r="O405" s="3">
        <v>12646</v>
      </c>
      <c r="P405" s="3">
        <v>179407</v>
      </c>
      <c r="Q405" s="3">
        <v>2.25</v>
      </c>
      <c r="R405" s="3">
        <v>9.875</v>
      </c>
      <c r="S405" s="3">
        <v>2.2923</v>
      </c>
      <c r="T405" s="1">
        <f t="shared" si="48"/>
        <v>18.300000000000011</v>
      </c>
      <c r="U405" s="1">
        <f t="shared" si="49"/>
        <v>22.774999999999999</v>
      </c>
      <c r="V405" s="1">
        <f t="shared" si="50"/>
        <v>1149.5906000000014</v>
      </c>
      <c r="W405" s="1">
        <f t="shared" si="51"/>
        <v>89703.5</v>
      </c>
      <c r="X405" s="1">
        <f t="shared" si="52"/>
        <v>-7.625</v>
      </c>
      <c r="Y405" s="1">
        <f t="shared" si="53"/>
        <v>1.14615</v>
      </c>
      <c r="Z405">
        <f t="shared" si="54"/>
        <v>0</v>
      </c>
    </row>
    <row r="406" spans="1:26" x14ac:dyDescent="0.2">
      <c r="A406">
        <f t="shared" si="55"/>
        <v>404</v>
      </c>
      <c r="B406">
        <v>2015</v>
      </c>
      <c r="C406" t="s">
        <v>67</v>
      </c>
      <c r="D406" t="s">
        <v>83</v>
      </c>
      <c r="E406">
        <v>4</v>
      </c>
      <c r="F406" s="2">
        <v>102</v>
      </c>
      <c r="G406" s="2" t="s">
        <v>36</v>
      </c>
      <c r="H406" s="2" t="s">
        <v>29</v>
      </c>
      <c r="I406" s="2" t="s">
        <v>41</v>
      </c>
      <c r="J406" s="2">
        <v>11</v>
      </c>
      <c r="K406" s="3">
        <v>162.97</v>
      </c>
      <c r="L406" s="3">
        <v>144.63999999999999</v>
      </c>
      <c r="M406" s="3">
        <v>77.010000000000005</v>
      </c>
      <c r="N406" s="3">
        <v>10229.626900000001</v>
      </c>
      <c r="O406" s="3">
        <v>9078.2900000000009</v>
      </c>
      <c r="P406" s="3">
        <v>303378</v>
      </c>
      <c r="Q406" s="3">
        <v>55</v>
      </c>
      <c r="R406" s="3">
        <v>65</v>
      </c>
      <c r="S406" s="3">
        <v>25.341100000000001</v>
      </c>
      <c r="T406" s="1">
        <f t="shared" si="48"/>
        <v>18.330000000000013</v>
      </c>
      <c r="U406" s="1">
        <f t="shared" si="49"/>
        <v>38.505000000000003</v>
      </c>
      <c r="V406" s="1">
        <f t="shared" si="50"/>
        <v>1151.3369000000002</v>
      </c>
      <c r="W406" s="1">
        <f t="shared" si="51"/>
        <v>151689</v>
      </c>
      <c r="X406" s="1">
        <f t="shared" si="52"/>
        <v>-10</v>
      </c>
      <c r="Y406" s="1">
        <f t="shared" si="53"/>
        <v>12.67055</v>
      </c>
      <c r="Z406">
        <f t="shared" si="54"/>
        <v>1</v>
      </c>
    </row>
    <row r="407" spans="1:26" x14ac:dyDescent="0.2">
      <c r="A407">
        <f t="shared" si="55"/>
        <v>405</v>
      </c>
      <c r="B407">
        <v>2015</v>
      </c>
      <c r="C407" t="s">
        <v>67</v>
      </c>
      <c r="D407" t="s">
        <v>83</v>
      </c>
      <c r="E407">
        <v>4</v>
      </c>
      <c r="F407" s="2">
        <v>183</v>
      </c>
      <c r="G407" s="2" t="s">
        <v>36</v>
      </c>
      <c r="H407" s="2" t="s">
        <v>37</v>
      </c>
      <c r="I407" s="2" t="s">
        <v>33</v>
      </c>
      <c r="J407" s="2">
        <v>11</v>
      </c>
      <c r="K407" s="3">
        <v>163.19999999999999</v>
      </c>
      <c r="L407" s="3">
        <v>144.63999999999999</v>
      </c>
      <c r="M407" s="3">
        <v>77.010000000000005</v>
      </c>
      <c r="N407" s="3">
        <v>10244.064</v>
      </c>
      <c r="O407" s="3">
        <v>9078.2900000000009</v>
      </c>
      <c r="P407" s="3">
        <v>303378</v>
      </c>
      <c r="Q407" s="3">
        <v>57.5</v>
      </c>
      <c r="R407" s="3">
        <v>65</v>
      </c>
      <c r="S407" s="3">
        <v>25.341100000000001</v>
      </c>
      <c r="T407" s="1">
        <f t="shared" si="48"/>
        <v>18.560000000000002</v>
      </c>
      <c r="U407" s="1">
        <f t="shared" si="49"/>
        <v>38.505000000000003</v>
      </c>
      <c r="V407" s="1">
        <f t="shared" si="50"/>
        <v>1165.7739999999994</v>
      </c>
      <c r="W407" s="1">
        <f t="shared" si="51"/>
        <v>151689</v>
      </c>
      <c r="X407" s="1">
        <f t="shared" si="52"/>
        <v>-7.5</v>
      </c>
      <c r="Y407" s="1">
        <f t="shared" si="53"/>
        <v>12.67055</v>
      </c>
      <c r="Z407">
        <f t="shared" si="54"/>
        <v>1</v>
      </c>
    </row>
    <row r="408" spans="1:26" x14ac:dyDescent="0.2">
      <c r="A408">
        <f t="shared" si="55"/>
        <v>406</v>
      </c>
      <c r="B408">
        <v>2014</v>
      </c>
      <c r="C408" t="s">
        <v>64</v>
      </c>
      <c r="D408" t="s">
        <v>91</v>
      </c>
      <c r="E408">
        <v>4</v>
      </c>
      <c r="F408" s="2">
        <v>112</v>
      </c>
      <c r="G408" s="2" t="s">
        <v>40</v>
      </c>
      <c r="H408" s="2" t="s">
        <v>39</v>
      </c>
      <c r="I408" s="2" t="s">
        <v>41</v>
      </c>
      <c r="J408" s="2">
        <v>311</v>
      </c>
      <c r="K408" s="3">
        <v>220.47</v>
      </c>
      <c r="L408" s="3">
        <v>201.5</v>
      </c>
      <c r="M408" s="3">
        <v>33.04</v>
      </c>
      <c r="N408" s="3">
        <v>13838.901900000001</v>
      </c>
      <c r="O408" s="3">
        <v>12647</v>
      </c>
      <c r="P408" s="3">
        <v>130192</v>
      </c>
      <c r="Q408" s="3">
        <v>7.4999999999999997E-2</v>
      </c>
      <c r="R408" s="3">
        <v>7.4999999999999997E-2</v>
      </c>
      <c r="S408" s="3">
        <v>0.59940000000000004</v>
      </c>
      <c r="T408" s="1">
        <f t="shared" si="48"/>
        <v>18.97</v>
      </c>
      <c r="U408" s="1">
        <f t="shared" si="49"/>
        <v>16.52</v>
      </c>
      <c r="V408" s="1">
        <f t="shared" si="50"/>
        <v>1191.9019000000008</v>
      </c>
      <c r="W408" s="1">
        <f t="shared" si="51"/>
        <v>65096</v>
      </c>
      <c r="X408" s="1">
        <f t="shared" si="52"/>
        <v>0</v>
      </c>
      <c r="Y408" s="1">
        <f t="shared" si="53"/>
        <v>0.29970000000000002</v>
      </c>
      <c r="Z408">
        <f t="shared" si="54"/>
        <v>0</v>
      </c>
    </row>
    <row r="409" spans="1:26" x14ac:dyDescent="0.2">
      <c r="A409">
        <f t="shared" si="55"/>
        <v>407</v>
      </c>
      <c r="B409">
        <v>2014</v>
      </c>
      <c r="C409" t="s">
        <v>67</v>
      </c>
      <c r="D409" t="s">
        <v>68</v>
      </c>
      <c r="E409">
        <v>4</v>
      </c>
      <c r="F409" s="2">
        <v>72</v>
      </c>
      <c r="G409" s="2" t="s">
        <v>47</v>
      </c>
      <c r="H409" s="2" t="s">
        <v>48</v>
      </c>
      <c r="I409" s="2" t="s">
        <v>41</v>
      </c>
      <c r="J409" s="2">
        <v>311</v>
      </c>
      <c r="K409" s="3">
        <v>204.02</v>
      </c>
      <c r="L409" s="3">
        <v>184.84</v>
      </c>
      <c r="M409" s="1">
        <v>153.71</v>
      </c>
      <c r="N409" s="3">
        <v>12806.335400000002</v>
      </c>
      <c r="O409" s="3">
        <v>11601</v>
      </c>
      <c r="P409" s="1">
        <v>605499</v>
      </c>
      <c r="Q409" s="3">
        <v>22.672499999999999</v>
      </c>
      <c r="R409" s="3">
        <v>35.222499999999997</v>
      </c>
      <c r="S409" s="3">
        <v>66.884600000000006</v>
      </c>
      <c r="T409" s="1">
        <f t="shared" si="48"/>
        <v>19.180000000000007</v>
      </c>
      <c r="U409" s="1">
        <f t="shared" si="49"/>
        <v>76.855000000000004</v>
      </c>
      <c r="V409" s="1">
        <f t="shared" si="50"/>
        <v>1205.3354000000018</v>
      </c>
      <c r="W409" s="1">
        <f t="shared" si="51"/>
        <v>302749.5</v>
      </c>
      <c r="X409" s="1">
        <f t="shared" si="52"/>
        <v>-12.549999999999997</v>
      </c>
      <c r="Y409" s="1">
        <f t="shared" si="53"/>
        <v>33.442300000000003</v>
      </c>
      <c r="Z409">
        <f t="shared" si="54"/>
        <v>1</v>
      </c>
    </row>
    <row r="410" spans="1:26" x14ac:dyDescent="0.2">
      <c r="A410">
        <f t="shared" si="55"/>
        <v>408</v>
      </c>
      <c r="B410">
        <v>2014</v>
      </c>
      <c r="C410" t="s">
        <v>81</v>
      </c>
      <c r="D410" t="s">
        <v>96</v>
      </c>
      <c r="E410">
        <v>4</v>
      </c>
      <c r="F410" s="2">
        <v>72</v>
      </c>
      <c r="G410" s="2" t="s">
        <v>47</v>
      </c>
      <c r="H410" s="2" t="s">
        <v>48</v>
      </c>
      <c r="I410" s="2" t="s">
        <v>41</v>
      </c>
      <c r="J410" s="2">
        <v>311</v>
      </c>
      <c r="K410" s="3">
        <v>135.4</v>
      </c>
      <c r="L410" s="3">
        <v>116</v>
      </c>
      <c r="M410" s="3">
        <v>806.63</v>
      </c>
      <c r="N410" s="3">
        <v>8499.0580000000009</v>
      </c>
      <c r="O410" s="3">
        <v>7280.46</v>
      </c>
      <c r="P410" s="3">
        <v>3177413</v>
      </c>
      <c r="Q410" s="3">
        <v>1.5</v>
      </c>
      <c r="R410" s="3">
        <v>2.25</v>
      </c>
      <c r="S410" s="3">
        <v>0.80559999999999998</v>
      </c>
      <c r="T410" s="1">
        <f t="shared" si="48"/>
        <v>19.400000000000006</v>
      </c>
      <c r="U410" s="1">
        <f t="shared" si="49"/>
        <v>403.315</v>
      </c>
      <c r="V410" s="1">
        <f t="shared" si="50"/>
        <v>1218.5980000000009</v>
      </c>
      <c r="W410" s="1">
        <f t="shared" si="51"/>
        <v>1588706.5</v>
      </c>
      <c r="X410" s="1">
        <f t="shared" si="52"/>
        <v>-0.75</v>
      </c>
      <c r="Y410" s="1">
        <f t="shared" si="53"/>
        <v>0.40279999999999999</v>
      </c>
      <c r="Z410">
        <f t="shared" si="54"/>
        <v>0</v>
      </c>
    </row>
    <row r="411" spans="1:26" x14ac:dyDescent="0.2">
      <c r="A411">
        <f t="shared" si="55"/>
        <v>409</v>
      </c>
      <c r="B411">
        <v>2014</v>
      </c>
      <c r="C411" t="s">
        <v>64</v>
      </c>
      <c r="D411" t="s">
        <v>91</v>
      </c>
      <c r="E411">
        <v>4</v>
      </c>
      <c r="F411" s="2">
        <v>153</v>
      </c>
      <c r="G411" s="2" t="s">
        <v>44</v>
      </c>
      <c r="H411" s="2" t="s">
        <v>45</v>
      </c>
      <c r="I411" s="2" t="s">
        <v>33</v>
      </c>
      <c r="J411" s="2">
        <v>3711</v>
      </c>
      <c r="K411" s="3">
        <v>221.29</v>
      </c>
      <c r="L411" s="3">
        <v>201.5</v>
      </c>
      <c r="M411" s="3">
        <v>33.04</v>
      </c>
      <c r="N411" s="3">
        <v>13890.373299999999</v>
      </c>
      <c r="O411" s="3">
        <v>12647</v>
      </c>
      <c r="P411" s="3">
        <v>130192</v>
      </c>
      <c r="Q411" s="3">
        <v>1.375</v>
      </c>
      <c r="R411" s="3">
        <v>7.4999999999999997E-2</v>
      </c>
      <c r="S411" s="3">
        <v>0.59940000000000004</v>
      </c>
      <c r="T411" s="1">
        <f t="shared" si="48"/>
        <v>19.789999999999992</v>
      </c>
      <c r="U411" s="1">
        <f t="shared" si="49"/>
        <v>16.52</v>
      </c>
      <c r="V411" s="1">
        <f t="shared" si="50"/>
        <v>1243.3732999999993</v>
      </c>
      <c r="W411" s="1">
        <f t="shared" si="51"/>
        <v>65096</v>
      </c>
      <c r="X411" s="1">
        <f t="shared" si="52"/>
        <v>1.3</v>
      </c>
      <c r="Y411" s="1">
        <f t="shared" si="53"/>
        <v>0.29970000000000002</v>
      </c>
      <c r="Z411">
        <f t="shared" si="54"/>
        <v>0</v>
      </c>
    </row>
    <row r="412" spans="1:26" x14ac:dyDescent="0.2">
      <c r="A412">
        <f t="shared" si="55"/>
        <v>410</v>
      </c>
      <c r="B412">
        <v>2015</v>
      </c>
      <c r="C412" t="s">
        <v>64</v>
      </c>
      <c r="D412" t="s">
        <v>65</v>
      </c>
      <c r="E412">
        <v>4</v>
      </c>
      <c r="F412" s="2">
        <v>112</v>
      </c>
      <c r="G412" s="2" t="s">
        <v>40</v>
      </c>
      <c r="H412" s="2" t="s">
        <v>39</v>
      </c>
      <c r="I412" s="2" t="s">
        <v>41</v>
      </c>
      <c r="J412" s="2">
        <v>311</v>
      </c>
      <c r="K412" s="3">
        <v>236.17</v>
      </c>
      <c r="L412" s="3">
        <v>216.3</v>
      </c>
      <c r="M412" s="3">
        <v>218.38</v>
      </c>
      <c r="N412" s="3">
        <v>14824.3909</v>
      </c>
      <c r="O412" s="3">
        <v>13576</v>
      </c>
      <c r="P412" s="3">
        <v>860223</v>
      </c>
      <c r="Q412" s="3">
        <v>2.75</v>
      </c>
      <c r="R412" s="3">
        <v>7</v>
      </c>
      <c r="S412" s="3">
        <v>3.3643000000000001</v>
      </c>
      <c r="T412" s="1">
        <f t="shared" si="48"/>
        <v>19.869999999999976</v>
      </c>
      <c r="U412" s="1">
        <f t="shared" si="49"/>
        <v>109.19</v>
      </c>
      <c r="V412" s="1">
        <f t="shared" si="50"/>
        <v>1248.3909000000003</v>
      </c>
      <c r="W412" s="1">
        <f t="shared" si="51"/>
        <v>430111.5</v>
      </c>
      <c r="X412" s="1">
        <f t="shared" si="52"/>
        <v>-4.25</v>
      </c>
      <c r="Y412" s="1">
        <f t="shared" si="53"/>
        <v>1.68215</v>
      </c>
      <c r="Z412">
        <f t="shared" si="54"/>
        <v>0</v>
      </c>
    </row>
    <row r="413" spans="1:26" x14ac:dyDescent="0.2">
      <c r="A413">
        <f t="shared" si="55"/>
        <v>411</v>
      </c>
      <c r="B413">
        <v>2014</v>
      </c>
      <c r="C413" t="s">
        <v>64</v>
      </c>
      <c r="D413" t="s">
        <v>91</v>
      </c>
      <c r="E413">
        <v>4</v>
      </c>
      <c r="F413" s="2">
        <v>183</v>
      </c>
      <c r="G413" s="2" t="s">
        <v>36</v>
      </c>
      <c r="H413" s="2" t="s">
        <v>37</v>
      </c>
      <c r="I413" s="2" t="s">
        <v>33</v>
      </c>
      <c r="J413" s="2">
        <v>11</v>
      </c>
      <c r="K413" s="3">
        <v>221.71</v>
      </c>
      <c r="L413" s="3">
        <v>201.5</v>
      </c>
      <c r="M413" s="3">
        <v>33.04</v>
      </c>
      <c r="N413" s="3">
        <v>13916.736700000001</v>
      </c>
      <c r="O413" s="3">
        <v>12647</v>
      </c>
      <c r="P413" s="3">
        <v>130192</v>
      </c>
      <c r="Q413" s="3">
        <v>2.0249999999999999</v>
      </c>
      <c r="R413" s="3">
        <v>7.4999999999999997E-2</v>
      </c>
      <c r="S413" s="3">
        <v>0.59940000000000004</v>
      </c>
      <c r="T413" s="1">
        <f t="shared" si="48"/>
        <v>20.210000000000008</v>
      </c>
      <c r="U413" s="1">
        <f t="shared" si="49"/>
        <v>16.52</v>
      </c>
      <c r="V413" s="1">
        <f t="shared" si="50"/>
        <v>1269.7367000000013</v>
      </c>
      <c r="W413" s="1">
        <f t="shared" si="51"/>
        <v>65096</v>
      </c>
      <c r="X413" s="1">
        <f t="shared" si="52"/>
        <v>1.95</v>
      </c>
      <c r="Y413" s="1">
        <f t="shared" si="53"/>
        <v>0.29970000000000002</v>
      </c>
      <c r="Z413">
        <f t="shared" si="54"/>
        <v>0</v>
      </c>
    </row>
    <row r="414" spans="1:26" x14ac:dyDescent="0.2">
      <c r="A414">
        <f t="shared" si="55"/>
        <v>412</v>
      </c>
      <c r="B414">
        <v>2014</v>
      </c>
      <c r="C414" t="s">
        <v>64</v>
      </c>
      <c r="D414" t="s">
        <v>91</v>
      </c>
      <c r="E414">
        <v>4</v>
      </c>
      <c r="F414" s="2">
        <v>72</v>
      </c>
      <c r="G414" s="2" t="s">
        <v>47</v>
      </c>
      <c r="H414" s="2" t="s">
        <v>48</v>
      </c>
      <c r="I414" s="2" t="s">
        <v>41</v>
      </c>
      <c r="J414" s="2">
        <v>311</v>
      </c>
      <c r="K414" s="3">
        <v>222.64</v>
      </c>
      <c r="L414" s="3">
        <v>201.5</v>
      </c>
      <c r="M414" s="3">
        <v>33.04</v>
      </c>
      <c r="N414" s="3">
        <v>13975.112799999999</v>
      </c>
      <c r="O414" s="3">
        <v>12647</v>
      </c>
      <c r="P414" s="3">
        <v>130192</v>
      </c>
      <c r="Q414" s="3">
        <v>0.75</v>
      </c>
      <c r="R414" s="3">
        <v>7.4999999999999997E-2</v>
      </c>
      <c r="S414" s="3">
        <v>0.59940000000000004</v>
      </c>
      <c r="T414" s="1">
        <f t="shared" si="48"/>
        <v>21.139999999999986</v>
      </c>
      <c r="U414" s="1">
        <f t="shared" si="49"/>
        <v>16.52</v>
      </c>
      <c r="V414" s="1">
        <f t="shared" si="50"/>
        <v>1328.112799999999</v>
      </c>
      <c r="W414" s="1">
        <f t="shared" si="51"/>
        <v>65096</v>
      </c>
      <c r="X414" s="1">
        <f t="shared" si="52"/>
        <v>0.67500000000000004</v>
      </c>
      <c r="Y414" s="1">
        <f t="shared" si="53"/>
        <v>0.29970000000000002</v>
      </c>
      <c r="Z414">
        <f t="shared" si="54"/>
        <v>0</v>
      </c>
    </row>
    <row r="415" spans="1:26" x14ac:dyDescent="0.2">
      <c r="A415">
        <f t="shared" si="55"/>
        <v>413</v>
      </c>
      <c r="B415">
        <v>2014</v>
      </c>
      <c r="C415" t="s">
        <v>67</v>
      </c>
      <c r="D415" t="s">
        <v>68</v>
      </c>
      <c r="E415">
        <v>4</v>
      </c>
      <c r="F415" s="2">
        <v>122</v>
      </c>
      <c r="G415" s="2" t="s">
        <v>75</v>
      </c>
      <c r="H415" s="2" t="s">
        <v>76</v>
      </c>
      <c r="I415" s="2" t="s">
        <v>41</v>
      </c>
      <c r="J415" s="2">
        <v>311</v>
      </c>
      <c r="K415" s="3">
        <v>206.07</v>
      </c>
      <c r="L415" s="3">
        <v>184.84</v>
      </c>
      <c r="M415" s="1">
        <v>153.71</v>
      </c>
      <c r="N415" s="3">
        <v>12935.0139</v>
      </c>
      <c r="O415" s="3">
        <v>11601</v>
      </c>
      <c r="P415" s="1">
        <v>605499</v>
      </c>
      <c r="Q415" s="3">
        <v>16.885000000000002</v>
      </c>
      <c r="R415" s="3">
        <v>35.222499999999997</v>
      </c>
      <c r="S415" s="3">
        <v>66.884600000000006</v>
      </c>
      <c r="T415" s="1">
        <f t="shared" si="48"/>
        <v>21.22999999999999</v>
      </c>
      <c r="U415" s="1">
        <f t="shared" si="49"/>
        <v>76.855000000000004</v>
      </c>
      <c r="V415" s="1">
        <f t="shared" si="50"/>
        <v>1334.0138999999999</v>
      </c>
      <c r="W415" s="1">
        <f t="shared" si="51"/>
        <v>302749.5</v>
      </c>
      <c r="X415" s="1">
        <f t="shared" si="52"/>
        <v>-18.337499999999995</v>
      </c>
      <c r="Y415" s="1">
        <f t="shared" si="53"/>
        <v>33.442300000000003</v>
      </c>
      <c r="Z415">
        <f t="shared" si="54"/>
        <v>1</v>
      </c>
    </row>
    <row r="416" spans="1:26" x14ac:dyDescent="0.2">
      <c r="A416">
        <f t="shared" si="55"/>
        <v>414</v>
      </c>
      <c r="B416">
        <v>2014</v>
      </c>
      <c r="C416" t="s">
        <v>67</v>
      </c>
      <c r="D416" t="s">
        <v>68</v>
      </c>
      <c r="E416">
        <v>4</v>
      </c>
      <c r="F416" s="2">
        <v>153</v>
      </c>
      <c r="G416" s="2" t="s">
        <v>44</v>
      </c>
      <c r="H416" s="2" t="s">
        <v>45</v>
      </c>
      <c r="I416" s="2" t="s">
        <v>33</v>
      </c>
      <c r="J416" s="2">
        <v>3711</v>
      </c>
      <c r="K416" s="3">
        <v>206.12</v>
      </c>
      <c r="L416" s="3">
        <v>184.84</v>
      </c>
      <c r="M416" s="1">
        <v>153.71</v>
      </c>
      <c r="N416" s="3">
        <v>12938.152400000001</v>
      </c>
      <c r="O416" s="3">
        <v>11601</v>
      </c>
      <c r="P416" s="1">
        <v>605499</v>
      </c>
      <c r="Q416" s="3">
        <v>18.414999999999999</v>
      </c>
      <c r="R416" s="3">
        <v>35.222499999999997</v>
      </c>
      <c r="S416" s="3">
        <v>66.884600000000006</v>
      </c>
      <c r="T416" s="1">
        <f t="shared" si="48"/>
        <v>21.28</v>
      </c>
      <c r="U416" s="1">
        <f t="shared" si="49"/>
        <v>76.855000000000004</v>
      </c>
      <c r="V416" s="1">
        <f t="shared" si="50"/>
        <v>1337.1524000000009</v>
      </c>
      <c r="W416" s="1">
        <f t="shared" si="51"/>
        <v>302749.5</v>
      </c>
      <c r="X416" s="1">
        <f t="shared" si="52"/>
        <v>-16.807499999999997</v>
      </c>
      <c r="Y416" s="1">
        <f t="shared" si="53"/>
        <v>33.442300000000003</v>
      </c>
      <c r="Z416">
        <f t="shared" si="54"/>
        <v>1</v>
      </c>
    </row>
    <row r="417" spans="1:26" x14ac:dyDescent="0.2">
      <c r="A417">
        <f t="shared" si="55"/>
        <v>415</v>
      </c>
      <c r="B417">
        <v>2014</v>
      </c>
      <c r="C417" t="s">
        <v>64</v>
      </c>
      <c r="D417" t="s">
        <v>65</v>
      </c>
      <c r="E417">
        <v>4</v>
      </c>
      <c r="F417" s="2">
        <v>173</v>
      </c>
      <c r="G417" s="2" t="s">
        <v>31</v>
      </c>
      <c r="H417" s="2" t="s">
        <v>32</v>
      </c>
      <c r="I417" s="2" t="s">
        <v>33</v>
      </c>
      <c r="J417" s="2">
        <v>311</v>
      </c>
      <c r="K417" s="3">
        <v>222.82</v>
      </c>
      <c r="L417" s="3">
        <v>201.48</v>
      </c>
      <c r="M417" s="3">
        <v>45.55</v>
      </c>
      <c r="N417" s="3">
        <v>13986.411400000001</v>
      </c>
      <c r="O417" s="3">
        <v>12646</v>
      </c>
      <c r="P417" s="3">
        <v>179407</v>
      </c>
      <c r="Q417" s="3">
        <v>3</v>
      </c>
      <c r="R417" s="3">
        <v>9.875</v>
      </c>
      <c r="S417" s="3">
        <v>2.2923</v>
      </c>
      <c r="T417" s="1">
        <f t="shared" si="48"/>
        <v>21.340000000000003</v>
      </c>
      <c r="U417" s="1">
        <f t="shared" si="49"/>
        <v>22.774999999999999</v>
      </c>
      <c r="V417" s="1">
        <f t="shared" si="50"/>
        <v>1340.4114000000009</v>
      </c>
      <c r="W417" s="1">
        <f t="shared" si="51"/>
        <v>89703.5</v>
      </c>
      <c r="X417" s="1">
        <f t="shared" si="52"/>
        <v>-6.875</v>
      </c>
      <c r="Y417" s="1">
        <f t="shared" si="53"/>
        <v>1.14615</v>
      </c>
      <c r="Z417">
        <f t="shared" si="54"/>
        <v>0</v>
      </c>
    </row>
    <row r="418" spans="1:26" x14ac:dyDescent="0.2">
      <c r="A418">
        <f t="shared" si="55"/>
        <v>416</v>
      </c>
      <c r="B418">
        <v>2015</v>
      </c>
      <c r="C418" t="s">
        <v>72</v>
      </c>
      <c r="D418" t="s">
        <v>74</v>
      </c>
      <c r="E418">
        <v>4</v>
      </c>
      <c r="F418" s="2">
        <v>102</v>
      </c>
      <c r="G418" s="2" t="s">
        <v>36</v>
      </c>
      <c r="H418" s="2" t="s">
        <v>29</v>
      </c>
      <c r="I418" s="2" t="s">
        <v>41</v>
      </c>
      <c r="J418" s="2">
        <v>11</v>
      </c>
      <c r="K418" s="3">
        <v>195.86</v>
      </c>
      <c r="L418" s="3">
        <v>174.51</v>
      </c>
      <c r="M418" s="3">
        <v>222.67</v>
      </c>
      <c r="N418" s="3">
        <v>12294.132200000002</v>
      </c>
      <c r="O418" s="3">
        <v>10953</v>
      </c>
      <c r="P418" s="3">
        <v>877097</v>
      </c>
      <c r="Q418" s="3">
        <v>4.7</v>
      </c>
      <c r="R418" s="3">
        <v>13.05</v>
      </c>
      <c r="S418" s="3">
        <v>5.4372999999999996</v>
      </c>
      <c r="T418" s="1">
        <f t="shared" si="48"/>
        <v>21.350000000000023</v>
      </c>
      <c r="U418" s="1">
        <f t="shared" si="49"/>
        <v>111.33499999999999</v>
      </c>
      <c r="V418" s="1">
        <f t="shared" si="50"/>
        <v>1341.1322000000018</v>
      </c>
      <c r="W418" s="1">
        <f t="shared" si="51"/>
        <v>438548.5</v>
      </c>
      <c r="X418" s="1">
        <f t="shared" si="52"/>
        <v>-8.3500000000000014</v>
      </c>
      <c r="Y418" s="1">
        <f t="shared" si="53"/>
        <v>2.7186499999999998</v>
      </c>
      <c r="Z418">
        <f t="shared" si="54"/>
        <v>0</v>
      </c>
    </row>
    <row r="419" spans="1:26" x14ac:dyDescent="0.2">
      <c r="A419">
        <f t="shared" si="55"/>
        <v>417</v>
      </c>
      <c r="B419">
        <v>2014</v>
      </c>
      <c r="C419" t="s">
        <v>64</v>
      </c>
      <c r="D419" t="s">
        <v>91</v>
      </c>
      <c r="E419">
        <v>4</v>
      </c>
      <c r="F419" s="2">
        <v>173</v>
      </c>
      <c r="G419" s="2" t="s">
        <v>31</v>
      </c>
      <c r="H419" s="2" t="s">
        <v>32</v>
      </c>
      <c r="I419" s="2" t="s">
        <v>33</v>
      </c>
      <c r="J419" s="2">
        <v>311</v>
      </c>
      <c r="K419" s="3">
        <v>222.95</v>
      </c>
      <c r="L419" s="3">
        <v>201.5</v>
      </c>
      <c r="M419" s="3">
        <v>33.04</v>
      </c>
      <c r="N419" s="3">
        <v>13994.5715</v>
      </c>
      <c r="O419" s="3">
        <v>12647</v>
      </c>
      <c r="P419" s="3">
        <v>130192</v>
      </c>
      <c r="Q419" s="3">
        <v>0.52500000000000002</v>
      </c>
      <c r="R419" s="3">
        <v>7.4999999999999997E-2</v>
      </c>
      <c r="S419" s="3">
        <v>0.59940000000000004</v>
      </c>
      <c r="T419" s="1">
        <f t="shared" si="48"/>
        <v>21.449999999999989</v>
      </c>
      <c r="U419" s="1">
        <f t="shared" si="49"/>
        <v>16.52</v>
      </c>
      <c r="V419" s="1">
        <f t="shared" si="50"/>
        <v>1347.5715</v>
      </c>
      <c r="W419" s="1">
        <f t="shared" si="51"/>
        <v>65096</v>
      </c>
      <c r="X419" s="1">
        <f t="shared" si="52"/>
        <v>0.45</v>
      </c>
      <c r="Y419" s="1">
        <f t="shared" si="53"/>
        <v>0.29970000000000002</v>
      </c>
      <c r="Z419">
        <f t="shared" si="54"/>
        <v>0</v>
      </c>
    </row>
    <row r="420" spans="1:26" x14ac:dyDescent="0.2">
      <c r="A420">
        <f t="shared" si="55"/>
        <v>418</v>
      </c>
      <c r="B420">
        <v>2014</v>
      </c>
      <c r="C420" t="s">
        <v>64</v>
      </c>
      <c r="D420" t="s">
        <v>91</v>
      </c>
      <c r="E420">
        <v>4</v>
      </c>
      <c r="F420" s="2">
        <v>82</v>
      </c>
      <c r="G420" s="2" t="s">
        <v>31</v>
      </c>
      <c r="H420" s="2" t="s">
        <v>46</v>
      </c>
      <c r="I420" s="2" t="s">
        <v>41</v>
      </c>
      <c r="J420" s="2">
        <v>311</v>
      </c>
      <c r="K420" s="3">
        <v>223.22</v>
      </c>
      <c r="L420" s="3">
        <v>201.5</v>
      </c>
      <c r="M420" s="3">
        <v>33.04</v>
      </c>
      <c r="N420" s="3">
        <v>14011.519400000001</v>
      </c>
      <c r="O420" s="3">
        <v>12647</v>
      </c>
      <c r="P420" s="3">
        <v>130192</v>
      </c>
      <c r="Q420" s="3">
        <v>0.875</v>
      </c>
      <c r="R420" s="3">
        <v>7.4999999999999997E-2</v>
      </c>
      <c r="S420" s="3">
        <v>0.59940000000000004</v>
      </c>
      <c r="T420" s="1">
        <f t="shared" si="48"/>
        <v>21.72</v>
      </c>
      <c r="U420" s="1">
        <f t="shared" si="49"/>
        <v>16.52</v>
      </c>
      <c r="V420" s="1">
        <f t="shared" si="50"/>
        <v>1364.519400000001</v>
      </c>
      <c r="W420" s="1">
        <f t="shared" si="51"/>
        <v>65096</v>
      </c>
      <c r="X420" s="1">
        <f t="shared" si="52"/>
        <v>0.8</v>
      </c>
      <c r="Y420" s="1">
        <f t="shared" si="53"/>
        <v>0.29970000000000002</v>
      </c>
      <c r="Z420">
        <f t="shared" si="54"/>
        <v>0</v>
      </c>
    </row>
    <row r="421" spans="1:26" x14ac:dyDescent="0.2">
      <c r="A421">
        <f t="shared" si="55"/>
        <v>419</v>
      </c>
      <c r="B421">
        <v>2014</v>
      </c>
      <c r="C421" t="s">
        <v>64</v>
      </c>
      <c r="D421" t="s">
        <v>65</v>
      </c>
      <c r="E421">
        <v>4</v>
      </c>
      <c r="F421" s="2">
        <v>112</v>
      </c>
      <c r="G421" s="2" t="s">
        <v>40</v>
      </c>
      <c r="H421" s="2" t="s">
        <v>39</v>
      </c>
      <c r="I421" s="2" t="s">
        <v>41</v>
      </c>
      <c r="J421" s="2">
        <v>311</v>
      </c>
      <c r="K421" s="3">
        <v>223.33</v>
      </c>
      <c r="L421" s="3">
        <v>201.48</v>
      </c>
      <c r="M421" s="3">
        <v>45.55</v>
      </c>
      <c r="N421" s="3">
        <v>14018.424100000002</v>
      </c>
      <c r="O421" s="3">
        <v>12646</v>
      </c>
      <c r="P421" s="3">
        <v>179407</v>
      </c>
      <c r="Q421" s="3">
        <v>0.75</v>
      </c>
      <c r="R421" s="3">
        <v>9.875</v>
      </c>
      <c r="S421" s="3">
        <v>2.2923</v>
      </c>
      <c r="T421" s="1">
        <f t="shared" si="48"/>
        <v>21.850000000000023</v>
      </c>
      <c r="U421" s="1">
        <f t="shared" si="49"/>
        <v>22.774999999999999</v>
      </c>
      <c r="V421" s="1">
        <f t="shared" si="50"/>
        <v>1372.424100000002</v>
      </c>
      <c r="W421" s="1">
        <f t="shared" si="51"/>
        <v>89703.5</v>
      </c>
      <c r="X421" s="1">
        <f t="shared" si="52"/>
        <v>-9.125</v>
      </c>
      <c r="Y421" s="1">
        <f t="shared" si="53"/>
        <v>1.14615</v>
      </c>
      <c r="Z421">
        <f t="shared" si="54"/>
        <v>0</v>
      </c>
    </row>
    <row r="422" spans="1:26" x14ac:dyDescent="0.2">
      <c r="A422">
        <f t="shared" si="55"/>
        <v>420</v>
      </c>
      <c r="B422">
        <v>2014</v>
      </c>
      <c r="C422" t="s">
        <v>64</v>
      </c>
      <c r="D422" t="s">
        <v>78</v>
      </c>
      <c r="E422">
        <v>4</v>
      </c>
      <c r="F422" s="2">
        <v>193</v>
      </c>
      <c r="G422" s="2" t="s">
        <v>40</v>
      </c>
      <c r="H422" s="2" t="s">
        <v>39</v>
      </c>
      <c r="I422" s="2" t="s">
        <v>33</v>
      </c>
      <c r="J422" s="2">
        <v>311</v>
      </c>
      <c r="K422" s="3">
        <v>217.38</v>
      </c>
      <c r="L422" s="3">
        <v>195.37</v>
      </c>
      <c r="M422" s="3">
        <v>228.55</v>
      </c>
      <c r="N422" s="3">
        <v>13644.9426</v>
      </c>
      <c r="O422" s="3">
        <v>12262</v>
      </c>
      <c r="P422" s="3">
        <v>900285</v>
      </c>
      <c r="Q422" s="3">
        <v>9</v>
      </c>
      <c r="R422" s="3">
        <v>15</v>
      </c>
      <c r="S422" s="3">
        <v>15.3675</v>
      </c>
      <c r="T422" s="1">
        <f t="shared" si="48"/>
        <v>22.009999999999991</v>
      </c>
      <c r="U422" s="1">
        <f t="shared" si="49"/>
        <v>114.27500000000001</v>
      </c>
      <c r="V422" s="1">
        <f t="shared" si="50"/>
        <v>1382.9426000000003</v>
      </c>
      <c r="W422" s="1">
        <f t="shared" si="51"/>
        <v>450142.5</v>
      </c>
      <c r="X422" s="1">
        <f t="shared" si="52"/>
        <v>-6</v>
      </c>
      <c r="Y422" s="1">
        <f t="shared" si="53"/>
        <v>7.6837499999999999</v>
      </c>
      <c r="Z422">
        <f t="shared" si="54"/>
        <v>1</v>
      </c>
    </row>
    <row r="423" spans="1:26" x14ac:dyDescent="0.2">
      <c r="A423">
        <f t="shared" si="55"/>
        <v>421</v>
      </c>
      <c r="B423">
        <v>2014</v>
      </c>
      <c r="C423" t="s">
        <v>64</v>
      </c>
      <c r="D423" t="s">
        <v>91</v>
      </c>
      <c r="E423">
        <v>4</v>
      </c>
      <c r="F423" s="2">
        <v>92</v>
      </c>
      <c r="G423" s="2" t="s">
        <v>42</v>
      </c>
      <c r="H423" s="2" t="s">
        <v>43</v>
      </c>
      <c r="I423" s="2" t="s">
        <v>41</v>
      </c>
      <c r="J423" s="2">
        <v>311</v>
      </c>
      <c r="K423" s="3">
        <v>224.04</v>
      </c>
      <c r="L423" s="3">
        <v>201.5</v>
      </c>
      <c r="M423" s="3">
        <v>33.04</v>
      </c>
      <c r="N423" s="3">
        <v>14062.9908</v>
      </c>
      <c r="O423" s="3">
        <v>12647</v>
      </c>
      <c r="P423" s="3">
        <v>130192</v>
      </c>
      <c r="Q423" s="3">
        <v>0.55000000000000004</v>
      </c>
      <c r="R423" s="3">
        <v>7.4999999999999997E-2</v>
      </c>
      <c r="S423" s="3">
        <v>0.59940000000000004</v>
      </c>
      <c r="T423" s="1">
        <f t="shared" si="48"/>
        <v>22.539999999999992</v>
      </c>
      <c r="U423" s="1">
        <f t="shared" si="49"/>
        <v>16.52</v>
      </c>
      <c r="V423" s="1">
        <f t="shared" si="50"/>
        <v>1415.9907999999996</v>
      </c>
      <c r="W423" s="1">
        <f t="shared" si="51"/>
        <v>65096</v>
      </c>
      <c r="X423" s="1">
        <f t="shared" si="52"/>
        <v>0.47500000000000003</v>
      </c>
      <c r="Y423" s="1">
        <f t="shared" si="53"/>
        <v>0.29970000000000002</v>
      </c>
      <c r="Z423">
        <f t="shared" si="54"/>
        <v>0</v>
      </c>
    </row>
    <row r="424" spans="1:26" x14ac:dyDescent="0.2">
      <c r="A424">
        <f t="shared" si="55"/>
        <v>422</v>
      </c>
      <c r="B424">
        <v>2015</v>
      </c>
      <c r="C424" t="s">
        <v>84</v>
      </c>
      <c r="D424" t="s">
        <v>85</v>
      </c>
      <c r="E424">
        <v>4</v>
      </c>
      <c r="F424" s="2">
        <v>82</v>
      </c>
      <c r="G424" s="2" t="s">
        <v>31</v>
      </c>
      <c r="H424" s="2" t="s">
        <v>46</v>
      </c>
      <c r="I424" s="2" t="s">
        <v>41</v>
      </c>
      <c r="J424" s="2">
        <v>311</v>
      </c>
      <c r="K424" s="3">
        <v>220.1</v>
      </c>
      <c r="L424" s="3">
        <v>197.54</v>
      </c>
      <c r="M424" s="3">
        <v>296.25</v>
      </c>
      <c r="N424" s="3">
        <v>13815.677</v>
      </c>
      <c r="O424" s="3">
        <v>12398</v>
      </c>
      <c r="P424" s="3">
        <v>1166970</v>
      </c>
      <c r="Q424" s="3">
        <v>0.4375</v>
      </c>
      <c r="R424" s="3">
        <v>0.6875</v>
      </c>
      <c r="S424" s="3">
        <v>0.21049999999999999</v>
      </c>
      <c r="T424" s="1">
        <f t="shared" si="48"/>
        <v>22.560000000000002</v>
      </c>
      <c r="U424" s="1">
        <f t="shared" si="49"/>
        <v>148.125</v>
      </c>
      <c r="V424" s="1">
        <f t="shared" si="50"/>
        <v>1417.6769999999997</v>
      </c>
      <c r="W424" s="1">
        <f t="shared" si="51"/>
        <v>583485</v>
      </c>
      <c r="X424" s="1">
        <f t="shared" si="52"/>
        <v>-0.25</v>
      </c>
      <c r="Y424" s="1">
        <f t="shared" si="53"/>
        <v>0.10525</v>
      </c>
      <c r="Z424">
        <f t="shared" si="54"/>
        <v>0</v>
      </c>
    </row>
    <row r="425" spans="1:26" x14ac:dyDescent="0.2">
      <c r="A425">
        <f t="shared" si="55"/>
        <v>423</v>
      </c>
      <c r="B425">
        <v>2015</v>
      </c>
      <c r="C425" t="s">
        <v>72</v>
      </c>
      <c r="D425" t="s">
        <v>74</v>
      </c>
      <c r="E425">
        <v>4</v>
      </c>
      <c r="F425" s="2">
        <v>21</v>
      </c>
      <c r="G425" s="2" t="s">
        <v>71</v>
      </c>
      <c r="H425" s="2" t="s">
        <v>66</v>
      </c>
      <c r="I425" s="2" t="s">
        <v>30</v>
      </c>
      <c r="J425" s="2">
        <v>711</v>
      </c>
      <c r="K425" s="3">
        <v>197.55</v>
      </c>
      <c r="L425" s="3">
        <v>174.51</v>
      </c>
      <c r="M425" s="3">
        <v>222.67</v>
      </c>
      <c r="N425" s="3">
        <v>12400.213500000002</v>
      </c>
      <c r="O425" s="3">
        <v>10953</v>
      </c>
      <c r="P425" s="3">
        <v>877097</v>
      </c>
      <c r="Q425" s="3">
        <v>9.15</v>
      </c>
      <c r="R425" s="3">
        <v>13.05</v>
      </c>
      <c r="S425" s="3">
        <v>5.4372999999999996</v>
      </c>
      <c r="T425" s="1">
        <f t="shared" si="48"/>
        <v>23.04000000000002</v>
      </c>
      <c r="U425" s="1">
        <f t="shared" si="49"/>
        <v>111.33499999999999</v>
      </c>
      <c r="V425" s="1">
        <f t="shared" si="50"/>
        <v>1447.2135000000017</v>
      </c>
      <c r="W425" s="1">
        <f t="shared" si="51"/>
        <v>438548.5</v>
      </c>
      <c r="X425" s="1">
        <f t="shared" si="52"/>
        <v>-3.9000000000000004</v>
      </c>
      <c r="Y425" s="1">
        <f t="shared" si="53"/>
        <v>2.7186499999999998</v>
      </c>
      <c r="Z425">
        <f t="shared" si="54"/>
        <v>1</v>
      </c>
    </row>
    <row r="426" spans="1:26" x14ac:dyDescent="0.2">
      <c r="A426">
        <f t="shared" si="55"/>
        <v>424</v>
      </c>
      <c r="B426">
        <v>2015</v>
      </c>
      <c r="C426" t="s">
        <v>84</v>
      </c>
      <c r="D426" t="s">
        <v>85</v>
      </c>
      <c r="E426">
        <v>4</v>
      </c>
      <c r="F426" s="2">
        <v>21</v>
      </c>
      <c r="G426" s="2" t="s">
        <v>71</v>
      </c>
      <c r="H426" s="2" t="s">
        <v>66</v>
      </c>
      <c r="I426" s="2" t="s">
        <v>30</v>
      </c>
      <c r="J426" s="2">
        <v>711</v>
      </c>
      <c r="K426" s="3">
        <v>221.84</v>
      </c>
      <c r="L426" s="3">
        <v>197.54</v>
      </c>
      <c r="M426" s="3">
        <v>296.25</v>
      </c>
      <c r="N426" s="3">
        <v>13924.8968</v>
      </c>
      <c r="O426" s="3">
        <v>12398</v>
      </c>
      <c r="P426" s="3">
        <v>1166970</v>
      </c>
      <c r="Q426" s="3">
        <v>-2.8400000000000003E-17</v>
      </c>
      <c r="R426" s="3">
        <v>0.6875</v>
      </c>
      <c r="S426" s="3">
        <v>0.21049999999999999</v>
      </c>
      <c r="T426" s="1">
        <f t="shared" si="48"/>
        <v>24.300000000000011</v>
      </c>
      <c r="U426" s="1">
        <f t="shared" si="49"/>
        <v>148.125</v>
      </c>
      <c r="V426" s="1">
        <f t="shared" si="50"/>
        <v>1526.8968000000004</v>
      </c>
      <c r="W426" s="1">
        <f t="shared" si="51"/>
        <v>583485</v>
      </c>
      <c r="X426" s="1">
        <f t="shared" si="52"/>
        <v>-0.6875</v>
      </c>
      <c r="Y426" s="1">
        <f t="shared" si="53"/>
        <v>0.10525</v>
      </c>
      <c r="Z426">
        <f t="shared" si="54"/>
        <v>0</v>
      </c>
    </row>
    <row r="427" spans="1:26" x14ac:dyDescent="0.2">
      <c r="A427">
        <f t="shared" si="55"/>
        <v>425</v>
      </c>
      <c r="B427">
        <v>2014</v>
      </c>
      <c r="C427" t="s">
        <v>81</v>
      </c>
      <c r="D427" t="s">
        <v>95</v>
      </c>
      <c r="E427">
        <v>4</v>
      </c>
      <c r="F427" s="2">
        <v>72</v>
      </c>
      <c r="G427" s="2" t="s">
        <v>47</v>
      </c>
      <c r="H427" s="2" t="s">
        <v>48</v>
      </c>
      <c r="I427" s="2" t="s">
        <v>41</v>
      </c>
      <c r="J427" s="2">
        <v>311</v>
      </c>
      <c r="K427" s="3">
        <v>140.44999999999999</v>
      </c>
      <c r="L427" s="3">
        <v>114.95</v>
      </c>
      <c r="M427" s="3">
        <v>238.71</v>
      </c>
      <c r="N427" s="3">
        <v>8816.0465000000004</v>
      </c>
      <c r="O427" s="3">
        <v>7214.55</v>
      </c>
      <c r="P427" s="3">
        <v>940290</v>
      </c>
      <c r="Q427" s="3">
        <v>1.75</v>
      </c>
      <c r="R427" s="3">
        <v>1.75</v>
      </c>
      <c r="S427" s="3">
        <v>0</v>
      </c>
      <c r="T427" s="1">
        <f t="shared" si="48"/>
        <v>25.499999999999986</v>
      </c>
      <c r="U427" s="1">
        <f t="shared" si="49"/>
        <v>119.355</v>
      </c>
      <c r="V427" s="1">
        <f t="shared" si="50"/>
        <v>1601.4965000000002</v>
      </c>
      <c r="W427" s="1">
        <f t="shared" si="51"/>
        <v>470145</v>
      </c>
      <c r="X427" s="1">
        <f t="shared" si="52"/>
        <v>0</v>
      </c>
      <c r="Y427" s="1">
        <f t="shared" si="53"/>
        <v>0</v>
      </c>
      <c r="Z427">
        <f t="shared" si="54"/>
        <v>0</v>
      </c>
    </row>
    <row r="428" spans="1:26" x14ac:dyDescent="0.2">
      <c r="A428">
        <f t="shared" si="55"/>
        <v>426</v>
      </c>
      <c r="B428">
        <v>2014</v>
      </c>
      <c r="C428" t="s">
        <v>81</v>
      </c>
      <c r="D428" t="s">
        <v>96</v>
      </c>
      <c r="E428">
        <v>4</v>
      </c>
      <c r="F428" s="2">
        <v>92</v>
      </c>
      <c r="G428" s="2" t="s">
        <v>42</v>
      </c>
      <c r="H428" s="2" t="s">
        <v>43</v>
      </c>
      <c r="I428" s="2" t="s">
        <v>41</v>
      </c>
      <c r="J428" s="2">
        <v>311</v>
      </c>
      <c r="K428" s="3">
        <v>141.77000000000001</v>
      </c>
      <c r="L428" s="3">
        <v>116</v>
      </c>
      <c r="M428" s="3">
        <v>806.63</v>
      </c>
      <c r="N428" s="3">
        <v>8898.902900000001</v>
      </c>
      <c r="O428" s="3">
        <v>7280.46</v>
      </c>
      <c r="P428" s="3">
        <v>3177413</v>
      </c>
      <c r="Q428" s="3">
        <v>2.75</v>
      </c>
      <c r="R428" s="3">
        <v>2.25</v>
      </c>
      <c r="S428" s="3">
        <v>0.80559999999999998</v>
      </c>
      <c r="T428" s="1">
        <f t="shared" si="48"/>
        <v>25.77000000000001</v>
      </c>
      <c r="U428" s="1">
        <f t="shared" si="49"/>
        <v>403.315</v>
      </c>
      <c r="V428" s="1">
        <f t="shared" si="50"/>
        <v>1618.4429000000009</v>
      </c>
      <c r="W428" s="1">
        <f t="shared" si="51"/>
        <v>1588706.5</v>
      </c>
      <c r="X428" s="1">
        <f t="shared" si="52"/>
        <v>0.5</v>
      </c>
      <c r="Y428" s="1">
        <f t="shared" si="53"/>
        <v>0.40279999999999999</v>
      </c>
      <c r="Z428">
        <f t="shared" si="54"/>
        <v>0</v>
      </c>
    </row>
    <row r="429" spans="1:26" x14ac:dyDescent="0.2">
      <c r="A429">
        <f t="shared" si="55"/>
        <v>427</v>
      </c>
      <c r="B429">
        <v>2014</v>
      </c>
      <c r="C429" t="s">
        <v>64</v>
      </c>
      <c r="D429" t="s">
        <v>78</v>
      </c>
      <c r="E429">
        <v>4</v>
      </c>
      <c r="F429" s="2">
        <v>92</v>
      </c>
      <c r="G429" s="2" t="s">
        <v>42</v>
      </c>
      <c r="H429" s="2" t="s">
        <v>43</v>
      </c>
      <c r="I429" s="2" t="s">
        <v>41</v>
      </c>
      <c r="J429" s="2">
        <v>311</v>
      </c>
      <c r="K429" s="3">
        <v>221.52</v>
      </c>
      <c r="L429" s="3">
        <v>195.37</v>
      </c>
      <c r="M429" s="3">
        <v>228.55</v>
      </c>
      <c r="N429" s="3">
        <v>13904.810400000002</v>
      </c>
      <c r="O429" s="3">
        <v>12262</v>
      </c>
      <c r="P429" s="3">
        <v>900285</v>
      </c>
      <c r="Q429" s="3">
        <v>8</v>
      </c>
      <c r="R429" s="3">
        <v>15</v>
      </c>
      <c r="S429" s="3">
        <v>15.3675</v>
      </c>
      <c r="T429" s="1">
        <f t="shared" si="48"/>
        <v>26.150000000000006</v>
      </c>
      <c r="U429" s="1">
        <f t="shared" si="49"/>
        <v>114.27500000000001</v>
      </c>
      <c r="V429" s="1">
        <f t="shared" si="50"/>
        <v>1642.8104000000021</v>
      </c>
      <c r="W429" s="1">
        <f t="shared" si="51"/>
        <v>450142.5</v>
      </c>
      <c r="X429" s="1">
        <f t="shared" si="52"/>
        <v>-7</v>
      </c>
      <c r="Y429" s="1">
        <f t="shared" si="53"/>
        <v>7.6837499999999999</v>
      </c>
      <c r="Z429">
        <f t="shared" si="54"/>
        <v>1</v>
      </c>
    </row>
    <row r="430" spans="1:26" x14ac:dyDescent="0.2">
      <c r="A430">
        <f t="shared" si="55"/>
        <v>428</v>
      </c>
      <c r="B430">
        <v>2015</v>
      </c>
      <c r="C430" t="s">
        <v>67</v>
      </c>
      <c r="D430" t="s">
        <v>83</v>
      </c>
      <c r="E430">
        <v>4</v>
      </c>
      <c r="F430" s="2">
        <v>122</v>
      </c>
      <c r="G430" s="2" t="s">
        <v>75</v>
      </c>
      <c r="H430" s="2" t="s">
        <v>76</v>
      </c>
      <c r="I430" s="2" t="s">
        <v>41</v>
      </c>
      <c r="J430" s="2">
        <v>311</v>
      </c>
      <c r="K430" s="3">
        <v>171.61</v>
      </c>
      <c r="L430" s="3">
        <v>144.63999999999999</v>
      </c>
      <c r="M430" s="3">
        <v>77.010000000000005</v>
      </c>
      <c r="N430" s="3">
        <v>10771.959700000001</v>
      </c>
      <c r="O430" s="3">
        <v>9078.2900000000009</v>
      </c>
      <c r="P430" s="3">
        <v>303378</v>
      </c>
      <c r="Q430" s="3">
        <v>47.5</v>
      </c>
      <c r="R430" s="3">
        <v>65</v>
      </c>
      <c r="S430" s="3">
        <v>25.341100000000001</v>
      </c>
      <c r="T430" s="1">
        <f t="shared" si="48"/>
        <v>26.970000000000027</v>
      </c>
      <c r="U430" s="1">
        <f t="shared" si="49"/>
        <v>38.505000000000003</v>
      </c>
      <c r="V430" s="1">
        <f t="shared" si="50"/>
        <v>1693.6697000000004</v>
      </c>
      <c r="W430" s="1">
        <f t="shared" si="51"/>
        <v>151689</v>
      </c>
      <c r="X430" s="1">
        <f t="shared" si="52"/>
        <v>-17.5</v>
      </c>
      <c r="Y430" s="1">
        <f t="shared" si="53"/>
        <v>12.67055</v>
      </c>
      <c r="Z430">
        <f t="shared" si="54"/>
        <v>1</v>
      </c>
    </row>
    <row r="431" spans="1:26" x14ac:dyDescent="0.2">
      <c r="A431">
        <f t="shared" si="55"/>
        <v>429</v>
      </c>
      <c r="B431">
        <v>2015</v>
      </c>
      <c r="C431" t="s">
        <v>72</v>
      </c>
      <c r="D431" t="s">
        <v>74</v>
      </c>
      <c r="E431">
        <v>4</v>
      </c>
      <c r="F431" s="2">
        <v>82</v>
      </c>
      <c r="G431" s="2" t="s">
        <v>31</v>
      </c>
      <c r="H431" s="2" t="s">
        <v>46</v>
      </c>
      <c r="I431" s="2" t="s">
        <v>41</v>
      </c>
      <c r="J431" s="2">
        <v>311</v>
      </c>
      <c r="K431" s="3">
        <v>202.57</v>
      </c>
      <c r="L431" s="3">
        <v>174.51</v>
      </c>
      <c r="M431" s="3">
        <v>222.67</v>
      </c>
      <c r="N431" s="3">
        <v>12715.3189</v>
      </c>
      <c r="O431" s="3">
        <v>10953</v>
      </c>
      <c r="P431" s="3">
        <v>877097</v>
      </c>
      <c r="Q431" s="3">
        <v>6.85</v>
      </c>
      <c r="R431" s="3">
        <v>13.05</v>
      </c>
      <c r="S431" s="3">
        <v>5.4372999999999996</v>
      </c>
      <c r="T431" s="1">
        <f t="shared" si="48"/>
        <v>28.060000000000002</v>
      </c>
      <c r="U431" s="1">
        <f t="shared" si="49"/>
        <v>111.33499999999999</v>
      </c>
      <c r="V431" s="1">
        <f t="shared" si="50"/>
        <v>1762.3189000000002</v>
      </c>
      <c r="W431" s="1">
        <f t="shared" si="51"/>
        <v>438548.5</v>
      </c>
      <c r="X431" s="1">
        <f t="shared" si="52"/>
        <v>-6.2000000000000011</v>
      </c>
      <c r="Y431" s="1">
        <f t="shared" si="53"/>
        <v>2.7186499999999998</v>
      </c>
      <c r="Z431">
        <f t="shared" si="54"/>
        <v>1</v>
      </c>
    </row>
    <row r="432" spans="1:26" x14ac:dyDescent="0.2">
      <c r="A432">
        <f t="shared" si="55"/>
        <v>430</v>
      </c>
      <c r="B432">
        <v>2015</v>
      </c>
      <c r="C432" t="s">
        <v>34</v>
      </c>
      <c r="D432" t="s">
        <v>35</v>
      </c>
      <c r="E432">
        <v>4</v>
      </c>
      <c r="F432" s="2">
        <v>61</v>
      </c>
      <c r="G432" s="2" t="s">
        <v>38</v>
      </c>
      <c r="H432" s="2" t="s">
        <v>39</v>
      </c>
      <c r="I432" s="2" t="s">
        <v>30</v>
      </c>
      <c r="J432" s="2">
        <v>311</v>
      </c>
      <c r="K432" s="3">
        <v>159.59</v>
      </c>
      <c r="L432" s="3">
        <v>127.58</v>
      </c>
      <c r="M432" s="3">
        <v>1197.8900000000001</v>
      </c>
      <c r="N432" s="3">
        <v>10017.464300000001</v>
      </c>
      <c r="O432" s="3">
        <v>8007.33</v>
      </c>
      <c r="P432" s="3">
        <v>4718559</v>
      </c>
      <c r="Q432" s="3">
        <v>0</v>
      </c>
      <c r="R432" s="3">
        <v>0</v>
      </c>
      <c r="S432" s="3">
        <v>0</v>
      </c>
      <c r="T432" s="1">
        <f t="shared" si="48"/>
        <v>32.010000000000005</v>
      </c>
      <c r="U432" s="1">
        <f t="shared" si="49"/>
        <v>598.94500000000005</v>
      </c>
      <c r="V432" s="1">
        <f t="shared" si="50"/>
        <v>2010.1343000000015</v>
      </c>
      <c r="W432" s="1">
        <f t="shared" si="51"/>
        <v>2359279.5</v>
      </c>
      <c r="X432" s="1">
        <f t="shared" si="52"/>
        <v>0</v>
      </c>
      <c r="Y432" s="1">
        <f t="shared" si="53"/>
        <v>0</v>
      </c>
      <c r="Z432">
        <f t="shared" si="54"/>
        <v>0</v>
      </c>
    </row>
    <row r="433" spans="1:26" x14ac:dyDescent="0.2">
      <c r="A433">
        <f t="shared" si="55"/>
        <v>431</v>
      </c>
      <c r="B433">
        <v>2015</v>
      </c>
      <c r="C433" t="s">
        <v>34</v>
      </c>
      <c r="D433" t="s">
        <v>35</v>
      </c>
      <c r="E433">
        <v>4</v>
      </c>
      <c r="F433" s="2">
        <v>31</v>
      </c>
      <c r="G433" s="2" t="s">
        <v>28</v>
      </c>
      <c r="H433" s="2" t="s">
        <v>29</v>
      </c>
      <c r="I433" s="2" t="s">
        <v>30</v>
      </c>
      <c r="J433" s="2">
        <v>11</v>
      </c>
      <c r="K433" s="3">
        <v>161.77000000000001</v>
      </c>
      <c r="L433" s="3">
        <v>127.58</v>
      </c>
      <c r="M433" s="3">
        <v>1197.8900000000001</v>
      </c>
      <c r="N433" s="3">
        <v>10154.302900000001</v>
      </c>
      <c r="O433" s="3">
        <v>8007.33</v>
      </c>
      <c r="P433" s="3">
        <v>4718559</v>
      </c>
      <c r="Q433" s="3">
        <v>0</v>
      </c>
      <c r="R433" s="3">
        <v>0</v>
      </c>
      <c r="S433" s="3">
        <v>0</v>
      </c>
      <c r="T433" s="1">
        <f t="shared" si="48"/>
        <v>34.190000000000012</v>
      </c>
      <c r="U433" s="1">
        <f t="shared" si="49"/>
        <v>598.94500000000005</v>
      </c>
      <c r="V433" s="1">
        <f t="shared" si="50"/>
        <v>2146.9729000000007</v>
      </c>
      <c r="W433" s="1">
        <f t="shared" si="51"/>
        <v>2359279.5</v>
      </c>
      <c r="X433" s="1">
        <f t="shared" si="52"/>
        <v>0</v>
      </c>
      <c r="Y433" s="1">
        <f t="shared" si="53"/>
        <v>0</v>
      </c>
      <c r="Z433">
        <f t="shared" si="54"/>
        <v>0</v>
      </c>
    </row>
    <row r="434" spans="1:26" x14ac:dyDescent="0.2">
      <c r="A434">
        <f t="shared" si="55"/>
        <v>432</v>
      </c>
      <c r="B434">
        <v>2015</v>
      </c>
      <c r="C434" t="s">
        <v>67</v>
      </c>
      <c r="D434" t="s">
        <v>83</v>
      </c>
      <c r="E434">
        <v>4</v>
      </c>
      <c r="F434" s="2">
        <v>173</v>
      </c>
      <c r="G434" s="2" t="s">
        <v>31</v>
      </c>
      <c r="H434" s="2" t="s">
        <v>32</v>
      </c>
      <c r="I434" s="2" t="s">
        <v>33</v>
      </c>
      <c r="J434" s="2">
        <v>311</v>
      </c>
      <c r="K434" s="3">
        <v>180.56</v>
      </c>
      <c r="L434" s="3">
        <v>144.63999999999999</v>
      </c>
      <c r="M434" s="3">
        <v>77.010000000000005</v>
      </c>
      <c r="N434" s="3">
        <v>11333.751200000001</v>
      </c>
      <c r="O434" s="3">
        <v>9078.2900000000009</v>
      </c>
      <c r="P434" s="3">
        <v>303378</v>
      </c>
      <c r="Q434" s="3">
        <v>50</v>
      </c>
      <c r="R434" s="3">
        <v>65</v>
      </c>
      <c r="S434" s="3">
        <v>25.341100000000001</v>
      </c>
      <c r="T434" s="1">
        <f t="shared" si="48"/>
        <v>35.920000000000016</v>
      </c>
      <c r="U434" s="1">
        <f t="shared" si="49"/>
        <v>38.505000000000003</v>
      </c>
      <c r="V434" s="1">
        <f t="shared" si="50"/>
        <v>2255.4611999999997</v>
      </c>
      <c r="W434" s="1">
        <f t="shared" si="51"/>
        <v>151689</v>
      </c>
      <c r="X434" s="1">
        <f t="shared" si="52"/>
        <v>-15</v>
      </c>
      <c r="Y434" s="1">
        <f t="shared" si="53"/>
        <v>12.67055</v>
      </c>
      <c r="Z434">
        <f t="shared" si="54"/>
        <v>1</v>
      </c>
    </row>
    <row r="435" spans="1:26" x14ac:dyDescent="0.2">
      <c r="A435">
        <f t="shared" si="55"/>
        <v>433</v>
      </c>
      <c r="B435">
        <v>2015</v>
      </c>
      <c r="C435" t="s">
        <v>67</v>
      </c>
      <c r="D435" t="s">
        <v>83</v>
      </c>
      <c r="E435">
        <v>4</v>
      </c>
      <c r="F435" s="2">
        <v>193</v>
      </c>
      <c r="G435" s="2" t="s">
        <v>40</v>
      </c>
      <c r="H435" s="2" t="s">
        <v>39</v>
      </c>
      <c r="I435" s="2" t="s">
        <v>33</v>
      </c>
      <c r="J435" s="2">
        <v>311</v>
      </c>
      <c r="K435" s="3">
        <v>180.88</v>
      </c>
      <c r="L435" s="3">
        <v>144.63999999999999</v>
      </c>
      <c r="M435" s="3">
        <v>77.010000000000005</v>
      </c>
      <c r="N435" s="3">
        <v>11353.837600000001</v>
      </c>
      <c r="O435" s="3">
        <v>9078.2900000000009</v>
      </c>
      <c r="P435" s="3">
        <v>303378</v>
      </c>
      <c r="Q435" s="3">
        <v>32.5</v>
      </c>
      <c r="R435" s="3">
        <v>65</v>
      </c>
      <c r="S435" s="3">
        <v>25.341100000000001</v>
      </c>
      <c r="T435" s="1">
        <f t="shared" si="48"/>
        <v>36.240000000000009</v>
      </c>
      <c r="U435" s="1">
        <f t="shared" si="49"/>
        <v>38.505000000000003</v>
      </c>
      <c r="V435" s="1">
        <f t="shared" si="50"/>
        <v>2275.5475999999999</v>
      </c>
      <c r="W435" s="1">
        <f t="shared" si="51"/>
        <v>151689</v>
      </c>
      <c r="X435" s="1">
        <f t="shared" si="52"/>
        <v>-32.5</v>
      </c>
      <c r="Y435" s="1">
        <f t="shared" si="53"/>
        <v>12.67055</v>
      </c>
      <c r="Z435">
        <f t="shared" si="54"/>
        <v>1</v>
      </c>
    </row>
    <row r="436" spans="1:26" x14ac:dyDescent="0.2">
      <c r="A436">
        <f t="shared" si="55"/>
        <v>434</v>
      </c>
      <c r="B436">
        <v>2015</v>
      </c>
      <c r="C436" t="s">
        <v>67</v>
      </c>
      <c r="D436" t="s">
        <v>83</v>
      </c>
      <c r="E436">
        <v>4</v>
      </c>
      <c r="F436" s="2">
        <v>112</v>
      </c>
      <c r="G436" s="2" t="s">
        <v>40</v>
      </c>
      <c r="H436" s="2" t="s">
        <v>39</v>
      </c>
      <c r="I436" s="2" t="s">
        <v>41</v>
      </c>
      <c r="J436" s="2">
        <v>311</v>
      </c>
      <c r="K436" s="3">
        <v>189.43</v>
      </c>
      <c r="L436" s="3">
        <v>144.63999999999999</v>
      </c>
      <c r="M436" s="3">
        <v>77.010000000000005</v>
      </c>
      <c r="N436" s="3">
        <v>11890.521100000002</v>
      </c>
      <c r="O436" s="3">
        <v>9078.2900000000009</v>
      </c>
      <c r="P436" s="3">
        <v>303378</v>
      </c>
      <c r="Q436" s="3">
        <v>32.5</v>
      </c>
      <c r="R436" s="3">
        <v>65</v>
      </c>
      <c r="S436" s="3">
        <v>25.341100000000001</v>
      </c>
      <c r="T436" s="1">
        <f t="shared" si="48"/>
        <v>44.79000000000002</v>
      </c>
      <c r="U436" s="1">
        <f t="shared" si="49"/>
        <v>38.505000000000003</v>
      </c>
      <c r="V436" s="1">
        <f t="shared" si="50"/>
        <v>2812.2311000000009</v>
      </c>
      <c r="W436" s="1">
        <f t="shared" si="51"/>
        <v>151689</v>
      </c>
      <c r="X436" s="1">
        <f t="shared" si="52"/>
        <v>-32.5</v>
      </c>
      <c r="Y436" s="1">
        <f t="shared" si="53"/>
        <v>12.67055</v>
      </c>
      <c r="Z436">
        <f t="shared" si="54"/>
        <v>1</v>
      </c>
    </row>
    <row r="437" spans="1:26" x14ac:dyDescent="0.2">
      <c r="A437">
        <f t="shared" si="55"/>
        <v>435</v>
      </c>
      <c r="B437">
        <v>2015</v>
      </c>
      <c r="C437" t="s">
        <v>67</v>
      </c>
      <c r="D437" t="s">
        <v>83</v>
      </c>
      <c r="E437">
        <v>4</v>
      </c>
      <c r="F437" s="2">
        <v>163</v>
      </c>
      <c r="G437" s="2" t="s">
        <v>58</v>
      </c>
      <c r="H437" s="2" t="s">
        <v>59</v>
      </c>
      <c r="I437" s="2" t="s">
        <v>33</v>
      </c>
      <c r="J437" s="2">
        <v>311</v>
      </c>
      <c r="K437" s="3">
        <v>193.42</v>
      </c>
      <c r="L437" s="3">
        <v>144.63999999999999</v>
      </c>
      <c r="M437" s="3">
        <v>77.010000000000005</v>
      </c>
      <c r="N437" s="3">
        <v>12140.973399999999</v>
      </c>
      <c r="O437" s="3">
        <v>9078.2900000000009</v>
      </c>
      <c r="P437" s="3">
        <v>303378</v>
      </c>
      <c r="Q437" s="3">
        <v>22.5</v>
      </c>
      <c r="R437" s="3">
        <v>65</v>
      </c>
      <c r="S437" s="3">
        <v>25.341100000000001</v>
      </c>
      <c r="T437" s="1">
        <f t="shared" si="48"/>
        <v>48.78</v>
      </c>
      <c r="U437" s="1">
        <f t="shared" si="49"/>
        <v>38.505000000000003</v>
      </c>
      <c r="V437" s="1">
        <f t="shared" si="50"/>
        <v>3062.6833999999981</v>
      </c>
      <c r="W437" s="1">
        <f t="shared" si="51"/>
        <v>151689</v>
      </c>
      <c r="X437" s="1">
        <f t="shared" si="52"/>
        <v>-42.5</v>
      </c>
      <c r="Y437" s="1">
        <f t="shared" si="53"/>
        <v>12.67055</v>
      </c>
      <c r="Z437">
        <f t="shared" si="54"/>
        <v>1</v>
      </c>
    </row>
    <row r="438" spans="1:26" x14ac:dyDescent="0.2">
      <c r="A438">
        <f t="shared" si="55"/>
        <v>436</v>
      </c>
      <c r="B438">
        <v>2015</v>
      </c>
      <c r="C438" t="s">
        <v>67</v>
      </c>
      <c r="D438" t="s">
        <v>83</v>
      </c>
      <c r="E438">
        <v>4</v>
      </c>
      <c r="F438" s="2">
        <v>153</v>
      </c>
      <c r="G438" s="2" t="s">
        <v>44</v>
      </c>
      <c r="H438" s="2" t="s">
        <v>45</v>
      </c>
      <c r="I438" s="2" t="s">
        <v>33</v>
      </c>
      <c r="J438" s="2">
        <v>3711</v>
      </c>
      <c r="K438" s="3">
        <v>196.1</v>
      </c>
      <c r="L438" s="3">
        <v>144.63999999999999</v>
      </c>
      <c r="M438" s="3">
        <v>77.010000000000005</v>
      </c>
      <c r="N438" s="3">
        <v>12309.197</v>
      </c>
      <c r="O438" s="3">
        <v>9078.2900000000009</v>
      </c>
      <c r="P438" s="3">
        <v>303378</v>
      </c>
      <c r="Q438" s="3">
        <v>27.5</v>
      </c>
      <c r="R438" s="3">
        <v>65</v>
      </c>
      <c r="S438" s="3">
        <v>25.341100000000001</v>
      </c>
      <c r="T438" s="1">
        <f t="shared" si="48"/>
        <v>51.460000000000008</v>
      </c>
      <c r="U438" s="1">
        <f t="shared" si="49"/>
        <v>38.505000000000003</v>
      </c>
      <c r="V438" s="1">
        <f t="shared" si="50"/>
        <v>3230.9069999999992</v>
      </c>
      <c r="W438" s="1">
        <f t="shared" si="51"/>
        <v>151689</v>
      </c>
      <c r="X438" s="1">
        <f t="shared" si="52"/>
        <v>-37.5</v>
      </c>
      <c r="Y438" s="1">
        <f t="shared" si="53"/>
        <v>12.67055</v>
      </c>
      <c r="Z438">
        <f t="shared" si="54"/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 Data</vt:lpstr>
      <vt:lpstr>Notes</vt:lpstr>
      <vt:lpstr>Effect Size Raw Data k=436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Catalina De Amorrortu</cp:lastModifiedBy>
  <dcterms:created xsi:type="dcterms:W3CDTF">2019-01-29T16:47:31Z</dcterms:created>
  <dcterms:modified xsi:type="dcterms:W3CDTF">2026-03-10T20:55:27Z</dcterms:modified>
</cp:coreProperties>
</file>